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odet\OneDrive\Desktop\walt whitman 2025\data fiiles\"/>
    </mc:Choice>
  </mc:AlternateContent>
  <xr:revisionPtr revIDLastSave="0" documentId="13_ncr:1_{1CADAAAB-8915-40AD-AE0C-02611DF7C2E3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Legend" sheetId="1" r:id="rId1"/>
    <sheet name="Single Agent Set 1 Raw Data" sheetId="2" r:id="rId2"/>
    <sheet name="Single Agent Set 2 Raw Data" sheetId="3" r:id="rId3"/>
    <sheet name="Sprime_delta_Sprime" sheetId="5" r:id="rId4"/>
    <sheet name="Combination Screen Raw Data" sheetId="4" r:id="rId5"/>
  </sheets>
  <definedNames>
    <definedName name="_xlnm._FilterDatabase" localSheetId="4" hidden="1">'Combination Screen Raw Data'!$A$1:$A$133</definedName>
    <definedName name="_xlnm._FilterDatabase" localSheetId="1" hidden="1">'Single Agent Set 1 Raw Data'!$A$1:$AJ$201</definedName>
    <definedName name="_xlnm._FilterDatabase" localSheetId="2" hidden="1">'Single Agent Set 2 Raw Data'!$A$1:$AM$1362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cWLSpwvH0SNkX9rcXied6XsUgNLNNSm+Ijv4oDMI8k="/>
    </ext>
  </extLst>
</workbook>
</file>

<file path=xl/calcChain.xml><?xml version="1.0" encoding="utf-8"?>
<calcChain xmlns="http://schemas.openxmlformats.org/spreadsheetml/2006/main">
  <c r="D7" i="5" l="1"/>
  <c r="D8" i="5"/>
  <c r="D9" i="5"/>
  <c r="D10" i="5"/>
  <c r="D11" i="5"/>
  <c r="D12" i="5"/>
  <c r="D13" i="5"/>
  <c r="D14" i="5"/>
  <c r="D19" i="5"/>
  <c r="D20" i="5"/>
  <c r="D21" i="5"/>
  <c r="D22" i="5"/>
  <c r="D23" i="5"/>
  <c r="D24" i="5"/>
  <c r="D25" i="5"/>
  <c r="D26" i="5"/>
  <c r="U19" i="5"/>
  <c r="T19" i="5"/>
  <c r="V19" i="5" s="1"/>
  <c r="W19" i="5" s="1"/>
  <c r="X19" i="5" s="1"/>
  <c r="U44" i="5" s="1"/>
  <c r="U31" i="5"/>
  <c r="T31" i="5"/>
  <c r="U7" i="5"/>
  <c r="T7" i="5"/>
  <c r="O38" i="5"/>
  <c r="K41" i="5"/>
  <c r="M20" i="5"/>
  <c r="M21" i="5"/>
  <c r="M22" i="5"/>
  <c r="M23" i="5"/>
  <c r="M24" i="5"/>
  <c r="M25" i="5"/>
  <c r="M26" i="5"/>
  <c r="M19" i="5"/>
  <c r="N19" i="5" s="1"/>
  <c r="O19" i="5" s="1"/>
  <c r="M8" i="5"/>
  <c r="M9" i="5"/>
  <c r="M10" i="5"/>
  <c r="M11" i="5"/>
  <c r="M12" i="5"/>
  <c r="M13" i="5"/>
  <c r="M14" i="5"/>
  <c r="M7" i="5"/>
  <c r="N7" i="5" s="1"/>
  <c r="O7" i="5" s="1"/>
  <c r="X1369" i="3"/>
  <c r="X1368" i="3"/>
  <c r="X1367" i="3"/>
  <c r="X1366" i="3"/>
  <c r="X1365" i="3"/>
  <c r="V1369" i="3"/>
  <c r="V1368" i="3"/>
  <c r="V1367" i="3"/>
  <c r="V1366" i="3"/>
  <c r="V1365" i="3"/>
  <c r="T1369" i="3"/>
  <c r="T1368" i="3"/>
  <c r="T1367" i="3"/>
  <c r="T1366" i="3"/>
  <c r="T1365" i="3"/>
  <c r="R1369" i="3"/>
  <c r="R1368" i="3"/>
  <c r="R1367" i="3"/>
  <c r="R1366" i="3"/>
  <c r="R1365" i="3"/>
  <c r="P1369" i="3"/>
  <c r="P1368" i="3"/>
  <c r="P1367" i="3"/>
  <c r="P1366" i="3"/>
  <c r="P1365" i="3"/>
  <c r="N1369" i="3"/>
  <c r="N1368" i="3"/>
  <c r="N1367" i="3"/>
  <c r="N1366" i="3"/>
  <c r="N1365" i="3"/>
  <c r="K1367" i="3"/>
  <c r="K1366" i="3"/>
  <c r="K1365" i="3"/>
  <c r="K1369" i="3"/>
  <c r="K1368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D9" i="3"/>
  <c r="D3" i="3"/>
  <c r="D4" i="3"/>
  <c r="D5" i="3"/>
  <c r="D6" i="3"/>
  <c r="D7" i="3"/>
  <c r="D8" i="3"/>
  <c r="D2" i="3"/>
  <c r="V7" i="5" l="1"/>
  <c r="W7" i="5" s="1"/>
  <c r="X7" i="5" s="1"/>
  <c r="V31" i="5"/>
  <c r="W31" i="5" s="1"/>
  <c r="X31" i="5" s="1"/>
  <c r="T44" i="5" s="1"/>
  <c r="V44" i="5" s="1"/>
  <c r="N23" i="5"/>
  <c r="O23" i="5" s="1"/>
  <c r="N24" i="5"/>
  <c r="O24" i="5" s="1"/>
  <c r="N25" i="5"/>
  <c r="O25" i="5" s="1"/>
  <c r="N26" i="5"/>
  <c r="O26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21" i="5"/>
  <c r="O21" i="5" s="1"/>
  <c r="N20" i="5"/>
  <c r="O20" i="5" s="1"/>
  <c r="N22" i="5"/>
  <c r="O22" i="5" s="1"/>
  <c r="M32" i="5"/>
  <c r="M34" i="5"/>
  <c r="M35" i="5"/>
  <c r="M37" i="5"/>
  <c r="M33" i="5"/>
  <c r="M36" i="5"/>
  <c r="M31" i="5"/>
  <c r="N31" i="5" s="1"/>
  <c r="O31" i="5" s="1"/>
  <c r="N37" i="5" l="1"/>
  <c r="O37" i="5" s="1"/>
  <c r="N35" i="5"/>
  <c r="O35" i="5" s="1"/>
  <c r="N33" i="5"/>
  <c r="O33" i="5" s="1"/>
  <c r="N36" i="5"/>
  <c r="O36" i="5" s="1"/>
  <c r="N32" i="5"/>
  <c r="O32" i="5" s="1"/>
  <c r="N34" i="5"/>
  <c r="O34" i="5" s="1"/>
</calcChain>
</file>

<file path=xl/sharedStrings.xml><?xml version="1.0" encoding="utf-8"?>
<sst xmlns="http://schemas.openxmlformats.org/spreadsheetml/2006/main" count="7844" uniqueCount="291">
  <si>
    <t>cell type</t>
  </si>
  <si>
    <t>assay time point</t>
  </si>
  <si>
    <t>add information</t>
  </si>
  <si>
    <t>NF2-/- cells</t>
  </si>
  <si>
    <t>48 hours</t>
  </si>
  <si>
    <t>2 runs</t>
  </si>
  <si>
    <t>24 hours</t>
  </si>
  <si>
    <t>wt cells</t>
  </si>
  <si>
    <r>
      <rPr>
        <sz val="11"/>
        <color theme="1"/>
        <rFont val="Calibri"/>
      </rPr>
      <t xml:space="preserve">2 runs, </t>
    </r>
    <r>
      <rPr>
        <b/>
        <sz val="12"/>
        <color theme="1"/>
        <rFont val="Calibri"/>
      </rPr>
      <t>2 media (ScienCell and UCF)</t>
    </r>
  </si>
  <si>
    <t>NF2-/- and wt cells</t>
  </si>
  <si>
    <t>Column headers</t>
  </si>
  <si>
    <t>compound</t>
  </si>
  <si>
    <t>compound name</t>
  </si>
  <si>
    <t>target(s)</t>
  </si>
  <si>
    <t>targets (web search results)</t>
  </si>
  <si>
    <t>final compound concentration uM</t>
  </si>
  <si>
    <t>compound concentration</t>
  </si>
  <si>
    <t>NF2-/- or wt</t>
  </si>
  <si>
    <t>time point</t>
  </si>
  <si>
    <t>media wt cells</t>
  </si>
  <si>
    <t>ScienCell or UCF media, for wt cells only</t>
  </si>
  <si>
    <t>wt lot nb</t>
  </si>
  <si>
    <t>(2 different wt cell lots were used in the course of the project)</t>
  </si>
  <si>
    <t>IC50 [uM]</t>
  </si>
  <si>
    <t>IC50 as indicated in reports</t>
  </si>
  <si>
    <t>TripMean_EDU_index</t>
  </si>
  <si>
    <t>percentage of EDU-positive nuclei, mean value of three replicates</t>
  </si>
  <si>
    <t>SD_EDU_index</t>
  </si>
  <si>
    <t>standard deviation of replicates for EDU-positive nuclei index</t>
  </si>
  <si>
    <t>TripMean_number_of_nuclei</t>
  </si>
  <si>
    <t>number of nuclei, mean value of three replicates</t>
  </si>
  <si>
    <t>SD_number_of_nuclei</t>
  </si>
  <si>
    <t>standard deviation of replicates for number of nuclei</t>
  </si>
  <si>
    <t>TripMean_large_index</t>
  </si>
  <si>
    <t>percentage of large nuclei (area cut-off), mean value of three replicates</t>
  </si>
  <si>
    <t>SD_large_index</t>
  </si>
  <si>
    <t>standard deviation of replicates for large nuclei index</t>
  </si>
  <si>
    <t>TripMean_mitotic_index</t>
  </si>
  <si>
    <t>percentage of mitotic (PH3-positive) nuceli, mean value of three replicates</t>
  </si>
  <si>
    <t>SD_mitotic_index</t>
  </si>
  <si>
    <t>standard deviation of replicates for mitotic index</t>
  </si>
  <si>
    <t>TripMean_small_index</t>
  </si>
  <si>
    <t>percentage of small nuclei (area cut-off), mean vlaue of three replicates</t>
  </si>
  <si>
    <t>SD_small_index</t>
  </si>
  <si>
    <t>standard deviation of replicates for small nuclei index</t>
  </si>
  <si>
    <t>TripMean_nuclear_deformation_index</t>
  </si>
  <si>
    <t xml:space="preserve">percentage of deformed (non-ellipsoid) nuclei, mean value of three replicates </t>
  </si>
  <si>
    <t>SD_nuclear_deformation_index</t>
  </si>
  <si>
    <t>standard deviation of replicates for deformed nuclei index</t>
  </si>
  <si>
    <t>TripMean_nuclear_condensation_index</t>
  </si>
  <si>
    <t>percentage of condensed nuclei (intensity and heterogeneity), mean vlaue of three replicates</t>
  </si>
  <si>
    <t>SD_nuclear_condensation_index</t>
  </si>
  <si>
    <t>standard deviation of replicates for condensed nuclei</t>
  </si>
  <si>
    <t>norm_TripMean_number nuclei</t>
  </si>
  <si>
    <r>
      <rPr>
        <sz val="11"/>
        <color theme="1"/>
        <rFont val="Calibri"/>
      </rPr>
      <t xml:space="preserve">percentage of EDU-positive nuclei, </t>
    </r>
    <r>
      <rPr>
        <b/>
        <sz val="12"/>
        <color theme="1"/>
        <rFont val="Calibri"/>
      </rPr>
      <t>normalized to DMSO-treated cells,</t>
    </r>
    <r>
      <rPr>
        <sz val="11"/>
        <color theme="1"/>
        <rFont val="Calibri"/>
      </rPr>
      <t xml:space="preserve"> mean value of three replicates</t>
    </r>
  </si>
  <si>
    <t>norm_SD_number of nuclei</t>
  </si>
  <si>
    <r>
      <rPr>
        <sz val="11"/>
        <color theme="1"/>
        <rFont val="Calibri"/>
      </rPr>
      <t xml:space="preserve">standard deviation of </t>
    </r>
    <r>
      <rPr>
        <b/>
        <sz val="12"/>
        <color theme="1"/>
        <rFont val="Calibri"/>
      </rPr>
      <t>normalized values</t>
    </r>
    <r>
      <rPr>
        <sz val="11"/>
        <color theme="1"/>
        <rFont val="Calibri"/>
      </rPr>
      <t xml:space="preserve"> of replicates for EDU-positive nuclei index</t>
    </r>
  </si>
  <si>
    <t>norm_TripMean_EDU index</t>
  </si>
  <si>
    <r>
      <rPr>
        <sz val="11"/>
        <color theme="1"/>
        <rFont val="Calibri"/>
      </rPr>
      <t>number of nuclei,</t>
    </r>
    <r>
      <rPr>
        <b/>
        <sz val="12"/>
        <color theme="1"/>
        <rFont val="Calibri"/>
      </rPr>
      <t xml:space="preserve"> normalized to DMSO-treated cells</t>
    </r>
    <r>
      <rPr>
        <sz val="11"/>
        <color theme="1"/>
        <rFont val="Calibri"/>
      </rPr>
      <t>, mean value of three replicates</t>
    </r>
  </si>
  <si>
    <t>norm_SD_EDU index</t>
  </si>
  <si>
    <r>
      <rPr>
        <sz val="11"/>
        <color theme="1"/>
        <rFont val="Calibri"/>
      </rPr>
      <t xml:space="preserve">standard deviation of </t>
    </r>
    <r>
      <rPr>
        <b/>
        <sz val="12"/>
        <color theme="1"/>
        <rFont val="Calibri"/>
      </rPr>
      <t>normalized values</t>
    </r>
    <r>
      <rPr>
        <sz val="11"/>
        <color theme="1"/>
        <rFont val="Calibri"/>
      </rPr>
      <t xml:space="preserve"> of replicates for number of nuclei</t>
    </r>
  </si>
  <si>
    <t>norm_TripMean_small index</t>
  </si>
  <si>
    <r>
      <rPr>
        <sz val="11"/>
        <color theme="1"/>
        <rFont val="Calibri"/>
      </rPr>
      <t xml:space="preserve">percentage of large nuclei (area cut-off), </t>
    </r>
    <r>
      <rPr>
        <b/>
        <sz val="12"/>
        <color theme="1"/>
        <rFont val="Calibri"/>
      </rPr>
      <t>normalized to DMSO-treated cells,</t>
    </r>
    <r>
      <rPr>
        <sz val="11"/>
        <color theme="1"/>
        <rFont val="Calibri"/>
      </rPr>
      <t xml:space="preserve"> mean value of three replicates</t>
    </r>
  </si>
  <si>
    <t>norm_SD_small index</t>
  </si>
  <si>
    <r>
      <rPr>
        <sz val="11"/>
        <color theme="1"/>
        <rFont val="Calibri"/>
      </rPr>
      <t xml:space="preserve">standard deviation of </t>
    </r>
    <r>
      <rPr>
        <b/>
        <sz val="12"/>
        <color theme="1"/>
        <rFont val="Calibri"/>
      </rPr>
      <t xml:space="preserve">normalized values </t>
    </r>
    <r>
      <rPr>
        <sz val="11"/>
        <color theme="1"/>
        <rFont val="Calibri"/>
      </rPr>
      <t>of replicates for large nuclei index</t>
    </r>
  </si>
  <si>
    <t>norm_TripMean_large index</t>
  </si>
  <si>
    <r>
      <rPr>
        <sz val="11"/>
        <color theme="1"/>
        <rFont val="Calibri"/>
      </rPr>
      <t xml:space="preserve">percentage of mitotic (PH3-positive) nuclei, </t>
    </r>
    <r>
      <rPr>
        <b/>
        <sz val="12"/>
        <color theme="1"/>
        <rFont val="Calibri"/>
      </rPr>
      <t>normalized to DMSO-treated cells</t>
    </r>
    <r>
      <rPr>
        <sz val="11"/>
        <color theme="1"/>
        <rFont val="Calibri"/>
      </rPr>
      <t>, mean value of three replicates</t>
    </r>
  </si>
  <si>
    <t>norm_SD_large index</t>
  </si>
  <si>
    <r>
      <rPr>
        <sz val="11"/>
        <color theme="1"/>
        <rFont val="Calibri"/>
      </rPr>
      <t xml:space="preserve">standard deviation of </t>
    </r>
    <r>
      <rPr>
        <b/>
        <sz val="12"/>
        <color theme="1"/>
        <rFont val="Calibri"/>
      </rPr>
      <t>normalized values</t>
    </r>
    <r>
      <rPr>
        <sz val="11"/>
        <color theme="1"/>
        <rFont val="Calibri"/>
      </rPr>
      <t xml:space="preserve"> of replicates for mitotic index</t>
    </r>
  </si>
  <si>
    <t>norm_TripMean_mitotic index</t>
  </si>
  <si>
    <r>
      <rPr>
        <sz val="11"/>
        <color theme="1"/>
        <rFont val="Calibri"/>
      </rPr>
      <t xml:space="preserve">percentage of small nuclei (area cut-off), </t>
    </r>
    <r>
      <rPr>
        <b/>
        <sz val="12"/>
        <color theme="1"/>
        <rFont val="Calibri"/>
      </rPr>
      <t xml:space="preserve">normalized to DMSO-treated cells, </t>
    </r>
    <r>
      <rPr>
        <sz val="11"/>
        <color theme="1"/>
        <rFont val="Calibri"/>
      </rPr>
      <t>mean vlaue of three replicates</t>
    </r>
  </si>
  <si>
    <t>norm_SD_mitotic index</t>
  </si>
  <si>
    <r>
      <rPr>
        <sz val="11"/>
        <color theme="1"/>
        <rFont val="Calibri"/>
      </rPr>
      <t xml:space="preserve">standard deviation of </t>
    </r>
    <r>
      <rPr>
        <b/>
        <sz val="12"/>
        <color theme="1"/>
        <rFont val="Calibri"/>
      </rPr>
      <t xml:space="preserve">normalized values of </t>
    </r>
    <r>
      <rPr>
        <sz val="11"/>
        <color theme="1"/>
        <rFont val="Calibri"/>
      </rPr>
      <t>replicates for small nuclei index</t>
    </r>
  </si>
  <si>
    <t>norm_TripMean_deform index</t>
  </si>
  <si>
    <r>
      <rPr>
        <sz val="11"/>
        <color theme="1"/>
        <rFont val="Calibri"/>
      </rPr>
      <t xml:space="preserve">percentage of deformed (non-ellipsoid) nuclei, </t>
    </r>
    <r>
      <rPr>
        <b/>
        <sz val="12"/>
        <color theme="1"/>
        <rFont val="Calibri"/>
      </rPr>
      <t xml:space="preserve">normalized to DMSO-treated cells, </t>
    </r>
    <r>
      <rPr>
        <sz val="11"/>
        <color theme="1"/>
        <rFont val="Calibri"/>
      </rPr>
      <t xml:space="preserve">mean value of three replicates </t>
    </r>
  </si>
  <si>
    <t>norm_SD_deform index</t>
  </si>
  <si>
    <r>
      <rPr>
        <sz val="11"/>
        <color theme="1"/>
        <rFont val="Calibri"/>
      </rPr>
      <t>standard deviation of</t>
    </r>
    <r>
      <rPr>
        <b/>
        <sz val="12"/>
        <color theme="1"/>
        <rFont val="Calibri"/>
      </rPr>
      <t xml:space="preserve"> normalized values</t>
    </r>
    <r>
      <rPr>
        <sz val="11"/>
        <color theme="1"/>
        <rFont val="Calibri"/>
      </rPr>
      <t xml:space="preserve"> of replicates for deformed nuclei index</t>
    </r>
  </si>
  <si>
    <t>norm_TripMean_cond index</t>
  </si>
  <si>
    <r>
      <rPr>
        <sz val="11"/>
        <color theme="1"/>
        <rFont val="Calibri"/>
      </rPr>
      <t xml:space="preserve">percentage of condensed nuclei (intensity and heterogeneity), </t>
    </r>
    <r>
      <rPr>
        <b/>
        <sz val="12"/>
        <color theme="1"/>
        <rFont val="Calibri"/>
      </rPr>
      <t xml:space="preserve">normalized to DMSO-treated cells, </t>
    </r>
    <r>
      <rPr>
        <sz val="11"/>
        <color theme="1"/>
        <rFont val="Calibri"/>
      </rPr>
      <t>mean vlaue of three replicates</t>
    </r>
  </si>
  <si>
    <t>norm_SD_cond index</t>
  </si>
  <si>
    <r>
      <rPr>
        <sz val="11"/>
        <color theme="1"/>
        <rFont val="Calibri"/>
      </rPr>
      <t xml:space="preserve">standard deviation of </t>
    </r>
    <r>
      <rPr>
        <b/>
        <sz val="12"/>
        <color theme="1"/>
        <rFont val="Calibri"/>
      </rPr>
      <t xml:space="preserve">normalized values of </t>
    </r>
    <r>
      <rPr>
        <sz val="11"/>
        <color theme="1"/>
        <rFont val="Calibri"/>
      </rPr>
      <t>replicates for condensed nuclei</t>
    </r>
  </si>
  <si>
    <t>BMS-777607</t>
  </si>
  <si>
    <t>c-Met</t>
  </si>
  <si>
    <t>NF2-/-</t>
  </si>
  <si>
    <t>48h</t>
  </si>
  <si>
    <t>wt</t>
  </si>
  <si>
    <t>ScienCell</t>
  </si>
  <si>
    <t>n.d.</t>
  </si>
  <si>
    <t>Celecoxib</t>
  </si>
  <si>
    <t>Cox2</t>
  </si>
  <si>
    <t>CUDC-907</t>
  </si>
  <si>
    <t>HDAC,PI3K</t>
  </si>
  <si>
    <t>INCB28060</t>
  </si>
  <si>
    <t>OSI-906 (Linsitinib)</t>
  </si>
  <si>
    <t>IGF1R</t>
  </si>
  <si>
    <t>17-AAG</t>
  </si>
  <si>
    <t>HSP90</t>
  </si>
  <si>
    <t>A-769662</t>
  </si>
  <si>
    <t>PI3K</t>
  </si>
  <si>
    <t>A83-01</t>
  </si>
  <si>
    <t>ALK-4, ALK-5, ALK-7</t>
  </si>
  <si>
    <t>AEE788</t>
  </si>
  <si>
    <t>HER, VEGFR, RYK</t>
  </si>
  <si>
    <t>Afatinib</t>
  </si>
  <si>
    <t>EGFR</t>
  </si>
  <si>
    <t>AP26113</t>
  </si>
  <si>
    <t>ALK</t>
  </si>
  <si>
    <t>AR42</t>
  </si>
  <si>
    <t>HDAC</t>
  </si>
  <si>
    <t>NF2 -/-</t>
  </si>
  <si>
    <t>24h</t>
  </si>
  <si>
    <t>UCF</t>
  </si>
  <si>
    <t>Arry-380</t>
  </si>
  <si>
    <t>ERBB2</t>
  </si>
  <si>
    <t>ARRY334543</t>
  </si>
  <si>
    <t>AS605240</t>
  </si>
  <si>
    <t>PI3Kg</t>
  </si>
  <si>
    <t>AT13387</t>
  </si>
  <si>
    <t>AUY922</t>
  </si>
  <si>
    <t>AZD5363</t>
  </si>
  <si>
    <t>AZD8931</t>
  </si>
  <si>
    <t>BEZ235</t>
  </si>
  <si>
    <t>PI3K, mTor</t>
  </si>
  <si>
    <t>BMS 794833</t>
  </si>
  <si>
    <t>VEGF, c-Met</t>
  </si>
  <si>
    <t>BMS-5</t>
  </si>
  <si>
    <t>BMS-599626</t>
  </si>
  <si>
    <t>HER1/2</t>
  </si>
  <si>
    <t>BNTX maleate salt hydrate</t>
  </si>
  <si>
    <t>DOR1</t>
  </si>
  <si>
    <t>Cantharidin</t>
  </si>
  <si>
    <t>PPP2A</t>
  </si>
  <si>
    <t>CGP-74514A hydrochloride</t>
  </si>
  <si>
    <t>CDK1</t>
  </si>
  <si>
    <t>CH5132799</t>
  </si>
  <si>
    <t>CH5424802</t>
  </si>
  <si>
    <t>CI-1033</t>
  </si>
  <si>
    <t>CI994</t>
  </si>
  <si>
    <t>CP-724714</t>
  </si>
  <si>
    <t>Crenolanib (CP-868596)</t>
  </si>
  <si>
    <t>PDGFRa/b</t>
  </si>
  <si>
    <t>Crizotinib</t>
  </si>
  <si>
    <t>c-Met, Alk</t>
  </si>
  <si>
    <t>CUDC-101</t>
  </si>
  <si>
    <t>HDAC, EGFR, HER2</t>
  </si>
  <si>
    <t>Dacomitinib</t>
  </si>
  <si>
    <t>DMSO</t>
  </si>
  <si>
    <t>DMSO 0.5%</t>
  </si>
  <si>
    <t>DMSO 1%</t>
  </si>
  <si>
    <t>Ebastine</t>
  </si>
  <si>
    <t>HRH1</t>
  </si>
  <si>
    <t>Enzastaurin</t>
  </si>
  <si>
    <t>PKC</t>
  </si>
  <si>
    <t>Erlotinib</t>
  </si>
  <si>
    <t>EX527</t>
  </si>
  <si>
    <t>SIRT1</t>
  </si>
  <si>
    <t>Fostriecin sodium salt</t>
  </si>
  <si>
    <t>Phosphatases</t>
  </si>
  <si>
    <t>Ganetespib</t>
  </si>
  <si>
    <t>GDC-0068</t>
  </si>
  <si>
    <t>GDC-0349</t>
  </si>
  <si>
    <t>GDC-0941</t>
  </si>
  <si>
    <t>GDC0941</t>
  </si>
  <si>
    <t>PI3Ka/d</t>
  </si>
  <si>
    <t>GSK1904529A</t>
  </si>
  <si>
    <t>GSK2126458</t>
  </si>
  <si>
    <t>GW7647</t>
  </si>
  <si>
    <t>PPARa</t>
  </si>
  <si>
    <t>IC-87114</t>
  </si>
  <si>
    <t>Imatinib</t>
  </si>
  <si>
    <t>v-Abl, c-Kit, PDGFR</t>
  </si>
  <si>
    <t>JNJ-26481585</t>
  </si>
  <si>
    <t>Ki8751</t>
  </si>
  <si>
    <t>VEGFR</t>
  </si>
  <si>
    <t>KW-2478</t>
  </si>
  <si>
    <t>L663,536 (a.k.a. MK-886)</t>
  </si>
  <si>
    <t>FLAP, leukotriene</t>
  </si>
  <si>
    <t>Lapatinib</t>
  </si>
  <si>
    <t>EGFR, ErbB2</t>
  </si>
  <si>
    <t>LDK378</t>
  </si>
  <si>
    <t>LGK-974</t>
  </si>
  <si>
    <t>Porcupine</t>
  </si>
  <si>
    <t>LX7101</t>
  </si>
  <si>
    <t>LIMK2</t>
  </si>
  <si>
    <t>LY2801653</t>
  </si>
  <si>
    <t>Masoprocol</t>
  </si>
  <si>
    <t>Lipoxygenase</t>
  </si>
  <si>
    <t>Metformin HCl</t>
  </si>
  <si>
    <t>Mitochondrial resp chain</t>
  </si>
  <si>
    <t>MGCD-265</t>
  </si>
  <si>
    <t>c-Met, VEGFR</t>
  </si>
  <si>
    <t>Naltrindole</t>
  </si>
  <si>
    <t>OPRD1</t>
  </si>
  <si>
    <t>Neratinib</t>
  </si>
  <si>
    <t>EGFR, Her2</t>
  </si>
  <si>
    <t>Nilotinib</t>
  </si>
  <si>
    <t>Bcr-Abl</t>
  </si>
  <si>
    <t>NVP-AEW541</t>
  </si>
  <si>
    <t>NVP-BGT226</t>
  </si>
  <si>
    <t>Okadaic acid</t>
  </si>
  <si>
    <t>Phosphatases Type 1, Type 2A</t>
  </si>
  <si>
    <t>Panobinostat</t>
  </si>
  <si>
    <t>Pazopanib</t>
  </si>
  <si>
    <t>VEGFR, PDGFR</t>
  </si>
  <si>
    <t>PCI-34051</t>
  </si>
  <si>
    <t>PF-03758309</t>
  </si>
  <si>
    <t>PAK4</t>
  </si>
  <si>
    <t>PF-04929113</t>
  </si>
  <si>
    <t>QNZ (EVP4593)</t>
  </si>
  <si>
    <t>NFKB</t>
  </si>
  <si>
    <t>R428 (BGB324)</t>
  </si>
  <si>
    <t>Axl</t>
  </si>
  <si>
    <t>Rocilinostat</t>
  </si>
  <si>
    <t>SB 747651A dihydrochloride</t>
  </si>
  <si>
    <t>MSK, PKA, PKB</t>
  </si>
  <si>
    <t>SB431542</t>
  </si>
  <si>
    <t>RSTK</t>
  </si>
  <si>
    <t>SGI-1776</t>
  </si>
  <si>
    <t>PIM1</t>
  </si>
  <si>
    <t>SGX-523</t>
  </si>
  <si>
    <t>Sorafenib</t>
  </si>
  <si>
    <t>Raf-1, BRAF, VEGFR-2</t>
  </si>
  <si>
    <t>SU11274</t>
  </si>
  <si>
    <t>Tandutinib</t>
  </si>
  <si>
    <t>FLT3, PDGFR, c-Kit</t>
  </si>
  <si>
    <t>TCS 359</t>
  </si>
  <si>
    <t>FLT3</t>
  </si>
  <si>
    <t>TSU-68 (SU6668)</t>
  </si>
  <si>
    <t>PDGFR, Flk-1, FGFR1</t>
  </si>
  <si>
    <t>untreated</t>
  </si>
  <si>
    <t>Vandetanib</t>
  </si>
  <si>
    <t>VEGFR, EGFR</t>
  </si>
  <si>
    <t>XL765</t>
  </si>
  <si>
    <t>compounds</t>
  </si>
  <si>
    <t>comp. A conc</t>
  </si>
  <si>
    <t>comp. B conc</t>
  </si>
  <si>
    <t>Mean(regular nuclei)</t>
  </si>
  <si>
    <t>Standard deviation(regular nuclei)</t>
  </si>
  <si>
    <t>Celecoxib / CUDC907</t>
  </si>
  <si>
    <t>0.003uM</t>
  </si>
  <si>
    <t>0.01uM</t>
  </si>
  <si>
    <t>0.03uM</t>
  </si>
  <si>
    <t>0.1uM</t>
  </si>
  <si>
    <t>0.3uM</t>
  </si>
  <si>
    <t>10uM</t>
  </si>
  <si>
    <t>1uM</t>
  </si>
  <si>
    <t>3uM</t>
  </si>
  <si>
    <t>non</t>
  </si>
  <si>
    <t>medium only</t>
  </si>
  <si>
    <t>&gt;</t>
  </si>
  <si>
    <t>log { }</t>
  </si>
  <si>
    <t>test/dmso</t>
  </si>
  <si>
    <t xml:space="preserve">average </t>
  </si>
  <si>
    <t>wt untreated</t>
  </si>
  <si>
    <t>wt DMSO</t>
  </si>
  <si>
    <t>NF2-/- DMSO</t>
  </si>
  <si>
    <t>NF2-/- DMSO  1.0%</t>
  </si>
  <si>
    <t>NF2-/- DMSO  0.5%</t>
  </si>
  <si>
    <t>comtrols EDU index</t>
  </si>
  <si>
    <t>comtrols # nuclei</t>
  </si>
  <si>
    <t>comtrols niuc cond</t>
  </si>
  <si>
    <t>comtrols  ucl deform</t>
  </si>
  <si>
    <t>comtrols small</t>
  </si>
  <si>
    <t>comtrols mit indx</t>
  </si>
  <si>
    <t>comtrols large</t>
  </si>
  <si>
    <t>test/control ratio</t>
  </si>
  <si>
    <t>----</t>
  </si>
  <si>
    <t>x 100 scalar</t>
  </si>
  <si>
    <t>Emax/EC50</t>
  </si>
  <si>
    <t>A-D (Emax)</t>
  </si>
  <si>
    <t>C (EC50)</t>
  </si>
  <si>
    <r>
      <t xml:space="preserve"> x 1 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>M</t>
    </r>
  </si>
  <si>
    <t>0 (EDU signal)</t>
  </si>
  <si>
    <t>average</t>
  </si>
  <si>
    <t xml:space="preserve">normalize </t>
  </si>
  <si>
    <t>Parameter Values</t>
  </si>
  <si>
    <t xml:space="preserve">   A</t>
  </si>
  <si>
    <t xml:space="preserve">   B</t>
  </si>
  <si>
    <t xml:space="preserve">   logC</t>
  </si>
  <si>
    <t xml:space="preserve">   D</t>
  </si>
  <si>
    <t xml:space="preserve">   C</t>
  </si>
  <si>
    <t>S' for 17-AAG in NF2-/- at 48 hours</t>
  </si>
  <si>
    <t>S' for AR42 in NF2-/- at 48 hours</t>
  </si>
  <si>
    <t>S' for AR42 in wt (wild type)  at 48 hours</t>
  </si>
  <si>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Calibri"/>
        <family val="2"/>
      </rPr>
      <t>S'</t>
    </r>
  </si>
  <si>
    <t>4-PL model</t>
  </si>
  <si>
    <t>𝐴𝐵=𝑥1</t>
  </si>
  <si>
    <t>normalise to 1</t>
  </si>
  <si>
    <t>ratio</t>
  </si>
  <si>
    <t>test (NF2-/-)</t>
  </si>
  <si>
    <t>reference (wt)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</si>
</sst>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0" xfId="0" applyFont="1" applyFill="1"/>
    <xf numFmtId="0" fontId="0" fillId="2" borderId="0" xfId="0" applyFill="1"/>
    <xf numFmtId="0" fontId="9" fillId="2" borderId="0" xfId="0" applyFont="1" applyFill="1"/>
    <xf numFmtId="0" fontId="9" fillId="0" borderId="0" xfId="0" applyFont="1"/>
    <xf numFmtId="0" fontId="4" fillId="3" borderId="0" xfId="0" applyFont="1" applyFill="1"/>
    <xf numFmtId="0" fontId="7" fillId="2" borderId="0" xfId="0" applyFont="1" applyFill="1"/>
    <xf numFmtId="0" fontId="10" fillId="2" borderId="0" xfId="0" applyFont="1" applyFill="1"/>
    <xf numFmtId="2" fontId="4" fillId="0" borderId="0" xfId="0" applyNumberFormat="1" applyFont="1"/>
    <xf numFmtId="2" fontId="4" fillId="2" borderId="0" xfId="0" applyNumberFormat="1" applyFont="1" applyFill="1"/>
    <xf numFmtId="2" fontId="7" fillId="0" borderId="0" xfId="0" applyNumberFormat="1" applyFont="1"/>
    <xf numFmtId="2" fontId="7" fillId="2" borderId="0" xfId="0" applyNumberFormat="1" applyFont="1" applyFill="1"/>
    <xf numFmtId="2" fontId="0" fillId="0" borderId="0" xfId="0" applyNumberFormat="1"/>
    <xf numFmtId="2" fontId="0" fillId="2" borderId="0" xfId="0" applyNumberFormat="1" applyFill="1"/>
    <xf numFmtId="2" fontId="0" fillId="4" borderId="0" xfId="0" applyNumberFormat="1" applyFill="1"/>
    <xf numFmtId="2" fontId="4" fillId="4" borderId="0" xfId="0" applyNumberFormat="1" applyFont="1" applyFill="1"/>
    <xf numFmtId="0" fontId="4" fillId="4" borderId="0" xfId="0" applyFont="1" applyFill="1"/>
    <xf numFmtId="0" fontId="0" fillId="4" borderId="0" xfId="0" applyFill="1"/>
    <xf numFmtId="0" fontId="7" fillId="5" borderId="0" xfId="0" applyFont="1" applyFill="1"/>
    <xf numFmtId="2" fontId="4" fillId="5" borderId="0" xfId="0" applyNumberFormat="1" applyFont="1" applyFill="1"/>
    <xf numFmtId="2" fontId="4" fillId="7" borderId="0" xfId="0" applyNumberFormat="1" applyFont="1" applyFill="1"/>
    <xf numFmtId="2" fontId="0" fillId="9" borderId="0" xfId="0" applyNumberFormat="1" applyFill="1"/>
    <xf numFmtId="2" fontId="4" fillId="8" borderId="0" xfId="0" applyNumberFormat="1" applyFont="1" applyFill="1"/>
    <xf numFmtId="2" fontId="4" fillId="9" borderId="0" xfId="0" applyNumberFormat="1" applyFont="1" applyFill="1"/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4" fillId="6" borderId="0" xfId="0" applyNumberFormat="1" applyFont="1" applyFill="1"/>
    <xf numFmtId="0" fontId="7" fillId="0" borderId="1" xfId="0" applyFont="1" applyBorder="1"/>
    <xf numFmtId="0" fontId="7" fillId="5" borderId="1" xfId="0" applyFont="1" applyFill="1" applyBorder="1"/>
    <xf numFmtId="0" fontId="4" fillId="0" borderId="1" xfId="0" applyFont="1" applyBorder="1"/>
    <xf numFmtId="2" fontId="4" fillId="5" borderId="1" xfId="0" applyNumberFormat="1" applyFont="1" applyFill="1" applyBorder="1"/>
    <xf numFmtId="0" fontId="0" fillId="0" borderId="1" xfId="0" applyBorder="1"/>
    <xf numFmtId="2" fontId="4" fillId="0" borderId="1" xfId="0" applyNumberFormat="1" applyFont="1" applyBorder="1"/>
    <xf numFmtId="0" fontId="4" fillId="2" borderId="1" xfId="0" applyFont="1" applyFill="1" applyBorder="1"/>
    <xf numFmtId="0" fontId="0" fillId="2" borderId="1" xfId="0" applyFill="1" applyBorder="1"/>
    <xf numFmtId="2" fontId="4" fillId="2" borderId="1" xfId="0" applyNumberFormat="1" applyFont="1" applyFill="1" applyBorder="1"/>
    <xf numFmtId="0" fontId="4" fillId="4" borderId="1" xfId="0" applyFont="1" applyFill="1" applyBorder="1"/>
    <xf numFmtId="2" fontId="4" fillId="9" borderId="1" xfId="0" applyNumberFormat="1" applyFont="1" applyFill="1" applyBorder="1"/>
    <xf numFmtId="0" fontId="2" fillId="0" borderId="0" xfId="0" applyFont="1"/>
    <xf numFmtId="0" fontId="2" fillId="0" borderId="0" xfId="0" quotePrefix="1" applyFont="1"/>
    <xf numFmtId="2" fontId="0" fillId="0" borderId="0" xfId="0" applyNumberFormat="1" applyAlignment="1">
      <alignment vertical="top"/>
    </xf>
    <xf numFmtId="2" fontId="11" fillId="0" borderId="0" xfId="0" applyNumberFormat="1" applyFont="1"/>
    <xf numFmtId="0" fontId="2" fillId="10" borderId="0" xfId="0" quotePrefix="1" applyFont="1" applyFill="1"/>
    <xf numFmtId="2" fontId="0" fillId="10" borderId="0" xfId="0" applyNumberFormat="1" applyFill="1"/>
    <xf numFmtId="2" fontId="7" fillId="5" borderId="1" xfId="0" applyNumberFormat="1" applyFont="1" applyFill="1" applyBorder="1"/>
    <xf numFmtId="2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10" fillId="0" borderId="1" xfId="0" applyFont="1" applyBorder="1" applyAlignment="1">
      <alignment horizontal="center"/>
    </xf>
    <xf numFmtId="2" fontId="11" fillId="0" borderId="1" xfId="0" applyNumberFormat="1" applyFont="1" applyBorder="1"/>
    <xf numFmtId="0" fontId="1" fillId="0" borderId="0" xfId="0" quotePrefix="1" applyFont="1"/>
    <xf numFmtId="2" fontId="1" fillId="0" borderId="0" xfId="0" applyNumberFormat="1" applyFont="1" applyAlignment="1">
      <alignment vertical="top"/>
    </xf>
    <xf numFmtId="0" fontId="2" fillId="0" borderId="1" xfId="0" applyFont="1" applyBorder="1"/>
    <xf numFmtId="0" fontId="2" fillId="10" borderId="1" xfId="0" quotePrefix="1" applyFont="1" applyFill="1" applyBorder="1"/>
    <xf numFmtId="2" fontId="0" fillId="0" borderId="1" xfId="0" applyNumberFormat="1" applyBorder="1"/>
    <xf numFmtId="2" fontId="0" fillId="10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2" fontId="7" fillId="6" borderId="1" xfId="0" quotePrefix="1" applyNumberFormat="1" applyFont="1" applyFill="1" applyBorder="1"/>
    <xf numFmtId="2" fontId="4" fillId="6" borderId="1" xfId="0" applyNumberFormat="1" applyFont="1" applyFill="1" applyBorder="1"/>
    <xf numFmtId="2" fontId="0" fillId="0" borderId="1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2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gi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509587</xdr:colOff>
      <xdr:row>26</xdr:row>
      <xdr:rowOff>4762</xdr:rowOff>
    </xdr:from>
    <xdr:to>
      <xdr:col>26</xdr:col>
      <xdr:colOff>623887</xdr:colOff>
      <xdr:row>28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4F7231-28A4-9923-C68E-AB114C6D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9062" y="4710112"/>
          <a:ext cx="5953125" cy="471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571500</xdr:colOff>
      <xdr:row>1</xdr:row>
      <xdr:rowOff>161925</xdr:rowOff>
    </xdr:from>
    <xdr:to>
      <xdr:col>27</xdr:col>
      <xdr:colOff>38100</xdr:colOff>
      <xdr:row>4</xdr:row>
      <xdr:rowOff>90488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FFF702-E8BE-4E64-BB7C-E5CDF68B4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75" y="342900"/>
          <a:ext cx="5953125" cy="471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9525</xdr:colOff>
      <xdr:row>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CF7110-AF46-5055-4ACE-A8E3258ED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54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27</xdr:col>
      <xdr:colOff>123825</xdr:colOff>
      <xdr:row>16</xdr:row>
      <xdr:rowOff>109538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043704-A7F9-4A62-9223-B1318706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2533650"/>
          <a:ext cx="5953125" cy="471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39</xdr:row>
          <xdr:rowOff>57150</xdr:rowOff>
        </xdr:from>
        <xdr:to>
          <xdr:col>28</xdr:col>
          <xdr:colOff>238125</xdr:colOff>
          <xdr:row>40</xdr:row>
          <xdr:rowOff>80963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5</xdr:col>
      <xdr:colOff>4763</xdr:colOff>
      <xdr:row>2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9074D-0D33-944E-8F00-CE5A5AC6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43263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D6" sqref="D6:D7"/>
    </sheetView>
  </sheetViews>
  <sheetFormatPr defaultColWidth="14.3984375" defaultRowHeight="15" customHeight="1" x14ac:dyDescent="0.45"/>
  <cols>
    <col min="1" max="1" width="19.86328125" customWidth="1"/>
    <col min="2" max="2" width="20" customWidth="1"/>
    <col min="3" max="3" width="25.1328125" customWidth="1"/>
    <col min="4" max="4" width="22.3984375" customWidth="1"/>
    <col min="5" max="5" width="14.265625" customWidth="1"/>
    <col min="6" max="6" width="47.86328125" customWidth="1"/>
    <col min="7" max="26" width="8.86328125" customWidth="1"/>
  </cols>
  <sheetData>
    <row r="1" spans="1:5" ht="21" x14ac:dyDescent="0.65">
      <c r="A1" s="1" t="s">
        <v>249</v>
      </c>
    </row>
    <row r="2" spans="1:5" ht="14.25" x14ac:dyDescent="0.45">
      <c r="A2" s="2" t="s">
        <v>0</v>
      </c>
      <c r="B2" s="2" t="s">
        <v>1</v>
      </c>
      <c r="C2" s="2" t="s">
        <v>2</v>
      </c>
    </row>
    <row r="3" spans="1:5" ht="14.25" x14ac:dyDescent="0.45">
      <c r="A3" s="2" t="s">
        <v>3</v>
      </c>
      <c r="B3" s="2" t="s">
        <v>4</v>
      </c>
      <c r="C3" s="2" t="s">
        <v>5</v>
      </c>
    </row>
    <row r="4" spans="1:5" ht="15.75" x14ac:dyDescent="0.5">
      <c r="A4" s="2" t="s">
        <v>3</v>
      </c>
      <c r="B4" s="3" t="s">
        <v>6</v>
      </c>
      <c r="C4" s="2" t="s">
        <v>5</v>
      </c>
      <c r="E4" s="4"/>
    </row>
    <row r="5" spans="1:5" ht="15.75" x14ac:dyDescent="0.5">
      <c r="A5" s="2" t="s">
        <v>7</v>
      </c>
      <c r="B5" s="2" t="s">
        <v>4</v>
      </c>
      <c r="C5" s="2" t="s">
        <v>8</v>
      </c>
    </row>
    <row r="6" spans="1:5" ht="15" customHeight="1" x14ac:dyDescent="0.5">
      <c r="A6" s="3" t="s">
        <v>9</v>
      </c>
      <c r="B6" s="2" t="s">
        <v>4</v>
      </c>
      <c r="D6" s="4"/>
    </row>
    <row r="7" spans="1:5" ht="15.75" x14ac:dyDescent="0.5">
      <c r="D7" s="4"/>
    </row>
    <row r="8" spans="1:5" ht="15.75" x14ac:dyDescent="0.5">
      <c r="D8" s="4"/>
    </row>
    <row r="9" spans="1:5" ht="21" x14ac:dyDescent="0.65">
      <c r="A9" s="1" t="s">
        <v>10</v>
      </c>
    </row>
    <row r="10" spans="1:5" ht="14.25" x14ac:dyDescent="0.45">
      <c r="A10" s="2" t="s">
        <v>11</v>
      </c>
      <c r="C10" s="2" t="s">
        <v>12</v>
      </c>
    </row>
    <row r="11" spans="1:5" ht="14.25" x14ac:dyDescent="0.45">
      <c r="A11" s="2" t="s">
        <v>13</v>
      </c>
      <c r="C11" s="2" t="s">
        <v>14</v>
      </c>
    </row>
    <row r="12" spans="1:5" ht="14.25" x14ac:dyDescent="0.45">
      <c r="A12" s="2" t="s">
        <v>15</v>
      </c>
      <c r="C12" s="2" t="s">
        <v>16</v>
      </c>
    </row>
    <row r="13" spans="1:5" ht="14.25" x14ac:dyDescent="0.45">
      <c r="A13" s="2" t="s">
        <v>0</v>
      </c>
      <c r="C13" s="2" t="s">
        <v>17</v>
      </c>
    </row>
    <row r="14" spans="1:5" ht="14.25" x14ac:dyDescent="0.45">
      <c r="A14" s="2" t="s">
        <v>18</v>
      </c>
      <c r="C14" s="2" t="s">
        <v>1</v>
      </c>
    </row>
    <row r="15" spans="1:5" ht="14.25" x14ac:dyDescent="0.45">
      <c r="A15" s="2" t="s">
        <v>19</v>
      </c>
      <c r="C15" s="2" t="s">
        <v>20</v>
      </c>
    </row>
    <row r="16" spans="1:5" ht="14.25" x14ac:dyDescent="0.45">
      <c r="A16" s="2" t="s">
        <v>21</v>
      </c>
      <c r="C16" s="2" t="s">
        <v>22</v>
      </c>
    </row>
    <row r="17" spans="1:3" ht="14.25" x14ac:dyDescent="0.45">
      <c r="A17" s="2" t="s">
        <v>23</v>
      </c>
      <c r="C17" s="2" t="s">
        <v>24</v>
      </c>
    </row>
    <row r="18" spans="1:3" ht="14.25" x14ac:dyDescent="0.45">
      <c r="A18" s="2" t="s">
        <v>25</v>
      </c>
      <c r="C18" s="2" t="s">
        <v>26</v>
      </c>
    </row>
    <row r="19" spans="1:3" ht="14.25" x14ac:dyDescent="0.45">
      <c r="A19" s="2" t="s">
        <v>27</v>
      </c>
      <c r="C19" s="2" t="s">
        <v>28</v>
      </c>
    </row>
    <row r="20" spans="1:3" ht="14.25" x14ac:dyDescent="0.45">
      <c r="A20" s="2" t="s">
        <v>29</v>
      </c>
      <c r="C20" s="2" t="s">
        <v>30</v>
      </c>
    </row>
    <row r="21" spans="1:3" ht="15.75" customHeight="1" x14ac:dyDescent="0.45">
      <c r="A21" s="2" t="s">
        <v>31</v>
      </c>
      <c r="C21" s="2" t="s">
        <v>32</v>
      </c>
    </row>
    <row r="22" spans="1:3" ht="15.75" customHeight="1" x14ac:dyDescent="0.45">
      <c r="A22" s="2" t="s">
        <v>33</v>
      </c>
      <c r="C22" s="2" t="s">
        <v>34</v>
      </c>
    </row>
    <row r="23" spans="1:3" ht="15.75" customHeight="1" x14ac:dyDescent="0.45">
      <c r="A23" s="2" t="s">
        <v>35</v>
      </c>
      <c r="C23" s="2" t="s">
        <v>36</v>
      </c>
    </row>
    <row r="24" spans="1:3" ht="15.75" customHeight="1" x14ac:dyDescent="0.45">
      <c r="A24" s="2" t="s">
        <v>37</v>
      </c>
      <c r="C24" s="2" t="s">
        <v>38</v>
      </c>
    </row>
    <row r="25" spans="1:3" ht="15.75" customHeight="1" x14ac:dyDescent="0.45">
      <c r="A25" s="2" t="s">
        <v>39</v>
      </c>
      <c r="C25" s="2" t="s">
        <v>40</v>
      </c>
    </row>
    <row r="26" spans="1:3" ht="15.75" customHeight="1" x14ac:dyDescent="0.45">
      <c r="A26" s="2" t="s">
        <v>41</v>
      </c>
      <c r="C26" s="2" t="s">
        <v>42</v>
      </c>
    </row>
    <row r="27" spans="1:3" ht="15.75" customHeight="1" x14ac:dyDescent="0.45">
      <c r="A27" s="2" t="s">
        <v>43</v>
      </c>
      <c r="C27" s="2" t="s">
        <v>44</v>
      </c>
    </row>
    <row r="28" spans="1:3" ht="15.75" customHeight="1" x14ac:dyDescent="0.45">
      <c r="A28" s="2" t="s">
        <v>45</v>
      </c>
      <c r="C28" s="2" t="s">
        <v>46</v>
      </c>
    </row>
    <row r="29" spans="1:3" ht="15.75" customHeight="1" x14ac:dyDescent="0.45">
      <c r="A29" s="2" t="s">
        <v>47</v>
      </c>
      <c r="C29" s="2" t="s">
        <v>48</v>
      </c>
    </row>
    <row r="30" spans="1:3" ht="15.75" customHeight="1" x14ac:dyDescent="0.45">
      <c r="A30" s="2" t="s">
        <v>49</v>
      </c>
      <c r="C30" s="2" t="s">
        <v>50</v>
      </c>
    </row>
    <row r="31" spans="1:3" ht="15.75" customHeight="1" x14ac:dyDescent="0.45">
      <c r="A31" s="2" t="s">
        <v>51</v>
      </c>
      <c r="C31" s="2" t="s">
        <v>52</v>
      </c>
    </row>
    <row r="32" spans="1:3" ht="15.75" customHeight="1" x14ac:dyDescent="0.5">
      <c r="A32" s="2" t="s">
        <v>53</v>
      </c>
      <c r="C32" s="2" t="s">
        <v>54</v>
      </c>
    </row>
    <row r="33" spans="1:3" ht="15.75" customHeight="1" x14ac:dyDescent="0.5">
      <c r="A33" s="2" t="s">
        <v>55</v>
      </c>
      <c r="C33" s="2" t="s">
        <v>56</v>
      </c>
    </row>
    <row r="34" spans="1:3" ht="15.75" customHeight="1" x14ac:dyDescent="0.5">
      <c r="A34" s="2" t="s">
        <v>57</v>
      </c>
      <c r="C34" s="2" t="s">
        <v>58</v>
      </c>
    </row>
    <row r="35" spans="1:3" ht="15.75" customHeight="1" x14ac:dyDescent="0.5">
      <c r="A35" s="2" t="s">
        <v>59</v>
      </c>
      <c r="C35" s="2" t="s">
        <v>60</v>
      </c>
    </row>
    <row r="36" spans="1:3" ht="15.75" customHeight="1" x14ac:dyDescent="0.5">
      <c r="A36" s="2" t="s">
        <v>61</v>
      </c>
      <c r="C36" s="2" t="s">
        <v>62</v>
      </c>
    </row>
    <row r="37" spans="1:3" ht="15.75" customHeight="1" x14ac:dyDescent="0.5">
      <c r="A37" s="2" t="s">
        <v>63</v>
      </c>
      <c r="C37" s="2" t="s">
        <v>64</v>
      </c>
    </row>
    <row r="38" spans="1:3" ht="15.75" customHeight="1" x14ac:dyDescent="0.5">
      <c r="A38" s="2" t="s">
        <v>65</v>
      </c>
      <c r="C38" s="2" t="s">
        <v>66</v>
      </c>
    </row>
    <row r="39" spans="1:3" ht="15.75" customHeight="1" x14ac:dyDescent="0.5">
      <c r="A39" s="2" t="s">
        <v>67</v>
      </c>
      <c r="C39" s="2" t="s">
        <v>68</v>
      </c>
    </row>
    <row r="40" spans="1:3" ht="15.75" customHeight="1" x14ac:dyDescent="0.5">
      <c r="A40" s="2" t="s">
        <v>69</v>
      </c>
      <c r="C40" s="2" t="s">
        <v>70</v>
      </c>
    </row>
    <row r="41" spans="1:3" ht="15.75" customHeight="1" x14ac:dyDescent="0.5">
      <c r="A41" s="2" t="s">
        <v>71</v>
      </c>
      <c r="C41" s="2" t="s">
        <v>72</v>
      </c>
    </row>
    <row r="42" spans="1:3" ht="15.75" customHeight="1" x14ac:dyDescent="0.5">
      <c r="A42" s="2" t="s">
        <v>73</v>
      </c>
      <c r="C42" s="2" t="s">
        <v>74</v>
      </c>
    </row>
    <row r="43" spans="1:3" ht="15.75" customHeight="1" x14ac:dyDescent="0.5">
      <c r="A43" s="2" t="s">
        <v>75</v>
      </c>
      <c r="C43" s="2" t="s">
        <v>76</v>
      </c>
    </row>
    <row r="44" spans="1:3" ht="15.75" customHeight="1" x14ac:dyDescent="0.5">
      <c r="A44" s="2" t="s">
        <v>77</v>
      </c>
      <c r="C44" s="2" t="s">
        <v>78</v>
      </c>
    </row>
    <row r="45" spans="1:3" ht="15.75" customHeight="1" x14ac:dyDescent="0.5">
      <c r="A45" s="2" t="s">
        <v>79</v>
      </c>
      <c r="C45" s="2" t="s">
        <v>80</v>
      </c>
    </row>
    <row r="46" spans="1:3" ht="15.75" customHeight="1" x14ac:dyDescent="0.45"/>
    <row r="47" spans="1:3" ht="15.75" customHeight="1" x14ac:dyDescent="0.45"/>
    <row r="48" spans="1:3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712"/>
  <sheetViews>
    <sheetView workbookViewId="0"/>
  </sheetViews>
  <sheetFormatPr defaultColWidth="14.3984375" defaultRowHeight="15" customHeight="1" x14ac:dyDescent="0.45"/>
  <cols>
    <col min="1" max="1" width="20.73046875" customWidth="1"/>
    <col min="2" max="2" width="11.3984375" customWidth="1"/>
    <col min="3" max="3" width="21.3984375" customWidth="1"/>
    <col min="4" max="5" width="8.86328125" customWidth="1"/>
    <col min="6" max="6" width="13" customWidth="1"/>
    <col min="7" max="8" width="8.86328125" customWidth="1"/>
    <col min="9" max="9" width="22" customWidth="1"/>
    <col min="10" max="10" width="13.73046875" customWidth="1"/>
    <col min="11" max="11" width="24.73046875" customWidth="1"/>
    <col min="12" max="12" width="14.3984375" customWidth="1"/>
    <col min="13" max="13" width="13.3984375" customWidth="1"/>
    <col min="14" max="14" width="14.265625" customWidth="1"/>
    <col min="15" max="15" width="12.265625" customWidth="1"/>
    <col min="16" max="16" width="12.86328125" customWidth="1"/>
    <col min="17" max="17" width="13.265625" customWidth="1"/>
    <col min="18" max="18" width="13" customWidth="1"/>
    <col min="19" max="19" width="12.265625" customWidth="1"/>
    <col min="20" max="20" width="8.86328125" customWidth="1"/>
    <col min="21" max="21" width="13.86328125" customWidth="1"/>
    <col min="22" max="22" width="14.86328125" customWidth="1"/>
    <col min="23" max="23" width="12.3984375" style="8" customWidth="1"/>
    <col min="24" max="24" width="13" customWidth="1"/>
    <col min="25" max="25" width="12.265625" style="8" customWidth="1"/>
    <col min="26" max="26" width="12.3984375" customWidth="1"/>
    <col min="27" max="27" width="16.265625" customWidth="1"/>
    <col min="28" max="28" width="16.73046875" customWidth="1"/>
    <col min="29" max="29" width="13.3984375" customWidth="1"/>
    <col min="30" max="30" width="12.86328125" customWidth="1"/>
    <col min="31" max="31" width="13.1328125" customWidth="1"/>
    <col min="32" max="32" width="14.3984375" customWidth="1"/>
    <col min="33" max="33" width="14.73046875" customWidth="1"/>
    <col min="34" max="34" width="16.1328125" customWidth="1"/>
    <col min="35" max="35" width="15.265625" customWidth="1"/>
    <col min="36" max="36" width="15" customWidth="1"/>
  </cols>
  <sheetData>
    <row r="1" spans="1:36" ht="14.25" x14ac:dyDescent="0.45">
      <c r="A1" s="5" t="s">
        <v>11</v>
      </c>
      <c r="B1" s="5" t="s">
        <v>13</v>
      </c>
      <c r="C1" s="5" t="s">
        <v>15</v>
      </c>
      <c r="D1" s="5" t="s">
        <v>0</v>
      </c>
      <c r="E1" s="5" t="s">
        <v>18</v>
      </c>
      <c r="F1" s="5" t="s">
        <v>19</v>
      </c>
      <c r="G1" s="5" t="s">
        <v>21</v>
      </c>
      <c r="H1" s="5" t="s">
        <v>23</v>
      </c>
      <c r="I1" s="5" t="s">
        <v>25</v>
      </c>
      <c r="J1" s="5" t="s">
        <v>27</v>
      </c>
      <c r="K1" s="5" t="s">
        <v>29</v>
      </c>
      <c r="L1" s="5" t="s">
        <v>31</v>
      </c>
      <c r="M1" s="5" t="s">
        <v>33</v>
      </c>
      <c r="N1" s="5" t="s">
        <v>35</v>
      </c>
      <c r="O1" s="5" t="s">
        <v>37</v>
      </c>
      <c r="P1" s="5" t="s">
        <v>39</v>
      </c>
      <c r="Q1" s="5" t="s">
        <v>41</v>
      </c>
      <c r="R1" s="5" t="s">
        <v>43</v>
      </c>
      <c r="S1" s="5" t="s">
        <v>45</v>
      </c>
      <c r="T1" s="5" t="s">
        <v>47</v>
      </c>
      <c r="U1" s="5" t="s">
        <v>49</v>
      </c>
      <c r="V1" s="5" t="s">
        <v>51</v>
      </c>
      <c r="W1" s="13" t="s">
        <v>53</v>
      </c>
      <c r="X1" s="5" t="s">
        <v>55</v>
      </c>
      <c r="Y1" s="12" t="s">
        <v>57</v>
      </c>
      <c r="Z1" s="5" t="s">
        <v>59</v>
      </c>
      <c r="AA1" s="5" t="s">
        <v>61</v>
      </c>
      <c r="AB1" s="5" t="s">
        <v>63</v>
      </c>
      <c r="AC1" s="5" t="s">
        <v>65</v>
      </c>
      <c r="AD1" s="5" t="s">
        <v>67</v>
      </c>
      <c r="AE1" s="5" t="s">
        <v>69</v>
      </c>
      <c r="AF1" s="5" t="s">
        <v>71</v>
      </c>
      <c r="AG1" s="5" t="s">
        <v>73</v>
      </c>
      <c r="AH1" s="5" t="s">
        <v>75</v>
      </c>
      <c r="AI1" s="5" t="s">
        <v>77</v>
      </c>
      <c r="AJ1" s="5" t="s">
        <v>79</v>
      </c>
    </row>
    <row r="2" spans="1:36" s="8" customFormat="1" ht="14.25" hidden="1" x14ac:dyDescent="0.45">
      <c r="A2" s="7" t="s">
        <v>81</v>
      </c>
      <c r="B2" s="7" t="s">
        <v>82</v>
      </c>
      <c r="C2" s="7">
        <v>3.0000000000000001E-3</v>
      </c>
      <c r="D2" s="7" t="s">
        <v>83</v>
      </c>
      <c r="E2" s="7" t="s">
        <v>84</v>
      </c>
      <c r="H2" s="7">
        <v>1</v>
      </c>
      <c r="I2" s="7">
        <v>42.626526724000001</v>
      </c>
      <c r="J2" s="7">
        <v>3.9353540196605898</v>
      </c>
      <c r="K2" s="7">
        <v>380.722222222222</v>
      </c>
      <c r="L2" s="7">
        <v>42.9761992701035</v>
      </c>
      <c r="M2" s="7">
        <v>17.882793964111102</v>
      </c>
      <c r="N2" s="7">
        <v>3.3052634815031499</v>
      </c>
      <c r="O2" s="7">
        <v>6.07971773206111</v>
      </c>
      <c r="P2" s="7">
        <v>0.72988309416915298</v>
      </c>
      <c r="Q2" s="7">
        <v>3.68774269423055</v>
      </c>
      <c r="R2" s="7">
        <v>0.27224140822515103</v>
      </c>
      <c r="S2" s="7">
        <v>0.47901073704555502</v>
      </c>
      <c r="T2" s="7">
        <v>0.116928251313794</v>
      </c>
      <c r="U2" s="7">
        <v>3.2401808099555498</v>
      </c>
      <c r="V2" s="7">
        <v>0.38231847940810798</v>
      </c>
      <c r="W2" s="7">
        <v>106.23982637004799</v>
      </c>
      <c r="X2" s="7">
        <v>11.9924282902389</v>
      </c>
      <c r="Y2" s="7">
        <v>92.791178015332093</v>
      </c>
      <c r="Z2" s="7">
        <v>8.5666406216033497</v>
      </c>
      <c r="AA2" s="7">
        <v>83.582660472405905</v>
      </c>
      <c r="AB2" s="7">
        <v>6.1703494730833599</v>
      </c>
      <c r="AC2" s="7">
        <v>92.812088669197195</v>
      </c>
      <c r="AD2" s="7">
        <v>17.154389181913199</v>
      </c>
      <c r="AE2" s="7">
        <v>108.401194548731</v>
      </c>
      <c r="AF2" s="7">
        <v>13.013794846366499</v>
      </c>
      <c r="AG2" s="7">
        <v>118.693245422627</v>
      </c>
      <c r="AH2" s="7">
        <v>28.973449980740199</v>
      </c>
      <c r="AI2" s="7">
        <v>96.339244066933901</v>
      </c>
      <c r="AJ2" s="7">
        <v>11.3673512249157</v>
      </c>
    </row>
    <row r="3" spans="1:36" ht="14.25" hidden="1" x14ac:dyDescent="0.45">
      <c r="A3" s="2" t="s">
        <v>81</v>
      </c>
      <c r="B3" s="2" t="s">
        <v>82</v>
      </c>
      <c r="C3" s="2">
        <v>0.01</v>
      </c>
      <c r="D3" s="2" t="s">
        <v>83</v>
      </c>
      <c r="E3" s="2" t="s">
        <v>84</v>
      </c>
      <c r="H3" s="2">
        <v>1</v>
      </c>
      <c r="I3" s="2">
        <v>47.7218696962777</v>
      </c>
      <c r="J3" s="2">
        <v>1.3108717515685999</v>
      </c>
      <c r="K3" s="2">
        <v>384</v>
      </c>
      <c r="L3" s="2">
        <v>68.191112161173294</v>
      </c>
      <c r="M3" s="2">
        <v>16.8883932322777</v>
      </c>
      <c r="N3" s="2">
        <v>1.60143691058101</v>
      </c>
      <c r="O3" s="2">
        <v>3.5409635753444402</v>
      </c>
      <c r="P3" s="2">
        <v>0.57418401317160905</v>
      </c>
      <c r="Q3" s="2">
        <v>3.5277977847011099</v>
      </c>
      <c r="R3" s="2">
        <v>0.441815286629341</v>
      </c>
      <c r="S3" s="2">
        <v>0.32285802018388798</v>
      </c>
      <c r="T3" s="2">
        <v>8.8143387655038E-2</v>
      </c>
      <c r="U3" s="2">
        <v>3.0333037180611102</v>
      </c>
      <c r="V3" s="2">
        <v>0.325542414933849</v>
      </c>
      <c r="W3" s="7">
        <v>107.154484148515</v>
      </c>
      <c r="X3" s="2">
        <v>19.028602726937699</v>
      </c>
      <c r="Y3" s="7">
        <v>103.882930337803</v>
      </c>
      <c r="Z3" s="2">
        <v>2.85355958843784</v>
      </c>
      <c r="AA3" s="2">
        <v>79.957510298993796</v>
      </c>
      <c r="AB3" s="2">
        <v>10.013740153734799</v>
      </c>
      <c r="AC3" s="2">
        <v>87.651127295887704</v>
      </c>
      <c r="AD3" s="2">
        <v>8.3114923116186592</v>
      </c>
      <c r="AE3" s="2">
        <v>63.135280014185</v>
      </c>
      <c r="AF3" s="2">
        <v>10.237684652752099</v>
      </c>
      <c r="AG3" s="2">
        <v>80.000432689060204</v>
      </c>
      <c r="AH3" s="2">
        <v>21.840898197499602</v>
      </c>
      <c r="AI3" s="2">
        <v>90.188234658249101</v>
      </c>
      <c r="AJ3" s="2">
        <v>9.6792469327911892</v>
      </c>
    </row>
    <row r="4" spans="1:36" ht="14.25" hidden="1" x14ac:dyDescent="0.45">
      <c r="A4" s="2" t="s">
        <v>81</v>
      </c>
      <c r="B4" s="2" t="s">
        <v>82</v>
      </c>
      <c r="C4" s="2">
        <v>0.03</v>
      </c>
      <c r="D4" s="2" t="s">
        <v>83</v>
      </c>
      <c r="E4" s="2" t="s">
        <v>84</v>
      </c>
      <c r="H4" s="2">
        <v>1</v>
      </c>
      <c r="I4" s="2">
        <v>44.470507521666597</v>
      </c>
      <c r="J4" s="2">
        <v>3.3047083452638399</v>
      </c>
      <c r="K4" s="2">
        <v>373.666666666666</v>
      </c>
      <c r="L4" s="2">
        <v>53.043221370250201</v>
      </c>
      <c r="M4" s="2">
        <v>19.585178793055501</v>
      </c>
      <c r="N4" s="2">
        <v>0.89623542439488102</v>
      </c>
      <c r="O4" s="2">
        <v>14.3631169213111</v>
      </c>
      <c r="P4" s="2">
        <v>16.561945671717901</v>
      </c>
      <c r="Q4" s="2">
        <v>2.358796521445</v>
      </c>
      <c r="R4" s="2">
        <v>0.38343024767679301</v>
      </c>
      <c r="S4" s="2">
        <v>0.30312319674777699</v>
      </c>
      <c r="T4" s="2">
        <v>0.160684980125893</v>
      </c>
      <c r="U4" s="2">
        <v>3.4824347019166599</v>
      </c>
      <c r="V4" s="2">
        <v>0.33116664041825999</v>
      </c>
      <c r="W4" s="7">
        <v>104.27098674521299</v>
      </c>
      <c r="X4" s="2">
        <v>14.8016120403767</v>
      </c>
      <c r="Y4" s="7">
        <v>96.805231319769007</v>
      </c>
      <c r="Z4" s="2">
        <v>7.1938251582078596</v>
      </c>
      <c r="AA4" s="2">
        <v>53.462105445663603</v>
      </c>
      <c r="AB4" s="2">
        <v>8.6904436843055795</v>
      </c>
      <c r="AC4" s="2">
        <v>101.64750286734601</v>
      </c>
      <c r="AD4" s="2">
        <v>4.6514812978525502</v>
      </c>
      <c r="AE4" s="2">
        <v>256.093966912734</v>
      </c>
      <c r="AF4" s="2">
        <v>295.29902110385899</v>
      </c>
      <c r="AG4" s="2">
        <v>75.110374783632096</v>
      </c>
      <c r="AH4" s="2">
        <v>39.815854440855396</v>
      </c>
      <c r="AI4" s="2">
        <v>103.542100386586</v>
      </c>
      <c r="AJ4" s="2">
        <v>9.8464702031609708</v>
      </c>
    </row>
    <row r="5" spans="1:36" ht="14.25" hidden="1" x14ac:dyDescent="0.45">
      <c r="A5" s="2" t="s">
        <v>81</v>
      </c>
      <c r="B5" s="2" t="s">
        <v>82</v>
      </c>
      <c r="C5" s="2">
        <v>0.1</v>
      </c>
      <c r="D5" s="2" t="s">
        <v>83</v>
      </c>
      <c r="E5" s="2" t="s">
        <v>84</v>
      </c>
      <c r="H5" s="2">
        <v>1</v>
      </c>
      <c r="I5" s="2">
        <v>37.896105808499897</v>
      </c>
      <c r="J5" s="2">
        <v>1.3926679530570401</v>
      </c>
      <c r="K5" s="2">
        <v>353.722222222222</v>
      </c>
      <c r="L5" s="2">
        <v>25.418897898419502</v>
      </c>
      <c r="M5" s="2">
        <v>22.0285291409444</v>
      </c>
      <c r="N5" s="2">
        <v>1.6023606206134</v>
      </c>
      <c r="O5" s="2">
        <v>4.0720596478722202</v>
      </c>
      <c r="P5" s="2">
        <v>0.84723686566104295</v>
      </c>
      <c r="Q5" s="2">
        <v>2.6731312160049998</v>
      </c>
      <c r="R5" s="2">
        <v>0.69667974015263401</v>
      </c>
      <c r="S5" s="2">
        <v>0.22277842511277701</v>
      </c>
      <c r="T5" s="2">
        <v>0.113721889540744</v>
      </c>
      <c r="U5" s="2">
        <v>3.5156564339666598</v>
      </c>
      <c r="V5" s="2">
        <v>0.67312226786279705</v>
      </c>
      <c r="W5" s="7">
        <v>98.705526703356298</v>
      </c>
      <c r="X5" s="2">
        <v>7.0930960727316004</v>
      </c>
      <c r="Y5" s="7">
        <v>82.493803047399894</v>
      </c>
      <c r="Z5" s="2">
        <v>3.03161692682799</v>
      </c>
      <c r="AA5" s="2">
        <v>60.5864989374356</v>
      </c>
      <c r="AB5" s="2">
        <v>15.790241078989199</v>
      </c>
      <c r="AC5" s="2">
        <v>114.328544185235</v>
      </c>
      <c r="AD5" s="2">
        <v>8.3162863867281303</v>
      </c>
      <c r="AE5" s="2">
        <v>72.604707908600304</v>
      </c>
      <c r="AF5" s="2">
        <v>15.106209260186199</v>
      </c>
      <c r="AG5" s="2">
        <v>55.201882216395298</v>
      </c>
      <c r="AH5" s="2">
        <v>28.178951120047198</v>
      </c>
      <c r="AI5" s="2">
        <v>104.529871359878</v>
      </c>
      <c r="AJ5" s="2">
        <v>20.013725854827101</v>
      </c>
    </row>
    <row r="6" spans="1:36" ht="14.25" hidden="1" x14ac:dyDescent="0.45">
      <c r="A6" s="2" t="s">
        <v>81</v>
      </c>
      <c r="B6" s="2" t="s">
        <v>82</v>
      </c>
      <c r="C6" s="2">
        <v>0.3</v>
      </c>
      <c r="D6" s="2" t="s">
        <v>83</v>
      </c>
      <c r="E6" s="2" t="s">
        <v>84</v>
      </c>
      <c r="H6" s="2">
        <v>1</v>
      </c>
      <c r="I6" s="2">
        <v>25.616630066555501</v>
      </c>
      <c r="J6" s="2">
        <v>3.5518229307798102</v>
      </c>
      <c r="K6" s="2">
        <v>279.61111111111097</v>
      </c>
      <c r="L6" s="2">
        <v>12.078830578669001</v>
      </c>
      <c r="M6" s="2">
        <v>19.726340698944401</v>
      </c>
      <c r="N6" s="2">
        <v>1.1525501142688901</v>
      </c>
      <c r="O6" s="2">
        <v>4.2107889188388796</v>
      </c>
      <c r="P6" s="2">
        <v>0.85448081487424199</v>
      </c>
      <c r="Q6" s="2">
        <v>4.831036063</v>
      </c>
      <c r="R6" s="2">
        <v>0.87444964374899703</v>
      </c>
      <c r="S6" s="2">
        <v>0.42444857448833301</v>
      </c>
      <c r="T6" s="2">
        <v>0.22415431101219699</v>
      </c>
      <c r="U6" s="2">
        <v>3.54634449421666</v>
      </c>
      <c r="V6" s="2">
        <v>0.55414802044043299</v>
      </c>
      <c r="W6" s="7">
        <v>78.024959305480195</v>
      </c>
      <c r="X6" s="2">
        <v>3.3705751556629999</v>
      </c>
      <c r="Y6" s="7">
        <v>55.7633347903136</v>
      </c>
      <c r="Z6" s="2">
        <v>7.7317543599761898</v>
      </c>
      <c r="AA6" s="2">
        <v>109.49539609024301</v>
      </c>
      <c r="AB6" s="2">
        <v>19.819394609075001</v>
      </c>
      <c r="AC6" s="2">
        <v>102.38013622164</v>
      </c>
      <c r="AD6" s="2">
        <v>5.9817600994507103</v>
      </c>
      <c r="AE6" s="2">
        <v>75.078246871167096</v>
      </c>
      <c r="AF6" s="2">
        <v>15.235368668989</v>
      </c>
      <c r="AG6" s="2">
        <v>105.173381147481</v>
      </c>
      <c r="AH6" s="2">
        <v>55.542810613409102</v>
      </c>
      <c r="AI6" s="2">
        <v>105.442309492121</v>
      </c>
      <c r="AJ6" s="2">
        <v>16.476303182337301</v>
      </c>
    </row>
    <row r="7" spans="1:36" ht="14.25" hidden="1" x14ac:dyDescent="0.45">
      <c r="A7" s="2" t="s">
        <v>81</v>
      </c>
      <c r="B7" s="2" t="s">
        <v>82</v>
      </c>
      <c r="C7" s="2">
        <v>1</v>
      </c>
      <c r="D7" s="2" t="s">
        <v>83</v>
      </c>
      <c r="E7" s="2" t="s">
        <v>84</v>
      </c>
      <c r="H7" s="2">
        <v>1</v>
      </c>
      <c r="I7" s="2">
        <v>17.587130876777699</v>
      </c>
      <c r="J7" s="2">
        <v>1.4786651941103499</v>
      </c>
      <c r="K7" s="2">
        <v>212.5</v>
      </c>
      <c r="L7" s="2">
        <v>29.378279958726999</v>
      </c>
      <c r="M7" s="2">
        <v>17.821053011499998</v>
      </c>
      <c r="N7" s="2">
        <v>1.5305438352377601</v>
      </c>
      <c r="O7" s="2">
        <v>4.127710456</v>
      </c>
      <c r="P7" s="2">
        <v>1.54853562936065</v>
      </c>
      <c r="Q7" s="2">
        <v>7.6092214675338798</v>
      </c>
      <c r="R7" s="2">
        <v>2.6481502954975</v>
      </c>
      <c r="S7" s="2">
        <v>0.63893651412499997</v>
      </c>
      <c r="T7" s="2">
        <v>9.6230114717812704E-2</v>
      </c>
      <c r="U7" s="2">
        <v>4.2624649519444402</v>
      </c>
      <c r="V7" s="2">
        <v>0.68596894432905597</v>
      </c>
      <c r="W7" s="7">
        <v>59.297728858227998</v>
      </c>
      <c r="X7" s="2">
        <v>8.1979542555939293</v>
      </c>
      <c r="Y7" s="7">
        <v>38.284390434447602</v>
      </c>
      <c r="Z7" s="2">
        <v>3.21881926107101</v>
      </c>
      <c r="AA7" s="2">
        <v>172.46294742180399</v>
      </c>
      <c r="AB7" s="2">
        <v>60.020306561722201</v>
      </c>
      <c r="AC7" s="2">
        <v>92.491651785578</v>
      </c>
      <c r="AD7" s="2">
        <v>7.9435557124499603</v>
      </c>
      <c r="AE7" s="2">
        <v>73.596960237493903</v>
      </c>
      <c r="AF7" s="2">
        <v>27.610346305840501</v>
      </c>
      <c r="AG7" s="2">
        <v>158.32097824835299</v>
      </c>
      <c r="AH7" s="2">
        <v>23.844694366762599</v>
      </c>
      <c r="AI7" s="2">
        <v>126.73448656643301</v>
      </c>
      <c r="AJ7" s="2">
        <v>20.3956919154028</v>
      </c>
    </row>
    <row r="8" spans="1:36" ht="14.25" hidden="1" x14ac:dyDescent="0.45">
      <c r="A8" s="2" t="s">
        <v>81</v>
      </c>
      <c r="B8" s="2" t="s">
        <v>82</v>
      </c>
      <c r="C8" s="2">
        <v>3</v>
      </c>
      <c r="D8" s="2" t="s">
        <v>83</v>
      </c>
      <c r="E8" s="2" t="s">
        <v>84</v>
      </c>
      <c r="H8" s="2">
        <v>1</v>
      </c>
      <c r="I8" s="2">
        <v>9.4294299368444392</v>
      </c>
      <c r="J8" s="2">
        <v>2.2695104206743899</v>
      </c>
      <c r="K8" s="2">
        <v>95.5555555555555</v>
      </c>
      <c r="L8" s="2">
        <v>4.0011572400068296</v>
      </c>
      <c r="M8" s="2">
        <v>27.653988358722199</v>
      </c>
      <c r="N8" s="2">
        <v>1.16349149772182</v>
      </c>
      <c r="O8" s="2">
        <v>4.9740391080449999</v>
      </c>
      <c r="P8" s="2">
        <v>0.88610606638988199</v>
      </c>
      <c r="Q8" s="2">
        <v>17.041816770655501</v>
      </c>
      <c r="R8" s="2">
        <v>3.8952436704665399</v>
      </c>
      <c r="S8" s="2">
        <v>4.0541136152055497</v>
      </c>
      <c r="T8" s="2">
        <v>0.98495085174716901</v>
      </c>
      <c r="U8" s="2">
        <v>6.2778803280555504</v>
      </c>
      <c r="V8" s="2">
        <v>0.64158324524274302</v>
      </c>
      <c r="W8" s="7">
        <v>26.6645996434384</v>
      </c>
      <c r="X8" s="2">
        <v>1.1165154688802801</v>
      </c>
      <c r="Y8" s="7">
        <v>20.526371231653702</v>
      </c>
      <c r="Z8" s="2">
        <v>4.9403637039440103</v>
      </c>
      <c r="AA8" s="2">
        <v>386.25264913496198</v>
      </c>
      <c r="AB8" s="2">
        <v>88.285668540609606</v>
      </c>
      <c r="AC8" s="2">
        <v>143.52479957872399</v>
      </c>
      <c r="AD8" s="2">
        <v>6.0385461169620198</v>
      </c>
      <c r="AE8" s="2">
        <v>88.686976074691898</v>
      </c>
      <c r="AF8" s="2">
        <v>15.799246005616199</v>
      </c>
      <c r="AG8" s="2">
        <v>1004.56182938347</v>
      </c>
      <c r="AH8" s="2">
        <v>244.059274948016</v>
      </c>
      <c r="AI8" s="2">
        <v>186.65817762060101</v>
      </c>
      <c r="AJ8" s="2">
        <v>19.075986334708201</v>
      </c>
    </row>
    <row r="9" spans="1:36" ht="14.25" hidden="1" x14ac:dyDescent="0.45">
      <c r="A9" s="2" t="s">
        <v>81</v>
      </c>
      <c r="B9" s="2" t="s">
        <v>82</v>
      </c>
      <c r="C9" s="2">
        <v>10</v>
      </c>
      <c r="D9" s="2" t="s">
        <v>83</v>
      </c>
      <c r="E9" s="2" t="s">
        <v>84</v>
      </c>
      <c r="H9" s="2">
        <v>1</v>
      </c>
      <c r="I9" s="2">
        <v>5.5175737453611102</v>
      </c>
      <c r="J9" s="2">
        <v>2.4605264016907902</v>
      </c>
      <c r="K9" s="2">
        <v>32.9444444444444</v>
      </c>
      <c r="L9" s="2">
        <v>2.11037999035806</v>
      </c>
      <c r="M9" s="2">
        <v>54.990323914833297</v>
      </c>
      <c r="N9" s="2">
        <v>4.80163575564921</v>
      </c>
      <c r="O9" s="2">
        <v>3.4149095230499902</v>
      </c>
      <c r="P9" s="2">
        <v>0.46296944533016199</v>
      </c>
      <c r="Q9" s="2">
        <v>13.7506363955277</v>
      </c>
      <c r="R9" s="2">
        <v>4.9606829885513299</v>
      </c>
      <c r="S9" s="2">
        <v>2.7368219686388802</v>
      </c>
      <c r="T9" s="2">
        <v>1.3679970534577599</v>
      </c>
      <c r="U9" s="2">
        <v>6.4010995863666604</v>
      </c>
      <c r="V9" s="2">
        <v>1.58239538232821</v>
      </c>
      <c r="W9" s="7">
        <v>9.1930858073017596</v>
      </c>
      <c r="X9" s="2">
        <v>0.58889760214626896</v>
      </c>
      <c r="Y9" s="7">
        <v>12.0108816496715</v>
      </c>
      <c r="Z9" s="2">
        <v>5.3561751542418596</v>
      </c>
      <c r="AA9" s="2">
        <v>311.65807064711902</v>
      </c>
      <c r="AB9" s="2">
        <v>112.433842684308</v>
      </c>
      <c r="AC9" s="2">
        <v>285.400974219918</v>
      </c>
      <c r="AD9" s="2">
        <v>24.9205937508912</v>
      </c>
      <c r="AE9" s="2">
        <v>60.887739840672097</v>
      </c>
      <c r="AF9" s="2">
        <v>8.25473206571702</v>
      </c>
      <c r="AG9" s="2">
        <v>678.15240135379599</v>
      </c>
      <c r="AH9" s="2">
        <v>338.97363346169101</v>
      </c>
      <c r="AI9" s="2">
        <v>190.32181582366201</v>
      </c>
      <c r="AJ9" s="2">
        <v>47.048848163074503</v>
      </c>
    </row>
    <row r="10" spans="1:36" s="8" customFormat="1" ht="14.25" hidden="1" x14ac:dyDescent="0.45">
      <c r="A10" s="7" t="s">
        <v>81</v>
      </c>
      <c r="B10" s="7" t="s">
        <v>82</v>
      </c>
      <c r="C10" s="7">
        <v>3.0000000000000001E-3</v>
      </c>
      <c r="D10" s="7" t="s">
        <v>83</v>
      </c>
      <c r="E10" s="7" t="s">
        <v>84</v>
      </c>
      <c r="H10" s="7">
        <v>0.05</v>
      </c>
      <c r="I10" s="7">
        <v>18.673862278655498</v>
      </c>
      <c r="J10" s="7">
        <v>8.2837284470038206</v>
      </c>
      <c r="K10" s="7">
        <v>165.722222222222</v>
      </c>
      <c r="L10" s="7">
        <v>28.2510242357754</v>
      </c>
      <c r="M10" s="7">
        <v>16.9366806894222</v>
      </c>
      <c r="N10" s="7">
        <v>2.9945206414076102</v>
      </c>
      <c r="O10" s="7">
        <v>10.263612121173299</v>
      </c>
      <c r="P10" s="7">
        <v>13.7481084950303</v>
      </c>
      <c r="Q10" s="7">
        <v>4.8632870547133296</v>
      </c>
      <c r="R10" s="7">
        <v>0.643664239036146</v>
      </c>
      <c r="S10" s="7">
        <v>0.75888208887944397</v>
      </c>
      <c r="T10" s="7">
        <v>0.16848848864718999</v>
      </c>
      <c r="U10" s="7">
        <v>4.4342461373666602</v>
      </c>
      <c r="V10" s="7">
        <v>1.37933253758372</v>
      </c>
      <c r="W10" s="7">
        <v>71.563252596275504</v>
      </c>
      <c r="X10" s="7">
        <v>11.8832104862754</v>
      </c>
      <c r="Y10" s="7">
        <v>56.207160819657602</v>
      </c>
      <c r="Z10" s="7">
        <v>26.7851661646514</v>
      </c>
      <c r="AA10" s="7">
        <v>109.44396033300799</v>
      </c>
      <c r="AB10" s="7">
        <v>33.012029490922998</v>
      </c>
      <c r="AC10" s="7">
        <v>110.11084196811299</v>
      </c>
      <c r="AD10" s="7">
        <v>12.525271329046999</v>
      </c>
      <c r="AE10" s="7">
        <v>817.55691656569297</v>
      </c>
      <c r="AF10" s="7">
        <v>1224.1147701744101</v>
      </c>
      <c r="AG10" s="7">
        <v>109.416583668812</v>
      </c>
      <c r="AH10" s="7">
        <v>56.226694961342801</v>
      </c>
      <c r="AI10" s="7">
        <v>133.73008761302</v>
      </c>
      <c r="AJ10" s="7">
        <v>29.533188591260501</v>
      </c>
    </row>
    <row r="11" spans="1:36" ht="14.25" hidden="1" x14ac:dyDescent="0.45">
      <c r="A11" s="2" t="s">
        <v>81</v>
      </c>
      <c r="B11" s="2" t="s">
        <v>82</v>
      </c>
      <c r="C11" s="2">
        <v>0.01</v>
      </c>
      <c r="D11" s="2" t="s">
        <v>83</v>
      </c>
      <c r="E11" s="2" t="s">
        <v>84</v>
      </c>
      <c r="H11" s="2">
        <v>0.05</v>
      </c>
      <c r="I11" s="2">
        <v>9.4035384685777696</v>
      </c>
      <c r="J11" s="2">
        <v>4.3478108047584803</v>
      </c>
      <c r="K11" s="2">
        <v>123.111111111111</v>
      </c>
      <c r="L11" s="2">
        <v>10.3337813522944</v>
      </c>
      <c r="M11" s="2">
        <v>16.577995980388799</v>
      </c>
      <c r="N11" s="2">
        <v>1.76473567176334</v>
      </c>
      <c r="O11" s="2">
        <v>1.07610734448777</v>
      </c>
      <c r="P11" s="2">
        <v>0.57749350165743096</v>
      </c>
      <c r="Q11" s="2">
        <v>5.40330909281111</v>
      </c>
      <c r="R11" s="2">
        <v>0.98484780183411402</v>
      </c>
      <c r="S11" s="2">
        <v>0.54018023898388801</v>
      </c>
      <c r="T11" s="2">
        <v>0.29835681482828802</v>
      </c>
      <c r="U11" s="2">
        <v>4.7531884335944401</v>
      </c>
      <c r="V11" s="2">
        <v>0.72944054045557205</v>
      </c>
      <c r="W11" s="7">
        <v>53.193747885212503</v>
      </c>
      <c r="X11" s="2">
        <v>4.3146268170991497</v>
      </c>
      <c r="Y11" s="7">
        <v>27.956012085253199</v>
      </c>
      <c r="Z11" s="2">
        <v>12.318055842698801</v>
      </c>
      <c r="AA11" s="2">
        <v>121.49531731222299</v>
      </c>
      <c r="AB11" s="2">
        <v>40.2433607958124</v>
      </c>
      <c r="AC11" s="2">
        <v>108.087182689298</v>
      </c>
      <c r="AD11" s="2">
        <v>2.8219082108120301</v>
      </c>
      <c r="AE11" s="2">
        <v>61.999614891987797</v>
      </c>
      <c r="AF11" s="2">
        <v>32.968147021719297</v>
      </c>
      <c r="AG11" s="2">
        <v>88.925157995063202</v>
      </c>
      <c r="AH11" s="2">
        <v>86.342220559691299</v>
      </c>
      <c r="AI11" s="2">
        <v>145.59163820600401</v>
      </c>
      <c r="AJ11" s="2">
        <v>23.8838524924521</v>
      </c>
    </row>
    <row r="12" spans="1:36" ht="14.25" hidden="1" x14ac:dyDescent="0.45">
      <c r="A12" s="2" t="s">
        <v>81</v>
      </c>
      <c r="B12" s="2" t="s">
        <v>82</v>
      </c>
      <c r="C12" s="2">
        <v>0.03</v>
      </c>
      <c r="D12" s="2" t="s">
        <v>83</v>
      </c>
      <c r="E12" s="2" t="s">
        <v>84</v>
      </c>
      <c r="H12" s="2">
        <v>0.05</v>
      </c>
      <c r="I12" s="2">
        <v>11.076270598611099</v>
      </c>
      <c r="J12" s="2">
        <v>2.8517922844676198</v>
      </c>
      <c r="K12" s="2">
        <v>157.5</v>
      </c>
      <c r="L12" s="2">
        <v>26.9093127208982</v>
      </c>
      <c r="M12" s="2">
        <v>17.880443528611099</v>
      </c>
      <c r="N12" s="2">
        <v>1.64286194923843</v>
      </c>
      <c r="O12" s="2">
        <v>0.86665120905388804</v>
      </c>
      <c r="P12" s="2">
        <v>0.45044122861796998</v>
      </c>
      <c r="Q12" s="2">
        <v>5.4853909006727699</v>
      </c>
      <c r="R12" s="2">
        <v>2.18245609743729</v>
      </c>
      <c r="S12" s="2">
        <v>0.67882533314944404</v>
      </c>
      <c r="T12" s="2">
        <v>0.242707905362265</v>
      </c>
      <c r="U12" s="2">
        <v>5.5048992928555496</v>
      </c>
      <c r="V12" s="2">
        <v>0.605247907871309</v>
      </c>
      <c r="W12" s="7">
        <v>68.308996597057899</v>
      </c>
      <c r="X12" s="2">
        <v>13.573684355941801</v>
      </c>
      <c r="Y12" s="7">
        <v>33.119697303835103</v>
      </c>
      <c r="Z12" s="2">
        <v>8.7100777488771595</v>
      </c>
      <c r="AA12" s="2">
        <v>120.239581615178</v>
      </c>
      <c r="AB12" s="2">
        <v>54.066622429916002</v>
      </c>
      <c r="AC12" s="2">
        <v>117.221272110199</v>
      </c>
      <c r="AD12" s="2">
        <v>14.550125249554601</v>
      </c>
      <c r="AE12" s="2">
        <v>47.427863523624197</v>
      </c>
      <c r="AF12" s="2">
        <v>10.314581557164001</v>
      </c>
      <c r="AG12" s="2">
        <v>89.1813008052941</v>
      </c>
      <c r="AH12" s="2">
        <v>16.990621563250201</v>
      </c>
      <c r="AI12" s="2">
        <v>171.51965181152701</v>
      </c>
      <c r="AJ12" s="2">
        <v>45.6248659732221</v>
      </c>
    </row>
    <row r="13" spans="1:36" ht="14.25" hidden="1" x14ac:dyDescent="0.45">
      <c r="A13" s="2" t="s">
        <v>81</v>
      </c>
      <c r="B13" s="2" t="s">
        <v>82</v>
      </c>
      <c r="C13" s="2">
        <v>0.1</v>
      </c>
      <c r="D13" s="2" t="s">
        <v>83</v>
      </c>
      <c r="E13" s="2" t="s">
        <v>84</v>
      </c>
      <c r="H13" s="2">
        <v>0.05</v>
      </c>
      <c r="I13" s="2">
        <v>8.2423492028111092</v>
      </c>
      <c r="J13" s="2">
        <v>3.9698392343294699</v>
      </c>
      <c r="K13" s="2">
        <v>85.7222222222222</v>
      </c>
      <c r="L13" s="2">
        <v>9.4785332511201901</v>
      </c>
      <c r="M13" s="2">
        <v>16.6816729643777</v>
      </c>
      <c r="N13" s="2">
        <v>2.3681288808190399</v>
      </c>
      <c r="O13" s="2">
        <v>0.46790878382166601</v>
      </c>
      <c r="P13" s="2">
        <v>7.7803647278049795E-2</v>
      </c>
      <c r="Q13" s="2">
        <v>5.5387764619888804</v>
      </c>
      <c r="R13" s="2">
        <v>1.17466616953201</v>
      </c>
      <c r="S13" s="2">
        <v>0.753112696321666</v>
      </c>
      <c r="T13" s="2">
        <v>0.263030725078856</v>
      </c>
      <c r="U13" s="2">
        <v>6.9088970161833299</v>
      </c>
      <c r="V13" s="2">
        <v>0.73455268427617104</v>
      </c>
      <c r="W13" s="7">
        <v>36.976573727238403</v>
      </c>
      <c r="X13" s="2">
        <v>2.95460033930974</v>
      </c>
      <c r="Y13" s="7">
        <v>24.4468440555336</v>
      </c>
      <c r="Z13" s="2">
        <v>11.0145182768079</v>
      </c>
      <c r="AA13" s="2">
        <v>121.727826801904</v>
      </c>
      <c r="AB13" s="2">
        <v>31.462465105205101</v>
      </c>
      <c r="AC13" s="2">
        <v>109.080375526746</v>
      </c>
      <c r="AD13" s="2">
        <v>15.4348193349925</v>
      </c>
      <c r="AE13" s="2">
        <v>28.721811802144298</v>
      </c>
      <c r="AF13" s="2">
        <v>12.5399023546913</v>
      </c>
      <c r="AG13" s="2">
        <v>102.36196623543</v>
      </c>
      <c r="AH13" s="2">
        <v>36.1634215680563</v>
      </c>
      <c r="AI13" s="2">
        <v>218.09641703739001</v>
      </c>
      <c r="AJ13" s="2">
        <v>73.919188662805198</v>
      </c>
    </row>
    <row r="14" spans="1:36" ht="14.25" hidden="1" x14ac:dyDescent="0.45">
      <c r="A14" s="2" t="s">
        <v>81</v>
      </c>
      <c r="B14" s="2" t="s">
        <v>82</v>
      </c>
      <c r="C14" s="2">
        <v>0.3</v>
      </c>
      <c r="D14" s="2" t="s">
        <v>83</v>
      </c>
      <c r="E14" s="2" t="s">
        <v>84</v>
      </c>
      <c r="H14" s="2">
        <v>0.05</v>
      </c>
      <c r="I14" s="2">
        <v>10.0018557878444</v>
      </c>
      <c r="J14" s="2">
        <v>0.87533809678684504</v>
      </c>
      <c r="K14" s="2">
        <v>100.611111111111</v>
      </c>
      <c r="L14" s="2">
        <v>36.584124263786101</v>
      </c>
      <c r="M14" s="2">
        <v>17.8083537294888</v>
      </c>
      <c r="N14" s="2">
        <v>2.9844158437642601</v>
      </c>
      <c r="O14" s="2">
        <v>0.80892242747833298</v>
      </c>
      <c r="P14" s="2">
        <v>0.28588828327840199</v>
      </c>
      <c r="Q14" s="2">
        <v>6.5828745037333301</v>
      </c>
      <c r="R14" s="2">
        <v>1.2423962561225299</v>
      </c>
      <c r="S14" s="2">
        <v>0.58029364838722197</v>
      </c>
      <c r="T14" s="2">
        <v>0.39515417765722799</v>
      </c>
      <c r="U14" s="2">
        <v>7.3771378331888897</v>
      </c>
      <c r="V14" s="2">
        <v>0.739990060626465</v>
      </c>
      <c r="W14" s="7">
        <v>43.8007818676734</v>
      </c>
      <c r="X14" s="2">
        <v>17.0291351186486</v>
      </c>
      <c r="Y14" s="7">
        <v>29.8997385851792</v>
      </c>
      <c r="Z14" s="2">
        <v>2.8294547070724199</v>
      </c>
      <c r="AA14" s="2">
        <v>145.00831155625701</v>
      </c>
      <c r="AB14" s="2">
        <v>36.441739274287301</v>
      </c>
      <c r="AC14" s="2">
        <v>117.468371799504</v>
      </c>
      <c r="AD14" s="2">
        <v>26.066699122558699</v>
      </c>
      <c r="AE14" s="2">
        <v>54.258692104713603</v>
      </c>
      <c r="AF14" s="2">
        <v>38.510552997845899</v>
      </c>
      <c r="AG14" s="2">
        <v>102.010589137392</v>
      </c>
      <c r="AH14" s="2">
        <v>107.890250867841</v>
      </c>
      <c r="AI14" s="2">
        <v>229.001186623824</v>
      </c>
      <c r="AJ14" s="2">
        <v>53.387188543625903</v>
      </c>
    </row>
    <row r="15" spans="1:36" ht="14.25" hidden="1" x14ac:dyDescent="0.45">
      <c r="A15" s="2" t="s">
        <v>81</v>
      </c>
      <c r="B15" s="2" t="s">
        <v>82</v>
      </c>
      <c r="C15" s="2">
        <v>1</v>
      </c>
      <c r="D15" s="2" t="s">
        <v>83</v>
      </c>
      <c r="E15" s="2" t="s">
        <v>84</v>
      </c>
      <c r="H15" s="2">
        <v>0.05</v>
      </c>
      <c r="I15" s="2">
        <v>8.6124544489388803</v>
      </c>
      <c r="J15" s="2">
        <v>2.9420091297858102</v>
      </c>
      <c r="K15" s="2">
        <v>56.6666666666666</v>
      </c>
      <c r="L15" s="2">
        <v>5.8949130612757203</v>
      </c>
      <c r="M15" s="2">
        <v>18.359286635694399</v>
      </c>
      <c r="N15" s="2">
        <v>1.65489428692706</v>
      </c>
      <c r="O15" s="2">
        <v>0.99949187842777698</v>
      </c>
      <c r="P15" s="2">
        <v>0.90514538938996403</v>
      </c>
      <c r="Q15" s="2">
        <v>11.06083493425</v>
      </c>
      <c r="R15" s="2">
        <v>1.04848865741394</v>
      </c>
      <c r="S15" s="2">
        <v>1.5103398639333301</v>
      </c>
      <c r="T15" s="2">
        <v>1.0810225534656499</v>
      </c>
      <c r="U15" s="2">
        <v>8.8969458082999999</v>
      </c>
      <c r="V15" s="2">
        <v>0.84489189187013103</v>
      </c>
      <c r="W15" s="7">
        <v>24.521357980588999</v>
      </c>
      <c r="X15" s="2">
        <v>2.9435720714563698</v>
      </c>
      <c r="Y15" s="7">
        <v>25.420907542504199</v>
      </c>
      <c r="Z15" s="2">
        <v>7.1205274509864598</v>
      </c>
      <c r="AA15" s="2">
        <v>248.12868396757699</v>
      </c>
      <c r="AB15" s="2">
        <v>67.127078290491397</v>
      </c>
      <c r="AC15" s="2">
        <v>119.869347748205</v>
      </c>
      <c r="AD15" s="2">
        <v>5.0921198114826796</v>
      </c>
      <c r="AE15" s="2">
        <v>52.4993431872279</v>
      </c>
      <c r="AF15" s="2">
        <v>56.469783144509201</v>
      </c>
      <c r="AG15" s="2">
        <v>201.16381927696401</v>
      </c>
      <c r="AH15" s="2">
        <v>117.892442863108</v>
      </c>
      <c r="AI15" s="2">
        <v>278.916049567671</v>
      </c>
      <c r="AJ15" s="2">
        <v>83.144284755250794</v>
      </c>
    </row>
    <row r="16" spans="1:36" ht="14.25" hidden="1" x14ac:dyDescent="0.45">
      <c r="A16" s="2" t="s">
        <v>81</v>
      </c>
      <c r="B16" s="2" t="s">
        <v>82</v>
      </c>
      <c r="C16" s="2">
        <v>3</v>
      </c>
      <c r="D16" s="2" t="s">
        <v>83</v>
      </c>
      <c r="E16" s="2" t="s">
        <v>84</v>
      </c>
      <c r="H16" s="2">
        <v>0.05</v>
      </c>
      <c r="I16" s="2">
        <v>4.4519828974499998</v>
      </c>
      <c r="J16" s="2">
        <v>2.02671082124363</v>
      </c>
      <c r="K16" s="2">
        <v>39.8333333333333</v>
      </c>
      <c r="L16" s="2">
        <v>5.7831171909658501</v>
      </c>
      <c r="M16" s="2">
        <v>32.268283132444402</v>
      </c>
      <c r="N16" s="2">
        <v>9.3154065225277805</v>
      </c>
      <c r="O16" s="2">
        <v>0.92262494223333302</v>
      </c>
      <c r="P16" s="2">
        <v>0.92097888717870402</v>
      </c>
      <c r="Q16" s="2">
        <v>14.68522141145</v>
      </c>
      <c r="R16" s="2">
        <v>4.28913369965034</v>
      </c>
      <c r="S16" s="2">
        <v>3.53241592692777</v>
      </c>
      <c r="T16" s="2">
        <v>3.4623276325955898</v>
      </c>
      <c r="U16" s="2">
        <v>9.3450202964388893</v>
      </c>
      <c r="V16" s="2">
        <v>1.30516123167485</v>
      </c>
      <c r="W16" s="7">
        <v>17.184851122937101</v>
      </c>
      <c r="X16" s="2">
        <v>2.2063923588983498</v>
      </c>
      <c r="Y16" s="7">
        <v>13.5534608126904</v>
      </c>
      <c r="Z16" s="2">
        <v>6.9506763084900198</v>
      </c>
      <c r="AA16" s="2">
        <v>320.94408895246602</v>
      </c>
      <c r="AB16" s="2">
        <v>101.481851449354</v>
      </c>
      <c r="AC16" s="2">
        <v>208.405252283453</v>
      </c>
      <c r="AD16" s="2">
        <v>42.616385925686401</v>
      </c>
      <c r="AE16" s="2">
        <v>48.859556183810803</v>
      </c>
      <c r="AF16" s="2">
        <v>42.704743566493498</v>
      </c>
      <c r="AG16" s="2">
        <v>406.82953634947501</v>
      </c>
      <c r="AH16" s="2">
        <v>264.95161083489199</v>
      </c>
      <c r="AI16" s="2">
        <v>299.47541800742903</v>
      </c>
      <c r="AJ16" s="2">
        <v>124.61080559935</v>
      </c>
    </row>
    <row r="17" spans="1:36" ht="14.25" hidden="1" x14ac:dyDescent="0.45">
      <c r="A17" s="2" t="s">
        <v>81</v>
      </c>
      <c r="B17" s="2" t="s">
        <v>82</v>
      </c>
      <c r="C17" s="2">
        <v>10</v>
      </c>
      <c r="D17" s="2" t="s">
        <v>83</v>
      </c>
      <c r="E17" s="2" t="s">
        <v>84</v>
      </c>
      <c r="H17" s="2">
        <v>0.05</v>
      </c>
      <c r="I17" s="2">
        <v>5.3777340633111104</v>
      </c>
      <c r="J17" s="2">
        <v>3.3451806475052401</v>
      </c>
      <c r="K17" s="2">
        <v>17.211111111111101</v>
      </c>
      <c r="L17" s="2">
        <v>2.6205032030198199</v>
      </c>
      <c r="M17" s="2">
        <v>36.974743653855498</v>
      </c>
      <c r="N17" s="2">
        <v>3.3268214399825502</v>
      </c>
      <c r="O17" s="2">
        <v>0</v>
      </c>
      <c r="P17" s="2">
        <v>0</v>
      </c>
      <c r="Q17" s="2">
        <v>9.2247124718233309</v>
      </c>
      <c r="R17" s="2">
        <v>2.2700435628468698</v>
      </c>
      <c r="S17" s="2">
        <v>0</v>
      </c>
      <c r="T17" s="2">
        <v>0</v>
      </c>
      <c r="U17" s="2">
        <v>9.9150078041499992</v>
      </c>
      <c r="V17" s="2">
        <v>1.4953712454186401</v>
      </c>
      <c r="W17" s="7">
        <v>7.4500726966604898</v>
      </c>
      <c r="X17" s="2">
        <v>1.26388420178811</v>
      </c>
      <c r="Y17" s="7">
        <v>15.768042657406401</v>
      </c>
      <c r="Z17" s="2">
        <v>9.5916478763558395</v>
      </c>
      <c r="AA17" s="2">
        <v>205.39701995563999</v>
      </c>
      <c r="AB17" s="2">
        <v>70.610242494303606</v>
      </c>
      <c r="AC17" s="2">
        <v>241.311260658658</v>
      </c>
      <c r="AD17" s="2">
        <v>5.1583423373679897</v>
      </c>
      <c r="AE17" s="2">
        <v>0</v>
      </c>
      <c r="AF17" s="2">
        <v>0</v>
      </c>
      <c r="AG17" s="2">
        <v>0</v>
      </c>
      <c r="AH17" s="2">
        <v>0</v>
      </c>
      <c r="AI17" s="2">
        <v>302.00001200614798</v>
      </c>
      <c r="AJ17" s="2">
        <v>33.031184087029303</v>
      </c>
    </row>
    <row r="18" spans="1:36" s="8" customFormat="1" ht="14.25" hidden="1" x14ac:dyDescent="0.45">
      <c r="A18" s="7" t="s">
        <v>81</v>
      </c>
      <c r="B18" s="7" t="s">
        <v>82</v>
      </c>
      <c r="C18" s="9">
        <v>3.0000000000000001E-3</v>
      </c>
      <c r="D18" s="9" t="s">
        <v>83</v>
      </c>
      <c r="E18" s="7" t="s">
        <v>84</v>
      </c>
      <c r="H18" s="7">
        <v>0.7</v>
      </c>
      <c r="I18" s="7">
        <v>3.6029240635375599</v>
      </c>
      <c r="J18" s="7">
        <v>1.0339744806721001</v>
      </c>
      <c r="K18" s="7">
        <v>260.94179894179803</v>
      </c>
      <c r="L18" s="7">
        <v>8.7161551950411607</v>
      </c>
      <c r="M18" s="7">
        <v>17.6779637002698</v>
      </c>
      <c r="N18" s="7">
        <v>1.18160888182038</v>
      </c>
      <c r="O18" s="7">
        <v>31.9051020993756</v>
      </c>
      <c r="P18" s="7">
        <v>2.61391783064713</v>
      </c>
      <c r="Q18" s="7">
        <v>4.3881363855252298</v>
      </c>
      <c r="R18" s="7">
        <v>1.0651772567165601</v>
      </c>
      <c r="S18" s="7">
        <v>0.67613656905830599</v>
      </c>
      <c r="T18" s="7">
        <v>0.45312474585081702</v>
      </c>
      <c r="U18" s="7">
        <v>4.5868193298407398</v>
      </c>
      <c r="V18" s="7">
        <v>0.195817090682291</v>
      </c>
      <c r="W18" s="7">
        <v>102.209042407957</v>
      </c>
      <c r="X18" s="7">
        <v>5.1204801554127801</v>
      </c>
      <c r="Y18" s="7">
        <v>210.554715720801</v>
      </c>
      <c r="Z18" s="7">
        <v>137.825188778604</v>
      </c>
      <c r="AA18" s="7">
        <v>154.061133537014</v>
      </c>
      <c r="AB18" s="7">
        <v>36.960050957294897</v>
      </c>
      <c r="AC18" s="7">
        <v>97.682901146481001</v>
      </c>
      <c r="AD18" s="7">
        <v>3.2053620904092401</v>
      </c>
      <c r="AE18" s="7">
        <v>98.8989472366451</v>
      </c>
      <c r="AF18" s="7">
        <v>7.20358604294724</v>
      </c>
      <c r="AG18" s="7">
        <v>128.66473532638099</v>
      </c>
      <c r="AH18" s="7">
        <v>55.559890322998299</v>
      </c>
      <c r="AI18" s="7">
        <v>107.00651976207899</v>
      </c>
      <c r="AJ18" s="7">
        <v>11.2953306250173</v>
      </c>
    </row>
    <row r="19" spans="1:36" ht="14.25" hidden="1" x14ac:dyDescent="0.45">
      <c r="A19" s="2" t="s">
        <v>81</v>
      </c>
      <c r="B19" s="2" t="s">
        <v>82</v>
      </c>
      <c r="C19" s="10">
        <v>0.01</v>
      </c>
      <c r="D19" s="10" t="s">
        <v>83</v>
      </c>
      <c r="E19" s="2" t="s">
        <v>84</v>
      </c>
      <c r="H19" s="2">
        <v>0.7</v>
      </c>
      <c r="I19" s="2">
        <v>5.1464513243021104</v>
      </c>
      <c r="J19" s="2">
        <v>3.5050217083129498</v>
      </c>
      <c r="K19" s="2">
        <v>285.33862433862402</v>
      </c>
      <c r="L19" s="2">
        <v>21.420788318071502</v>
      </c>
      <c r="M19" s="2">
        <v>17.571810793095199</v>
      </c>
      <c r="N19" s="2">
        <v>0.72638448178028303</v>
      </c>
      <c r="O19" s="2">
        <v>29.247225229074001</v>
      </c>
      <c r="P19" s="2">
        <v>4.6670803182256</v>
      </c>
      <c r="Q19" s="2">
        <v>2.9850984041648601</v>
      </c>
      <c r="R19" s="2">
        <v>0.238319206930487</v>
      </c>
      <c r="S19" s="2">
        <v>0.46648611290222203</v>
      </c>
      <c r="T19" s="2">
        <v>0.30390074024835201</v>
      </c>
      <c r="U19" s="2">
        <v>5.0075916468999999</v>
      </c>
      <c r="V19" s="2">
        <v>0.27754782390146199</v>
      </c>
      <c r="W19" s="7">
        <v>111.706648226471</v>
      </c>
      <c r="X19" s="2">
        <v>8.40132706409271</v>
      </c>
      <c r="Y19" s="7">
        <v>334.48059827309402</v>
      </c>
      <c r="Z19" s="2">
        <v>348.92025782807298</v>
      </c>
      <c r="AA19" s="2">
        <v>105.073668741444</v>
      </c>
      <c r="AB19" s="2">
        <v>10.789048353359201</v>
      </c>
      <c r="AC19" s="2">
        <v>97.164884140792495</v>
      </c>
      <c r="AD19" s="2">
        <v>1.7097367540025401</v>
      </c>
      <c r="AE19" s="2">
        <v>90.181417044586198</v>
      </c>
      <c r="AF19" s="2">
        <v>7.5347594013042398</v>
      </c>
      <c r="AG19" s="2">
        <v>91.737989263845904</v>
      </c>
      <c r="AH19" s="2">
        <v>29.850831000168899</v>
      </c>
      <c r="AI19" s="2">
        <v>116.94295594021899</v>
      </c>
      <c r="AJ19" s="2">
        <v>14.672411152033201</v>
      </c>
    </row>
    <row r="20" spans="1:36" ht="14.25" hidden="1" x14ac:dyDescent="0.45">
      <c r="A20" s="2" t="s">
        <v>81</v>
      </c>
      <c r="B20" s="2" t="s">
        <v>82</v>
      </c>
      <c r="C20" s="10">
        <v>0.03</v>
      </c>
      <c r="D20" s="10" t="s">
        <v>83</v>
      </c>
      <c r="E20" s="2" t="s">
        <v>84</v>
      </c>
      <c r="H20" s="2">
        <v>0.7</v>
      </c>
      <c r="I20" s="2">
        <v>2.55255884620074</v>
      </c>
      <c r="J20" s="2">
        <v>1.0652767816830999</v>
      </c>
      <c r="K20" s="2">
        <v>256.444444444444</v>
      </c>
      <c r="L20" s="2">
        <v>32.429029823734503</v>
      </c>
      <c r="M20" s="2">
        <v>19.3420494913703</v>
      </c>
      <c r="N20" s="2">
        <v>0.79389056075374298</v>
      </c>
      <c r="O20" s="2">
        <v>29.301739215592502</v>
      </c>
      <c r="P20" s="2">
        <v>1.27101698573</v>
      </c>
      <c r="Q20" s="2">
        <v>2.6684424967029599</v>
      </c>
      <c r="R20" s="2">
        <v>0.89288056469827504</v>
      </c>
      <c r="S20" s="2">
        <v>0.53010891814222205</v>
      </c>
      <c r="T20" s="2">
        <v>7.8961967331753605E-2</v>
      </c>
      <c r="U20" s="2">
        <v>3.5824576591814798</v>
      </c>
      <c r="V20" s="2">
        <v>0.64817344564512602</v>
      </c>
      <c r="W20" s="7">
        <v>101.329078802918</v>
      </c>
      <c r="X20" s="2">
        <v>20.634740078741899</v>
      </c>
      <c r="Y20" s="7">
        <v>155.96296024144601</v>
      </c>
      <c r="Z20" s="2">
        <v>126.15977229065</v>
      </c>
      <c r="AA20" s="2">
        <v>93.377428033203998</v>
      </c>
      <c r="AB20" s="2">
        <v>29.666536061555401</v>
      </c>
      <c r="AC20" s="2">
        <v>107.14852035614</v>
      </c>
      <c r="AD20" s="2">
        <v>8.1495947242495905</v>
      </c>
      <c r="AE20" s="2">
        <v>90.862833009226094</v>
      </c>
      <c r="AF20" s="2">
        <v>3.2409583547034502</v>
      </c>
      <c r="AG20" s="2">
        <v>120.90203660686301</v>
      </c>
      <c r="AH20" s="2">
        <v>40.324129195649597</v>
      </c>
      <c r="AI20" s="2">
        <v>84.313483723618205</v>
      </c>
      <c r="AJ20" s="2">
        <v>21.5095167767711</v>
      </c>
    </row>
    <row r="21" spans="1:36" ht="15.75" hidden="1" customHeight="1" x14ac:dyDescent="0.45">
      <c r="A21" s="2" t="s">
        <v>81</v>
      </c>
      <c r="B21" s="2" t="s">
        <v>82</v>
      </c>
      <c r="C21" s="10">
        <v>0.1</v>
      </c>
      <c r="D21" s="10" t="s">
        <v>83</v>
      </c>
      <c r="E21" s="2" t="s">
        <v>84</v>
      </c>
      <c r="H21" s="2">
        <v>0.7</v>
      </c>
      <c r="I21" s="2">
        <v>4.1783477364703696</v>
      </c>
      <c r="J21" s="2">
        <v>4.4091029501675196</v>
      </c>
      <c r="K21" s="2">
        <v>231.111111111111</v>
      </c>
      <c r="L21" s="2">
        <v>19.934460515634601</v>
      </c>
      <c r="M21" s="2">
        <v>20.352939831555499</v>
      </c>
      <c r="N21" s="2">
        <v>1.3313177591151499</v>
      </c>
      <c r="O21" s="2">
        <v>21.095070129444402</v>
      </c>
      <c r="P21" s="2">
        <v>2.6942556292177202</v>
      </c>
      <c r="Q21" s="2">
        <v>2.4442766279337</v>
      </c>
      <c r="R21" s="2">
        <v>0.23500128071257101</v>
      </c>
      <c r="S21" s="2">
        <v>0.56064224745962898</v>
      </c>
      <c r="T21" s="2">
        <v>0.111302297790486</v>
      </c>
      <c r="U21" s="2">
        <v>4.1786545787803604</v>
      </c>
      <c r="V21" s="2">
        <v>0.57779378197725095</v>
      </c>
      <c r="W21" s="7">
        <v>90.392846616892299</v>
      </c>
      <c r="X21" s="2">
        <v>6.05664495826354</v>
      </c>
      <c r="Y21" s="7">
        <v>294.26251616709197</v>
      </c>
      <c r="Z21" s="2">
        <v>388.99425982523701</v>
      </c>
      <c r="AA21" s="2">
        <v>85.951797190920999</v>
      </c>
      <c r="AB21" s="2">
        <v>8.9527634389820392</v>
      </c>
      <c r="AC21" s="2">
        <v>112.487968262351</v>
      </c>
      <c r="AD21" s="2">
        <v>4.3435409988360902</v>
      </c>
      <c r="AE21" s="2">
        <v>65.248351453118204</v>
      </c>
      <c r="AF21" s="2">
        <v>5.9426771736533901</v>
      </c>
      <c r="AG21" s="2">
        <v>124.48437886112799</v>
      </c>
      <c r="AH21" s="2">
        <v>29.479600371794799</v>
      </c>
      <c r="AI21" s="2">
        <v>98.295800381763101</v>
      </c>
      <c r="AJ21" s="2">
        <v>22.804119112976601</v>
      </c>
    </row>
    <row r="22" spans="1:36" ht="15.75" hidden="1" customHeight="1" x14ac:dyDescent="0.45">
      <c r="A22" s="2" t="s">
        <v>81</v>
      </c>
      <c r="B22" s="2" t="s">
        <v>82</v>
      </c>
      <c r="C22" s="10">
        <v>0.3</v>
      </c>
      <c r="D22" s="10" t="s">
        <v>83</v>
      </c>
      <c r="E22" s="2" t="s">
        <v>84</v>
      </c>
      <c r="H22" s="2">
        <v>0.7</v>
      </c>
      <c r="I22" s="2">
        <v>1.5264256506993601</v>
      </c>
      <c r="J22" s="2">
        <v>0.39675607803763402</v>
      </c>
      <c r="K22" s="2">
        <v>178.23809523809501</v>
      </c>
      <c r="L22" s="2">
        <v>19.5929669458578</v>
      </c>
      <c r="M22" s="2">
        <v>17.341307922896799</v>
      </c>
      <c r="N22" s="2">
        <v>3.6545969760696599</v>
      </c>
      <c r="O22" s="2">
        <v>13.849757390024299</v>
      </c>
      <c r="P22" s="2">
        <v>3.9441024422564999</v>
      </c>
      <c r="Q22" s="2">
        <v>3.6909958797312101</v>
      </c>
      <c r="R22" s="2">
        <v>0.75691841066983401</v>
      </c>
      <c r="S22" s="2">
        <v>0.44425717464550202</v>
      </c>
      <c r="T22" s="2">
        <v>0.30587767420420398</v>
      </c>
      <c r="U22" s="2">
        <v>6.78856167431851</v>
      </c>
      <c r="V22" s="2">
        <v>1.2587449084318101</v>
      </c>
      <c r="W22" s="7">
        <v>70.328925679896997</v>
      </c>
      <c r="X22" s="2">
        <v>13.2240416345374</v>
      </c>
      <c r="Y22" s="7">
        <v>79.484438728843102</v>
      </c>
      <c r="Z22" s="2">
        <v>15.0654990912189</v>
      </c>
      <c r="AA22" s="2">
        <v>129.327653362371</v>
      </c>
      <c r="AB22" s="2">
        <v>23.117072884999001</v>
      </c>
      <c r="AC22" s="2">
        <v>95.930750880520804</v>
      </c>
      <c r="AD22" s="2">
        <v>19.823993200959201</v>
      </c>
      <c r="AE22" s="2">
        <v>43.185405107034697</v>
      </c>
      <c r="AF22" s="2">
        <v>13.852064820808</v>
      </c>
      <c r="AG22" s="2">
        <v>97.498625401403402</v>
      </c>
      <c r="AH22" s="2">
        <v>58.564207489576397</v>
      </c>
      <c r="AI22" s="2">
        <v>158.94695903570801</v>
      </c>
      <c r="AJ22" s="2">
        <v>37.6030574038463</v>
      </c>
    </row>
    <row r="23" spans="1:36" s="8" customFormat="1" ht="15.75" hidden="1" customHeight="1" x14ac:dyDescent="0.45">
      <c r="A23" s="7" t="s">
        <v>81</v>
      </c>
      <c r="B23" s="7" t="s">
        <v>82</v>
      </c>
      <c r="C23" s="9">
        <v>10</v>
      </c>
      <c r="D23" s="9" t="s">
        <v>83</v>
      </c>
      <c r="E23" s="7" t="s">
        <v>84</v>
      </c>
      <c r="H23" s="7">
        <v>0.7</v>
      </c>
      <c r="I23" s="7">
        <v>0</v>
      </c>
      <c r="J23" s="7">
        <v>0</v>
      </c>
      <c r="K23" s="7">
        <v>21.685185185185102</v>
      </c>
      <c r="L23" s="7">
        <v>3.4855669488237502</v>
      </c>
      <c r="M23" s="7">
        <v>35.8068613430314</v>
      </c>
      <c r="N23" s="7">
        <v>9.3187981366851709</v>
      </c>
      <c r="O23" s="7">
        <v>2.16320716321481</v>
      </c>
      <c r="P23" s="7">
        <v>2.29721121273657</v>
      </c>
      <c r="Q23" s="7">
        <v>9.0602365744018503</v>
      </c>
      <c r="R23" s="7">
        <v>2.2884127649356301</v>
      </c>
      <c r="S23" s="7">
        <v>0.246913580248148</v>
      </c>
      <c r="T23" s="7">
        <v>0.427666866068527</v>
      </c>
      <c r="U23" s="7">
        <v>10.561802258066599</v>
      </c>
      <c r="V23" s="7">
        <v>1.24350530843086</v>
      </c>
      <c r="W23" s="7">
        <v>8.4492983691819106</v>
      </c>
      <c r="X23" s="7">
        <v>0.97056082780279196</v>
      </c>
      <c r="Y23" s="7">
        <v>0</v>
      </c>
      <c r="Z23" s="7">
        <v>0</v>
      </c>
      <c r="AA23" s="7">
        <v>317.57204723480697</v>
      </c>
      <c r="AB23" s="7">
        <v>75.924379604769399</v>
      </c>
      <c r="AC23" s="7">
        <v>199.42537004606299</v>
      </c>
      <c r="AD23" s="7">
        <v>59.204209194162203</v>
      </c>
      <c r="AE23" s="7">
        <v>6.7832910304828502</v>
      </c>
      <c r="AF23" s="7">
        <v>7.5334450415876297</v>
      </c>
      <c r="AG23" s="7">
        <v>84.660378749523204</v>
      </c>
      <c r="AH23" s="7">
        <v>146.63607738219801</v>
      </c>
      <c r="AI23" s="7">
        <v>244.84937524773599</v>
      </c>
      <c r="AJ23" s="7">
        <v>16.477844272932199</v>
      </c>
    </row>
    <row r="24" spans="1:36" ht="15.75" hidden="1" customHeight="1" x14ac:dyDescent="0.45">
      <c r="A24" s="2" t="s">
        <v>81</v>
      </c>
      <c r="B24" s="2" t="s">
        <v>82</v>
      </c>
      <c r="C24" s="10">
        <v>1</v>
      </c>
      <c r="D24" s="10" t="s">
        <v>83</v>
      </c>
      <c r="E24" s="2" t="s">
        <v>84</v>
      </c>
      <c r="H24" s="2">
        <v>0.7</v>
      </c>
      <c r="I24" s="2">
        <v>2.6063956177347198</v>
      </c>
      <c r="J24" s="2">
        <v>1.8762675218164</v>
      </c>
      <c r="K24" s="2">
        <v>100.236111111111</v>
      </c>
      <c r="L24" s="2">
        <v>1.1042321783495299</v>
      </c>
      <c r="M24" s="2">
        <v>17.0660098231712</v>
      </c>
      <c r="N24" s="2">
        <v>3.36286815154376</v>
      </c>
      <c r="O24" s="2">
        <v>9.3612517442435106</v>
      </c>
      <c r="P24" s="2">
        <v>1.37953194591578</v>
      </c>
      <c r="Q24" s="2">
        <v>5.9585107540844398</v>
      </c>
      <c r="R24" s="2">
        <v>2.7116089330385602</v>
      </c>
      <c r="S24" s="2">
        <v>0.63020652913518505</v>
      </c>
      <c r="T24" s="2">
        <v>0.41560974990649502</v>
      </c>
      <c r="U24" s="2">
        <v>9.1632606240722208</v>
      </c>
      <c r="V24" s="2">
        <v>1.1245553856087001</v>
      </c>
      <c r="W24" s="7">
        <v>39.318835511749398</v>
      </c>
      <c r="X24" s="2">
        <v>3.0091943601646398</v>
      </c>
      <c r="Y24" s="7">
        <v>123.038096993362</v>
      </c>
      <c r="Z24" s="2">
        <v>61.992816452628297</v>
      </c>
      <c r="AA24" s="2">
        <v>211.15980146896499</v>
      </c>
      <c r="AB24" s="2">
        <v>99.3954029884775</v>
      </c>
      <c r="AC24" s="2">
        <v>93.9810331578025</v>
      </c>
      <c r="AD24" s="2">
        <v>15.328307016031999</v>
      </c>
      <c r="AE24" s="2">
        <v>28.921567638338601</v>
      </c>
      <c r="AF24" s="2">
        <v>2.97889523151375</v>
      </c>
      <c r="AG24" s="2">
        <v>172.06769166700801</v>
      </c>
      <c r="AH24" s="2">
        <v>178.990732071857</v>
      </c>
      <c r="AI24" s="2">
        <v>212.19925866462199</v>
      </c>
      <c r="AJ24" s="2">
        <v>11.002037860579099</v>
      </c>
    </row>
    <row r="25" spans="1:36" ht="15.75" hidden="1" customHeight="1" x14ac:dyDescent="0.45">
      <c r="A25" s="2" t="s">
        <v>81</v>
      </c>
      <c r="B25" s="2" t="s">
        <v>82</v>
      </c>
      <c r="C25" s="10">
        <v>3</v>
      </c>
      <c r="D25" s="10" t="s">
        <v>83</v>
      </c>
      <c r="E25" s="2" t="s">
        <v>84</v>
      </c>
      <c r="H25" s="2">
        <v>0.7</v>
      </c>
      <c r="I25" s="2">
        <v>0.79344591305555501</v>
      </c>
      <c r="J25" s="2">
        <v>0.217654891985056</v>
      </c>
      <c r="K25" s="2">
        <v>35.962962962962898</v>
      </c>
      <c r="L25" s="2">
        <v>5.7017793771631897</v>
      </c>
      <c r="M25" s="2">
        <v>39.613297503888802</v>
      </c>
      <c r="N25" s="2">
        <v>11.6817169160218</v>
      </c>
      <c r="O25" s="2">
        <v>7.1963907022999898</v>
      </c>
      <c r="P25" s="2">
        <v>2.48179608914876</v>
      </c>
      <c r="Q25" s="2">
        <v>6.19969831698518</v>
      </c>
      <c r="R25" s="2">
        <v>2.4367327441491802</v>
      </c>
      <c r="S25" s="2">
        <v>2.0210117098703702</v>
      </c>
      <c r="T25" s="2">
        <v>0.10529102085980201</v>
      </c>
      <c r="U25" s="2">
        <v>10.3663876458444</v>
      </c>
      <c r="V25" s="2">
        <v>1.2803805667638399</v>
      </c>
      <c r="W25" s="7">
        <v>14.2106124745358</v>
      </c>
      <c r="X25" s="2">
        <v>3.1373365197519898</v>
      </c>
      <c r="Y25" s="7">
        <v>40.653473558496103</v>
      </c>
      <c r="Z25" s="2">
        <v>3.14634257446551</v>
      </c>
      <c r="AA25" s="2">
        <v>216.55038006576001</v>
      </c>
      <c r="AB25" s="2">
        <v>79.098460838560101</v>
      </c>
      <c r="AC25" s="2">
        <v>220.49158226751001</v>
      </c>
      <c r="AD25" s="2">
        <v>72.151448352193896</v>
      </c>
      <c r="AE25" s="2">
        <v>22.4834918947878</v>
      </c>
      <c r="AF25" s="2">
        <v>8.6544795058683004</v>
      </c>
      <c r="AG25" s="2">
        <v>465.50241447765501</v>
      </c>
      <c r="AH25" s="2">
        <v>170.94645082801199</v>
      </c>
      <c r="AI25" s="2">
        <v>243.094238485625</v>
      </c>
      <c r="AJ25" s="2">
        <v>49.816961070663197</v>
      </c>
    </row>
    <row r="26" spans="1:36" ht="15.75" customHeight="1" x14ac:dyDescent="0.45">
      <c r="A26" s="2" t="s">
        <v>81</v>
      </c>
      <c r="B26" s="2" t="s">
        <v>82</v>
      </c>
      <c r="C26" s="2">
        <v>3.0000000000000001E-3</v>
      </c>
      <c r="D26" s="2" t="s">
        <v>85</v>
      </c>
      <c r="E26" s="2" t="s">
        <v>84</v>
      </c>
      <c r="F26" s="11" t="s">
        <v>86</v>
      </c>
      <c r="G26" s="11">
        <v>3539</v>
      </c>
      <c r="H26" s="2">
        <v>23</v>
      </c>
      <c r="I26" s="2">
        <v>4.0587723894077703</v>
      </c>
      <c r="J26" s="2">
        <v>0.989484801541062</v>
      </c>
      <c r="K26" s="2">
        <v>113.833333333333</v>
      </c>
      <c r="L26" s="2">
        <v>17.2506038541649</v>
      </c>
      <c r="M26" s="2">
        <v>0.126026456243333</v>
      </c>
      <c r="N26" s="2">
        <v>2.4981355795859601E-2</v>
      </c>
      <c r="O26" s="2">
        <v>0.39761089804444399</v>
      </c>
      <c r="P26" s="2">
        <v>0.68868227705606599</v>
      </c>
      <c r="Q26" s="2">
        <v>3.8033106386088802</v>
      </c>
      <c r="R26" s="2">
        <v>1.08441483177502</v>
      </c>
      <c r="S26" s="2">
        <v>0</v>
      </c>
      <c r="T26" s="2">
        <v>0</v>
      </c>
      <c r="U26" s="2">
        <v>0.27870486932055499</v>
      </c>
      <c r="V26" s="2">
        <v>0.221828704228166</v>
      </c>
      <c r="W26" s="7">
        <v>73.954193180000402</v>
      </c>
      <c r="X26" s="2">
        <v>13.7590918126935</v>
      </c>
      <c r="Y26" s="7">
        <v>97.675637003609097</v>
      </c>
      <c r="Z26" s="2">
        <v>24.733025497568299</v>
      </c>
      <c r="AA26" s="2">
        <v>51.083039203082002</v>
      </c>
      <c r="AB26" s="2">
        <v>21.422176433820599</v>
      </c>
      <c r="AC26" s="2">
        <v>64.144938588451097</v>
      </c>
      <c r="AD26" s="2">
        <v>43.580347334709899</v>
      </c>
      <c r="AE26" s="2">
        <v>85.910185188905402</v>
      </c>
      <c r="AF26" s="2">
        <v>148.800805634835</v>
      </c>
      <c r="AG26" s="2">
        <v>0</v>
      </c>
      <c r="AH26" s="2">
        <v>0</v>
      </c>
      <c r="AI26" s="2">
        <v>77.458665230805195</v>
      </c>
      <c r="AJ26" s="2">
        <v>70.353242491475996</v>
      </c>
    </row>
    <row r="27" spans="1:36" ht="15.75" customHeight="1" x14ac:dyDescent="0.45">
      <c r="A27" s="2" t="s">
        <v>81</v>
      </c>
      <c r="B27" s="2" t="s">
        <v>82</v>
      </c>
      <c r="C27" s="2">
        <v>0.01</v>
      </c>
      <c r="D27" s="2" t="s">
        <v>85</v>
      </c>
      <c r="E27" s="2" t="s">
        <v>84</v>
      </c>
      <c r="F27" s="11" t="s">
        <v>86</v>
      </c>
      <c r="G27" s="11">
        <v>3539</v>
      </c>
      <c r="H27" s="2">
        <v>23</v>
      </c>
      <c r="I27" s="2">
        <v>3.24896017576333</v>
      </c>
      <c r="J27" s="2">
        <v>0.610461790874119</v>
      </c>
      <c r="K27" s="2">
        <v>131.611111111111</v>
      </c>
      <c r="L27" s="2">
        <v>18.751543146375202</v>
      </c>
      <c r="M27" s="2">
        <v>0.26441103018111101</v>
      </c>
      <c r="N27" s="2">
        <v>0.12586191869828101</v>
      </c>
      <c r="O27" s="2">
        <v>0.16245709313444401</v>
      </c>
      <c r="P27" s="2">
        <v>0.19949540126867499</v>
      </c>
      <c r="Q27" s="2">
        <v>4.8903895785333296</v>
      </c>
      <c r="R27" s="2">
        <v>1.3133513408339801</v>
      </c>
      <c r="S27" s="2">
        <v>0</v>
      </c>
      <c r="T27" s="2">
        <v>0</v>
      </c>
      <c r="U27" s="2">
        <v>0.31472337675611101</v>
      </c>
      <c r="V27" s="2">
        <v>0.133410221535044</v>
      </c>
      <c r="W27" s="7">
        <v>84.900563213568105</v>
      </c>
      <c r="X27" s="2">
        <v>8.3880342987863994</v>
      </c>
      <c r="Y27" s="7">
        <v>77.388879267914007</v>
      </c>
      <c r="Z27" s="2">
        <v>8.2482770892260504</v>
      </c>
      <c r="AA27" s="2">
        <v>64.805189982719696</v>
      </c>
      <c r="AB27" s="2">
        <v>26.019684762450201</v>
      </c>
      <c r="AC27" s="2">
        <v>118.803661867299</v>
      </c>
      <c r="AD27" s="2">
        <v>52.063760767203803</v>
      </c>
      <c r="AE27" s="2">
        <v>39.9217427702675</v>
      </c>
      <c r="AF27" s="2">
        <v>41.707985586671903</v>
      </c>
      <c r="AG27" s="2">
        <v>0</v>
      </c>
      <c r="AH27" s="2">
        <v>0</v>
      </c>
      <c r="AI27" s="2">
        <v>78.859962529475496</v>
      </c>
      <c r="AJ27" s="2">
        <v>30.030322466427101</v>
      </c>
    </row>
    <row r="28" spans="1:36" ht="15.75" customHeight="1" x14ac:dyDescent="0.45">
      <c r="A28" s="2" t="s">
        <v>81</v>
      </c>
      <c r="B28" s="2" t="s">
        <v>82</v>
      </c>
      <c r="C28" s="2">
        <v>0.03</v>
      </c>
      <c r="D28" s="2" t="s">
        <v>85</v>
      </c>
      <c r="E28" s="2" t="s">
        <v>84</v>
      </c>
      <c r="F28" s="11" t="s">
        <v>86</v>
      </c>
      <c r="G28" s="11">
        <v>3539</v>
      </c>
      <c r="H28" s="2">
        <v>23</v>
      </c>
      <c r="I28" s="2">
        <v>3.3738327778277699</v>
      </c>
      <c r="J28" s="2">
        <v>0.66430753314390201</v>
      </c>
      <c r="K28" s="2">
        <v>143.5</v>
      </c>
      <c r="L28" s="2">
        <v>9.8924775011678996</v>
      </c>
      <c r="M28" s="2">
        <v>0.22613854685111101</v>
      </c>
      <c r="N28" s="2">
        <v>0.21691417423140799</v>
      </c>
      <c r="O28" s="2">
        <v>0.155342453050555</v>
      </c>
      <c r="P28" s="2">
        <v>7.2772528528219096E-2</v>
      </c>
      <c r="Q28" s="2">
        <v>4.78501170122777</v>
      </c>
      <c r="R28" s="2">
        <v>1.95428496256847</v>
      </c>
      <c r="S28" s="2">
        <v>0</v>
      </c>
      <c r="T28" s="2">
        <v>0</v>
      </c>
      <c r="U28" s="2">
        <v>0.451120364028888</v>
      </c>
      <c r="V28" s="2">
        <v>0.302036192857359</v>
      </c>
      <c r="W28" s="7">
        <v>92.786321283726906</v>
      </c>
      <c r="X28" s="2">
        <v>2.89883995368641</v>
      </c>
      <c r="Y28" s="7">
        <v>81.540401736128004</v>
      </c>
      <c r="Z28" s="2">
        <v>18.845589433975999</v>
      </c>
      <c r="AA28" s="2">
        <v>66.568670591877705</v>
      </c>
      <c r="AB28" s="2">
        <v>36.734167245639803</v>
      </c>
      <c r="AC28" s="2">
        <v>141.58653308829</v>
      </c>
      <c r="AD28" s="2">
        <v>165.31145238392801</v>
      </c>
      <c r="AE28" s="2">
        <v>58.793797536224503</v>
      </c>
      <c r="AF28" s="2">
        <v>47.180283294667802</v>
      </c>
      <c r="AG28" s="2">
        <v>0</v>
      </c>
      <c r="AH28" s="2">
        <v>0</v>
      </c>
      <c r="AI28" s="2">
        <v>106.51756491299901</v>
      </c>
      <c r="AJ28" s="2">
        <v>46.123162595838302</v>
      </c>
    </row>
    <row r="29" spans="1:36" ht="15.75" customHeight="1" x14ac:dyDescent="0.45">
      <c r="A29" s="2" t="s">
        <v>81</v>
      </c>
      <c r="B29" s="2" t="s">
        <v>82</v>
      </c>
      <c r="C29" s="2">
        <v>0.1</v>
      </c>
      <c r="D29" s="2" t="s">
        <v>85</v>
      </c>
      <c r="E29" s="2" t="s">
        <v>84</v>
      </c>
      <c r="F29" s="11" t="s">
        <v>86</v>
      </c>
      <c r="G29" s="11">
        <v>3539</v>
      </c>
      <c r="H29" s="2">
        <v>23</v>
      </c>
      <c r="I29" s="2">
        <v>2.8991791453666602</v>
      </c>
      <c r="J29" s="2">
        <v>0.64116373312422803</v>
      </c>
      <c r="K29" s="2">
        <v>136.5</v>
      </c>
      <c r="L29" s="2">
        <v>14.7883212179217</v>
      </c>
      <c r="M29" s="2">
        <v>0.17200676980833299</v>
      </c>
      <c r="N29" s="2">
        <v>0.14906580042343101</v>
      </c>
      <c r="O29" s="2">
        <v>0.14560889545</v>
      </c>
      <c r="P29" s="2">
        <v>0.12848095504982299</v>
      </c>
      <c r="Q29" s="2">
        <v>6.2512232885722199</v>
      </c>
      <c r="R29" s="2">
        <v>1.85640493781952</v>
      </c>
      <c r="S29" s="2">
        <v>2.8344671201666598E-2</v>
      </c>
      <c r="T29" s="2">
        <v>4.9094410645121003E-2</v>
      </c>
      <c r="U29" s="2">
        <v>0.69441888016388797</v>
      </c>
      <c r="V29" s="2">
        <v>0.61886753529925298</v>
      </c>
      <c r="W29" s="7">
        <v>88.288068071671404</v>
      </c>
      <c r="X29" s="2">
        <v>8.4230454934262102</v>
      </c>
      <c r="Y29" s="7">
        <v>70.635294724009995</v>
      </c>
      <c r="Z29" s="2">
        <v>20.8900829629847</v>
      </c>
      <c r="AA29" s="2">
        <v>79.793651800357196</v>
      </c>
      <c r="AB29" s="2">
        <v>18.9400018977685</v>
      </c>
      <c r="AC29" s="2">
        <v>88.478951431975702</v>
      </c>
      <c r="AD29" s="2">
        <v>94.895817223656493</v>
      </c>
      <c r="AE29" s="2">
        <v>42.918077867928901</v>
      </c>
      <c r="AF29" s="2">
        <v>43.449914371696501</v>
      </c>
      <c r="AG29" s="2">
        <v>0</v>
      </c>
      <c r="AH29" s="2">
        <v>0</v>
      </c>
      <c r="AI29" s="2">
        <v>192.51762152782999</v>
      </c>
      <c r="AJ29" s="2">
        <v>193.696820319415</v>
      </c>
    </row>
    <row r="30" spans="1:36" ht="15.75" customHeight="1" x14ac:dyDescent="0.45">
      <c r="A30" s="2" t="s">
        <v>81</v>
      </c>
      <c r="B30" s="2" t="s">
        <v>82</v>
      </c>
      <c r="C30" s="2">
        <v>0.3</v>
      </c>
      <c r="D30" s="2" t="s">
        <v>85</v>
      </c>
      <c r="E30" s="2" t="s">
        <v>84</v>
      </c>
      <c r="F30" s="11" t="s">
        <v>86</v>
      </c>
      <c r="G30" s="11">
        <v>3539</v>
      </c>
      <c r="H30" s="2">
        <v>23</v>
      </c>
      <c r="I30" s="2">
        <v>3.76674774737777</v>
      </c>
      <c r="J30" s="2">
        <v>0.79451995512123297</v>
      </c>
      <c r="K30" s="2">
        <v>102</v>
      </c>
      <c r="L30" s="2">
        <v>13.796134724383201</v>
      </c>
      <c r="M30" s="2">
        <v>0.42538942595555501</v>
      </c>
      <c r="N30" s="2">
        <v>0.304644649492464</v>
      </c>
      <c r="O30" s="2">
        <v>0</v>
      </c>
      <c r="P30" s="2">
        <v>0</v>
      </c>
      <c r="Q30" s="2">
        <v>5.4582053676277704</v>
      </c>
      <c r="R30" s="2">
        <v>1.4997331280177699</v>
      </c>
      <c r="S30" s="2">
        <v>9.2824654228333303E-2</v>
      </c>
      <c r="T30" s="2">
        <v>0.16077701731848601</v>
      </c>
      <c r="U30" s="2">
        <v>0.32994699018666601</v>
      </c>
      <c r="V30" s="2">
        <v>0.22562516152107001</v>
      </c>
      <c r="W30" s="7">
        <v>65.814058971010695</v>
      </c>
      <c r="X30" s="2">
        <v>6.2135022678244196</v>
      </c>
      <c r="Y30" s="7">
        <v>91.713892826030204</v>
      </c>
      <c r="Z30" s="2">
        <v>26.982497868637498</v>
      </c>
      <c r="AA30" s="2">
        <v>69.301416511605595</v>
      </c>
      <c r="AB30" s="2">
        <v>5.1381439462992002</v>
      </c>
      <c r="AC30" s="2">
        <v>214.97466690898301</v>
      </c>
      <c r="AD30" s="2">
        <v>152.581083442797</v>
      </c>
      <c r="AE30" s="2">
        <v>0</v>
      </c>
      <c r="AF30" s="2">
        <v>0</v>
      </c>
      <c r="AG30" s="2">
        <v>3488.72180453686</v>
      </c>
      <c r="AH30" s="2">
        <v>0</v>
      </c>
      <c r="AI30" s="2">
        <v>77.494018368227501</v>
      </c>
      <c r="AJ30" s="2">
        <v>32.764639038375599</v>
      </c>
    </row>
    <row r="31" spans="1:36" ht="15.75" customHeight="1" x14ac:dyDescent="0.45">
      <c r="A31" s="2" t="s">
        <v>81</v>
      </c>
      <c r="B31" s="2" t="s">
        <v>82</v>
      </c>
      <c r="C31" s="2">
        <v>1</v>
      </c>
      <c r="D31" s="2" t="s">
        <v>85</v>
      </c>
      <c r="E31" s="2" t="s">
        <v>84</v>
      </c>
      <c r="F31" s="11" t="s">
        <v>86</v>
      </c>
      <c r="G31" s="11">
        <v>3539</v>
      </c>
      <c r="H31" s="2">
        <v>23</v>
      </c>
      <c r="I31" s="2">
        <v>2.6059899065333298</v>
      </c>
      <c r="J31" s="2">
        <v>0.59375971685709505</v>
      </c>
      <c r="K31" s="2">
        <v>109</v>
      </c>
      <c r="L31" s="2">
        <v>3.5000000000005098</v>
      </c>
      <c r="M31" s="2">
        <v>0.250984255806666</v>
      </c>
      <c r="N31" s="2">
        <v>0.14842442272548501</v>
      </c>
      <c r="O31" s="2">
        <v>0.23209966867333301</v>
      </c>
      <c r="P31" s="2">
        <v>0.14292878428870501</v>
      </c>
      <c r="Q31" s="2">
        <v>9.0907908045111103</v>
      </c>
      <c r="R31" s="2">
        <v>6.6383710928571897</v>
      </c>
      <c r="S31" s="2">
        <v>0</v>
      </c>
      <c r="T31" s="2">
        <v>0</v>
      </c>
      <c r="U31" s="2">
        <v>0.26476999969555498</v>
      </c>
      <c r="V31" s="2">
        <v>0.23467135915071199</v>
      </c>
      <c r="W31" s="7">
        <v>70.5542806223323</v>
      </c>
      <c r="X31" s="2">
        <v>1.6403819259855801</v>
      </c>
      <c r="Y31" s="7">
        <v>61.9976655972077</v>
      </c>
      <c r="Z31" s="2">
        <v>10.2676553970346</v>
      </c>
      <c r="AA31" s="2">
        <v>131.04796354332299</v>
      </c>
      <c r="AB31" s="2">
        <v>105.661709772244</v>
      </c>
      <c r="AC31" s="2">
        <v>114.094975933599</v>
      </c>
      <c r="AD31" s="2">
        <v>61.9040615447216</v>
      </c>
      <c r="AE31" s="2">
        <v>91.617176242421095</v>
      </c>
      <c r="AF31" s="2">
        <v>85.440351041593303</v>
      </c>
      <c r="AG31" s="2">
        <v>0</v>
      </c>
      <c r="AH31" s="2">
        <v>0</v>
      </c>
      <c r="AI31" s="2">
        <v>66.504830334148593</v>
      </c>
      <c r="AJ31" s="2">
        <v>66.031411461462596</v>
      </c>
    </row>
    <row r="32" spans="1:36" ht="15.75" customHeight="1" x14ac:dyDescent="0.45">
      <c r="A32" s="2" t="s">
        <v>81</v>
      </c>
      <c r="B32" s="2" t="s">
        <v>82</v>
      </c>
      <c r="C32" s="2">
        <v>3</v>
      </c>
      <c r="D32" s="2" t="s">
        <v>85</v>
      </c>
      <c r="E32" s="2" t="s">
        <v>84</v>
      </c>
      <c r="F32" s="11" t="s">
        <v>86</v>
      </c>
      <c r="G32" s="11">
        <v>3539</v>
      </c>
      <c r="H32" s="2">
        <v>23</v>
      </c>
      <c r="I32" s="2">
        <v>2.4993771894283299</v>
      </c>
      <c r="J32" s="2">
        <v>1.0313567377466499</v>
      </c>
      <c r="K32" s="2">
        <v>97.5555555555555</v>
      </c>
      <c r="L32" s="2">
        <v>16.280811245598699</v>
      </c>
      <c r="M32" s="2">
        <v>0.21861190356111099</v>
      </c>
      <c r="N32" s="2">
        <v>0.223928183103246</v>
      </c>
      <c r="O32" s="2">
        <v>0.29659395331111099</v>
      </c>
      <c r="P32" s="2">
        <v>0.32317921458648902</v>
      </c>
      <c r="Q32" s="2">
        <v>7.5890496285499998</v>
      </c>
      <c r="R32" s="2">
        <v>1.26632038282424</v>
      </c>
      <c r="S32" s="2">
        <v>0.117162617165555</v>
      </c>
      <c r="T32" s="2">
        <v>0.11288803366405201</v>
      </c>
      <c r="U32" s="2">
        <v>0.27063367930444399</v>
      </c>
      <c r="V32" s="2">
        <v>8.5558948401678006E-2</v>
      </c>
      <c r="W32" s="7">
        <v>63.050375777483097</v>
      </c>
      <c r="X32" s="2">
        <v>9.2915436220636796</v>
      </c>
      <c r="Y32" s="7">
        <v>60.3460903886129</v>
      </c>
      <c r="Z32" s="2">
        <v>26.535415630811102</v>
      </c>
      <c r="AA32" s="2">
        <v>98.500626867610507</v>
      </c>
      <c r="AB32" s="2">
        <v>16.0752439893371</v>
      </c>
      <c r="AC32" s="2">
        <v>95.337261183242902</v>
      </c>
      <c r="AD32" s="2">
        <v>83.5377293650686</v>
      </c>
      <c r="AE32" s="2">
        <v>116.003260194714</v>
      </c>
      <c r="AF32" s="2">
        <v>114.607678423867</v>
      </c>
      <c r="AG32" s="2">
        <v>2821.62162173871</v>
      </c>
      <c r="AH32" s="2">
        <v>0</v>
      </c>
      <c r="AI32" s="2">
        <v>72.593671363331197</v>
      </c>
      <c r="AJ32" s="2">
        <v>33.776288209285099</v>
      </c>
    </row>
    <row r="33" spans="1:36" s="8" customFormat="1" ht="15.75" customHeight="1" x14ac:dyDescent="0.45">
      <c r="A33" s="7" t="s">
        <v>81</v>
      </c>
      <c r="B33" s="7" t="s">
        <v>82</v>
      </c>
      <c r="C33" s="7">
        <v>10</v>
      </c>
      <c r="D33" s="7" t="s">
        <v>85</v>
      </c>
      <c r="E33" s="7" t="s">
        <v>84</v>
      </c>
      <c r="F33" s="11" t="s">
        <v>86</v>
      </c>
      <c r="G33" s="11">
        <v>3539</v>
      </c>
      <c r="H33" s="7">
        <v>23</v>
      </c>
      <c r="I33" s="7">
        <v>0.79281094702222199</v>
      </c>
      <c r="J33" s="7">
        <v>0.63663043146422504</v>
      </c>
      <c r="K33" s="7">
        <v>78.1111111111111</v>
      </c>
      <c r="L33" s="7">
        <v>11.358224300446601</v>
      </c>
      <c r="M33" s="7">
        <v>0.33798911906111101</v>
      </c>
      <c r="N33" s="7">
        <v>0.36888581831776202</v>
      </c>
      <c r="O33" s="7">
        <v>0</v>
      </c>
      <c r="P33" s="7">
        <v>0</v>
      </c>
      <c r="Q33" s="7">
        <v>8.0576711589611101</v>
      </c>
      <c r="R33" s="7">
        <v>1.81556675350886</v>
      </c>
      <c r="S33" s="7">
        <v>7.4074074072222204E-2</v>
      </c>
      <c r="T33" s="7">
        <v>0.128300059816709</v>
      </c>
      <c r="U33" s="7">
        <v>0.64882708519555499</v>
      </c>
      <c r="V33" s="7">
        <v>0.20292896232126501</v>
      </c>
      <c r="W33" s="7">
        <v>50.801451962483299</v>
      </c>
      <c r="X33" s="7">
        <v>9.6458067730040593</v>
      </c>
      <c r="Y33" s="7">
        <v>18.981701492445499</v>
      </c>
      <c r="Z33" s="7">
        <v>15.349814638462799</v>
      </c>
      <c r="AA33" s="7">
        <v>108.95316569232899</v>
      </c>
      <c r="AB33" s="7">
        <v>42.519355283670201</v>
      </c>
      <c r="AC33" s="7">
        <v>109.853420300842</v>
      </c>
      <c r="AD33" s="7">
        <v>106.645917535449</v>
      </c>
      <c r="AE33" s="7">
        <v>0</v>
      </c>
      <c r="AF33" s="7">
        <v>0</v>
      </c>
      <c r="AG33" s="7">
        <v>2783.99999994571</v>
      </c>
      <c r="AH33" s="7">
        <v>0</v>
      </c>
      <c r="AI33" s="7">
        <v>161.687987781896</v>
      </c>
      <c r="AJ33" s="7">
        <v>13.4473996559291</v>
      </c>
    </row>
    <row r="34" spans="1:36" ht="15.75" customHeight="1" x14ac:dyDescent="0.45">
      <c r="A34" s="2" t="s">
        <v>81</v>
      </c>
      <c r="B34" s="2" t="s">
        <v>82</v>
      </c>
      <c r="C34" s="2">
        <v>3.0000000000000001E-3</v>
      </c>
      <c r="D34" s="2" t="s">
        <v>85</v>
      </c>
      <c r="E34" s="2" t="s">
        <v>84</v>
      </c>
      <c r="F34" s="11" t="s">
        <v>86</v>
      </c>
      <c r="G34" s="11">
        <v>10867</v>
      </c>
      <c r="H34" s="2" t="s">
        <v>87</v>
      </c>
      <c r="I34" s="2">
        <v>4.6587171311249898E-2</v>
      </c>
      <c r="J34" s="2">
        <v>4.2358015277384899E-2</v>
      </c>
      <c r="K34" s="2">
        <v>158.56481481481401</v>
      </c>
      <c r="L34" s="2">
        <v>31.818884680722199</v>
      </c>
      <c r="M34" s="2">
        <v>0.107236584043333</v>
      </c>
      <c r="N34" s="2">
        <v>9.4329303503455794E-2</v>
      </c>
      <c r="O34" s="2">
        <v>1.25441549478523</v>
      </c>
      <c r="P34" s="2">
        <v>0.63002736200014797</v>
      </c>
      <c r="Q34" s="2">
        <v>1.9072439721655501</v>
      </c>
      <c r="R34" s="2">
        <v>0.82498170372653101</v>
      </c>
      <c r="S34" s="2">
        <v>2.8272547356666601E-2</v>
      </c>
      <c r="T34" s="2">
        <v>4.8969488481143797E-2</v>
      </c>
      <c r="U34" s="2">
        <v>0.132698390273888</v>
      </c>
      <c r="V34" s="2">
        <v>0.115847376295691</v>
      </c>
      <c r="W34" s="7">
        <v>104.679431322062</v>
      </c>
      <c r="X34" s="2">
        <v>25.8920072511889</v>
      </c>
      <c r="Y34" s="7">
        <v>17.296635861451598</v>
      </c>
      <c r="Z34" s="2">
        <v>22.017560088299099</v>
      </c>
      <c r="AA34" s="2">
        <v>107.425117084045</v>
      </c>
      <c r="AB34" s="2">
        <v>69.770893239699902</v>
      </c>
      <c r="AC34" s="2">
        <v>91.3782299223667</v>
      </c>
      <c r="AD34" s="2">
        <v>125.25746029740699</v>
      </c>
      <c r="AE34" s="2">
        <v>106.906510532707</v>
      </c>
      <c r="AF34" s="2">
        <v>38.517051252914101</v>
      </c>
      <c r="AG34" s="2">
        <v>0</v>
      </c>
      <c r="AH34" s="2">
        <v>0</v>
      </c>
      <c r="AI34" s="2">
        <v>47.080857812949397</v>
      </c>
      <c r="AJ34" s="2">
        <v>41.028364616763803</v>
      </c>
    </row>
    <row r="35" spans="1:36" ht="15.75" customHeight="1" x14ac:dyDescent="0.45">
      <c r="A35" s="2" t="s">
        <v>81</v>
      </c>
      <c r="B35" s="2" t="s">
        <v>82</v>
      </c>
      <c r="C35" s="2">
        <v>0.01</v>
      </c>
      <c r="D35" s="2" t="s">
        <v>85</v>
      </c>
      <c r="E35" s="2" t="s">
        <v>84</v>
      </c>
      <c r="F35" s="11" t="s">
        <v>86</v>
      </c>
      <c r="G35" s="11">
        <v>10867</v>
      </c>
      <c r="H35" s="2" t="s">
        <v>87</v>
      </c>
      <c r="I35" s="2">
        <v>0.13210381636245999</v>
      </c>
      <c r="J35" s="2">
        <v>8.1961752333361199E-2</v>
      </c>
      <c r="K35" s="2">
        <v>156.67857142857099</v>
      </c>
      <c r="L35" s="2">
        <v>8.1955531745411001</v>
      </c>
      <c r="M35" s="2">
        <v>5.3712504788941698E-2</v>
      </c>
      <c r="N35" s="2">
        <v>4.6730219269156797E-2</v>
      </c>
      <c r="O35" s="2">
        <v>1.0084782837244799</v>
      </c>
      <c r="P35" s="2">
        <v>0.11296665461234701</v>
      </c>
      <c r="Q35" s="2">
        <v>1.4070586435233501</v>
      </c>
      <c r="R35" s="2">
        <v>8.2138001157269797E-2</v>
      </c>
      <c r="S35" s="2">
        <v>0</v>
      </c>
      <c r="T35" s="2">
        <v>0</v>
      </c>
      <c r="U35" s="2">
        <v>0.22203937775589899</v>
      </c>
      <c r="V35" s="2">
        <v>0.248373181727857</v>
      </c>
      <c r="W35" s="7">
        <v>102.693638992958</v>
      </c>
      <c r="X35" s="2">
        <v>3.7765219677101198</v>
      </c>
      <c r="Y35" s="7">
        <v>34.706908321237499</v>
      </c>
      <c r="Z35" s="2">
        <v>15.3236594214869</v>
      </c>
      <c r="AA35" s="2">
        <v>72.713625768149001</v>
      </c>
      <c r="AB35" s="2">
        <v>29.3866199283346</v>
      </c>
      <c r="AC35" s="2">
        <v>44.6327726085999</v>
      </c>
      <c r="AD35" s="2">
        <v>59.984386202331798</v>
      </c>
      <c r="AE35" s="2">
        <v>93.341896936071194</v>
      </c>
      <c r="AF35" s="2">
        <v>28.843982131877901</v>
      </c>
      <c r="AG35" s="2">
        <v>0</v>
      </c>
      <c r="AH35" s="2">
        <v>0</v>
      </c>
      <c r="AI35" s="2">
        <v>151.96667389118599</v>
      </c>
      <c r="AJ35" s="2">
        <v>214.868458059396</v>
      </c>
    </row>
    <row r="36" spans="1:36" ht="15.75" customHeight="1" x14ac:dyDescent="0.45">
      <c r="A36" s="2" t="s">
        <v>81</v>
      </c>
      <c r="B36" s="2" t="s">
        <v>82</v>
      </c>
      <c r="C36" s="2">
        <v>0.03</v>
      </c>
      <c r="D36" s="2" t="s">
        <v>85</v>
      </c>
      <c r="E36" s="2" t="s">
        <v>84</v>
      </c>
      <c r="F36" s="11" t="s">
        <v>86</v>
      </c>
      <c r="G36" s="11">
        <v>10867</v>
      </c>
      <c r="H36" s="2" t="s">
        <v>87</v>
      </c>
      <c r="I36" s="2">
        <v>5.1104707447870303E-2</v>
      </c>
      <c r="J36" s="2">
        <v>4.6598884051983501E-2</v>
      </c>
      <c r="K36" s="2">
        <v>155.13425925925901</v>
      </c>
      <c r="L36" s="2">
        <v>3.6379434027545798</v>
      </c>
      <c r="M36" s="2">
        <v>0.11993057342222201</v>
      </c>
      <c r="N36" s="2">
        <v>0.16114388862811399</v>
      </c>
      <c r="O36" s="2">
        <v>1.2289607320053699</v>
      </c>
      <c r="P36" s="2">
        <v>0.21151668401323101</v>
      </c>
      <c r="Q36" s="2">
        <v>2.2322212636265699</v>
      </c>
      <c r="R36" s="2">
        <v>0.66774894674388197</v>
      </c>
      <c r="S36" s="2">
        <v>1.8896447467777699E-2</v>
      </c>
      <c r="T36" s="2">
        <v>3.2729607096747299E-2</v>
      </c>
      <c r="U36" s="2">
        <v>0.19438938504425901</v>
      </c>
      <c r="V36" s="2">
        <v>0.123589809216563</v>
      </c>
      <c r="W36" s="7">
        <v>101.851206776379</v>
      </c>
      <c r="X36" s="2">
        <v>6.6250891172044701</v>
      </c>
      <c r="Y36" s="7">
        <v>10.585297639954099</v>
      </c>
      <c r="Z36" s="2">
        <v>10.535809734120701</v>
      </c>
      <c r="AA36" s="2">
        <v>112.682817198907</v>
      </c>
      <c r="AB36" s="2">
        <v>54.256334034310399</v>
      </c>
      <c r="AC36" s="2">
        <v>139.28136724736601</v>
      </c>
      <c r="AD36" s="2">
        <v>227.77961098785801</v>
      </c>
      <c r="AE36" s="2">
        <v>110.048005658089</v>
      </c>
      <c r="AF36" s="2">
        <v>14.8884605473548</v>
      </c>
      <c r="AG36" s="2">
        <v>0</v>
      </c>
      <c r="AH36" s="2">
        <v>0</v>
      </c>
      <c r="AI36" s="2">
        <v>99.556714057738006</v>
      </c>
      <c r="AJ36" s="2">
        <v>73.477135133242896</v>
      </c>
    </row>
    <row r="37" spans="1:36" ht="15.75" customHeight="1" x14ac:dyDescent="0.45">
      <c r="A37" s="2" t="s">
        <v>81</v>
      </c>
      <c r="B37" s="2" t="s">
        <v>82</v>
      </c>
      <c r="C37" s="2">
        <v>0.1</v>
      </c>
      <c r="D37" s="2" t="s">
        <v>85</v>
      </c>
      <c r="E37" s="2" t="s">
        <v>84</v>
      </c>
      <c r="F37" s="11" t="s">
        <v>86</v>
      </c>
      <c r="G37" s="11">
        <v>10867</v>
      </c>
      <c r="H37" s="2" t="s">
        <v>87</v>
      </c>
      <c r="I37" s="2">
        <v>9.5811273031111102E-2</v>
      </c>
      <c r="J37" s="2">
        <v>0.124447322705839</v>
      </c>
      <c r="K37" s="2">
        <v>153.85185185185099</v>
      </c>
      <c r="L37" s="2">
        <v>8.2262252517795407</v>
      </c>
      <c r="M37" s="2">
        <v>0.176790720339629</v>
      </c>
      <c r="N37" s="2">
        <v>6.4190486988526793E-2</v>
      </c>
      <c r="O37" s="2">
        <v>1.1214379271170301</v>
      </c>
      <c r="P37" s="2">
        <v>0.32463948046614199</v>
      </c>
      <c r="Q37" s="2">
        <v>4.9516685326607401</v>
      </c>
      <c r="R37" s="2">
        <v>2.9684917324201501</v>
      </c>
      <c r="S37" s="2">
        <v>4.1680824555555503E-2</v>
      </c>
      <c r="T37" s="2">
        <v>3.7900348283925502E-2</v>
      </c>
      <c r="U37" s="2">
        <v>0.151716734378888</v>
      </c>
      <c r="V37" s="2">
        <v>0.13142548298533099</v>
      </c>
      <c r="W37" s="7">
        <v>100.855662949031</v>
      </c>
      <c r="X37" s="2">
        <v>4.3836256195422898</v>
      </c>
      <c r="Y37" s="7">
        <v>22.2045264776594</v>
      </c>
      <c r="Z37" s="2">
        <v>20.603379342513598</v>
      </c>
      <c r="AA37" s="2">
        <v>216.24070879401199</v>
      </c>
      <c r="AB37" s="2">
        <v>52.812652648087202</v>
      </c>
      <c r="AC37" s="2">
        <v>189.534535460401</v>
      </c>
      <c r="AD37" s="2">
        <v>148.19387043471201</v>
      </c>
      <c r="AE37" s="2">
        <v>97.709958261982493</v>
      </c>
      <c r="AF37" s="2">
        <v>1.86639407344744</v>
      </c>
      <c r="AG37" s="2">
        <v>125.68807339429399</v>
      </c>
      <c r="AH37" s="2">
        <v>177.74977802275501</v>
      </c>
      <c r="AI37" s="2">
        <v>87.249422521202206</v>
      </c>
      <c r="AJ37" s="2">
        <v>90.854548652420803</v>
      </c>
    </row>
    <row r="38" spans="1:36" ht="15.75" customHeight="1" x14ac:dyDescent="0.45">
      <c r="A38" s="2" t="s">
        <v>81</v>
      </c>
      <c r="B38" s="2" t="s">
        <v>82</v>
      </c>
      <c r="C38" s="2">
        <v>0.3</v>
      </c>
      <c r="D38" s="2" t="s">
        <v>85</v>
      </c>
      <c r="E38" s="2" t="s">
        <v>84</v>
      </c>
      <c r="F38" s="11" t="s">
        <v>86</v>
      </c>
      <c r="G38" s="11">
        <v>10867</v>
      </c>
      <c r="H38" s="2" t="s">
        <v>87</v>
      </c>
      <c r="I38" s="2">
        <v>0.74860788901592501</v>
      </c>
      <c r="J38" s="2">
        <v>0.99749951145422699</v>
      </c>
      <c r="K38" s="2">
        <v>152.37037037037001</v>
      </c>
      <c r="L38" s="2">
        <v>8.1591676328471792</v>
      </c>
      <c r="M38" s="2">
        <v>0.27398865818296197</v>
      </c>
      <c r="N38" s="2">
        <v>6.70486644859426E-2</v>
      </c>
      <c r="O38" s="2">
        <v>0.74042872695777695</v>
      </c>
      <c r="P38" s="2">
        <v>0.29765137377909401</v>
      </c>
      <c r="Q38" s="2">
        <v>1.86620377612481</v>
      </c>
      <c r="R38" s="2">
        <v>0.28248349108827298</v>
      </c>
      <c r="S38" s="2">
        <v>2.43664717348148E-2</v>
      </c>
      <c r="T38" s="2">
        <v>4.2203967045890203E-2</v>
      </c>
      <c r="U38" s="2">
        <v>0.34743714110999901</v>
      </c>
      <c r="V38" s="2">
        <v>0.174852083987868</v>
      </c>
      <c r="W38" s="7">
        <v>100.139513735153</v>
      </c>
      <c r="X38" s="2">
        <v>9.89332265793049</v>
      </c>
      <c r="Y38" s="7">
        <v>344.21100741553101</v>
      </c>
      <c r="Z38" s="2">
        <v>538.03306706115097</v>
      </c>
      <c r="AA38" s="2">
        <v>95.628957581329303</v>
      </c>
      <c r="AB38" s="2">
        <v>39.3248778938529</v>
      </c>
      <c r="AC38" s="2">
        <v>241.022472056537</v>
      </c>
      <c r="AD38" s="2">
        <v>127.357923151573</v>
      </c>
      <c r="AE38" s="2">
        <v>74.947837428392702</v>
      </c>
      <c r="AF38" s="2">
        <v>54.552165349051101</v>
      </c>
      <c r="AG38" s="2">
        <v>180.26315789397901</v>
      </c>
      <c r="AH38" s="2">
        <v>254.93060268986801</v>
      </c>
      <c r="AI38" s="2">
        <v>146.98495934297301</v>
      </c>
      <c r="AJ38" s="2">
        <v>29.4192329244703</v>
      </c>
    </row>
    <row r="39" spans="1:36" ht="15.75" customHeight="1" x14ac:dyDescent="0.45">
      <c r="A39" s="2" t="s">
        <v>81</v>
      </c>
      <c r="B39" s="2" t="s">
        <v>82</v>
      </c>
      <c r="C39" s="2">
        <v>10</v>
      </c>
      <c r="D39" s="2" t="s">
        <v>85</v>
      </c>
      <c r="E39" s="2" t="s">
        <v>84</v>
      </c>
      <c r="F39" s="11" t="s">
        <v>86</v>
      </c>
      <c r="G39" s="11">
        <v>10867</v>
      </c>
      <c r="H39" s="2" t="s">
        <v>87</v>
      </c>
      <c r="I39" s="2">
        <v>0</v>
      </c>
      <c r="J39" s="2">
        <v>0</v>
      </c>
      <c r="K39" s="2">
        <v>118.44907407407401</v>
      </c>
      <c r="L39" s="2">
        <v>19.187148543717498</v>
      </c>
      <c r="M39" s="2">
        <v>0.29445829175314803</v>
      </c>
      <c r="N39" s="2">
        <v>0.30611579241061199</v>
      </c>
      <c r="O39" s="2">
        <v>0</v>
      </c>
      <c r="P39" s="2">
        <v>0</v>
      </c>
      <c r="Q39" s="2">
        <v>5.7483356148666598</v>
      </c>
      <c r="R39" s="2">
        <v>6.0496194753220696</v>
      </c>
      <c r="S39" s="2">
        <v>0</v>
      </c>
      <c r="T39" s="2">
        <v>0</v>
      </c>
      <c r="U39" s="2">
        <v>0.35518534638083299</v>
      </c>
      <c r="V39" s="2">
        <v>0.200847270164355</v>
      </c>
      <c r="W39" s="7">
        <v>77.573552571812399</v>
      </c>
      <c r="X39" s="2">
        <v>11.6447117105935</v>
      </c>
      <c r="Y39" s="7">
        <v>0</v>
      </c>
      <c r="Z39" s="2">
        <v>0</v>
      </c>
      <c r="AA39" s="2">
        <v>329.65049368130099</v>
      </c>
      <c r="AB39" s="2">
        <v>377.42139041644498</v>
      </c>
      <c r="AC39" s="2">
        <v>346.02824504508197</v>
      </c>
      <c r="AD39" s="2">
        <v>444.678625338708</v>
      </c>
      <c r="AE39" s="2">
        <v>0</v>
      </c>
      <c r="AF39" s="2">
        <v>0</v>
      </c>
      <c r="AG39" s="2">
        <v>0</v>
      </c>
      <c r="AH39" s="2">
        <v>0</v>
      </c>
      <c r="AI39" s="2">
        <v>189.969722819797</v>
      </c>
      <c r="AJ39" s="2">
        <v>154.01202520205001</v>
      </c>
    </row>
    <row r="40" spans="1:36" ht="15.75" customHeight="1" x14ac:dyDescent="0.45">
      <c r="A40" s="2" t="s">
        <v>81</v>
      </c>
      <c r="B40" s="2" t="s">
        <v>82</v>
      </c>
      <c r="C40" s="2">
        <v>1</v>
      </c>
      <c r="D40" s="2" t="s">
        <v>85</v>
      </c>
      <c r="E40" s="2" t="s">
        <v>84</v>
      </c>
      <c r="F40" s="11" t="s">
        <v>86</v>
      </c>
      <c r="G40" s="11">
        <v>10867</v>
      </c>
      <c r="H40" s="2" t="s">
        <v>87</v>
      </c>
      <c r="I40" s="2">
        <v>1.1291779584444399E-2</v>
      </c>
      <c r="J40" s="2">
        <v>1.9557935948126701E-2</v>
      </c>
      <c r="K40" s="2">
        <v>166.81481481481401</v>
      </c>
      <c r="L40" s="2">
        <v>7.6152327310021697</v>
      </c>
      <c r="M40" s="2">
        <v>0.100819564231851</v>
      </c>
      <c r="N40" s="2">
        <v>4.5173297807357002E-2</v>
      </c>
      <c r="O40" s="2">
        <v>0.725291422889629</v>
      </c>
      <c r="P40" s="2">
        <v>9.18620396519816E-2</v>
      </c>
      <c r="Q40" s="2">
        <v>3.26049695073407</v>
      </c>
      <c r="R40" s="2">
        <v>0.46366149954629599</v>
      </c>
      <c r="S40" s="2">
        <v>2.2583559168888798E-2</v>
      </c>
      <c r="T40" s="2">
        <v>3.9115871896253498E-2</v>
      </c>
      <c r="U40" s="2">
        <v>0.33182925290555498</v>
      </c>
      <c r="V40" s="2">
        <v>0.15730967782274499</v>
      </c>
      <c r="W40" s="7">
        <v>109.54294468308299</v>
      </c>
      <c r="X40" s="2">
        <v>8.5944287776464403</v>
      </c>
      <c r="Y40" s="7">
        <v>5.7401337979343898</v>
      </c>
      <c r="Z40" s="2">
        <v>9.9422033802656706</v>
      </c>
      <c r="AA40" s="2">
        <v>162.53892127836301</v>
      </c>
      <c r="AB40" s="2">
        <v>52.704588443259503</v>
      </c>
      <c r="AC40" s="2">
        <v>104.407995385707</v>
      </c>
      <c r="AD40" s="2">
        <v>89.924744601321507</v>
      </c>
      <c r="AE40" s="2">
        <v>65.788111348140106</v>
      </c>
      <c r="AF40" s="2">
        <v>13.6694418220196</v>
      </c>
      <c r="AG40" s="2">
        <v>167.073170731272</v>
      </c>
      <c r="AH40" s="2">
        <v>236.277143956841</v>
      </c>
      <c r="AI40" s="2">
        <v>147.83199362681</v>
      </c>
      <c r="AJ40" s="2">
        <v>43.852065082439701</v>
      </c>
    </row>
    <row r="41" spans="1:36" s="8" customFormat="1" ht="15.75" customHeight="1" x14ac:dyDescent="0.45">
      <c r="A41" s="7" t="s">
        <v>81</v>
      </c>
      <c r="B41" s="7" t="s">
        <v>82</v>
      </c>
      <c r="C41" s="7">
        <v>3</v>
      </c>
      <c r="D41" s="7" t="s">
        <v>85</v>
      </c>
      <c r="E41" s="7" t="s">
        <v>84</v>
      </c>
      <c r="F41" s="11" t="s">
        <v>86</v>
      </c>
      <c r="G41" s="11">
        <v>10867</v>
      </c>
      <c r="H41" s="7" t="s">
        <v>87</v>
      </c>
      <c r="I41" s="7">
        <v>0</v>
      </c>
      <c r="J41" s="7">
        <v>0</v>
      </c>
      <c r="K41" s="7">
        <v>139.666666666666</v>
      </c>
      <c r="L41" s="7">
        <v>12.719189352226</v>
      </c>
      <c r="M41" s="7">
        <v>6.6941985324814796E-2</v>
      </c>
      <c r="N41" s="7">
        <v>6.40855113212771E-2</v>
      </c>
      <c r="O41" s="7">
        <v>0.34853400710555499</v>
      </c>
      <c r="P41" s="7">
        <v>0.25836181034528899</v>
      </c>
      <c r="Q41" s="7">
        <v>2.4434705953496199</v>
      </c>
      <c r="R41" s="7">
        <v>0.67871422713173202</v>
      </c>
      <c r="S41" s="7">
        <v>0</v>
      </c>
      <c r="T41" s="7">
        <v>0</v>
      </c>
      <c r="U41" s="7">
        <v>0.35715581462962898</v>
      </c>
      <c r="V41" s="7">
        <v>0.199849501990571</v>
      </c>
      <c r="W41" s="7">
        <v>91.899559221930105</v>
      </c>
      <c r="X41" s="7">
        <v>12.5690521339851</v>
      </c>
      <c r="Y41" s="7">
        <v>0</v>
      </c>
      <c r="Z41" s="7">
        <v>0</v>
      </c>
      <c r="AA41" s="7">
        <v>131.55187887415099</v>
      </c>
      <c r="AB41" s="7">
        <v>70.522905680686094</v>
      </c>
      <c r="AC41" s="7">
        <v>44.1208500356569</v>
      </c>
      <c r="AD41" s="7">
        <v>49.080072358735599</v>
      </c>
      <c r="AE41" s="7">
        <v>36.620285182487102</v>
      </c>
      <c r="AF41" s="7">
        <v>36.746754562516102</v>
      </c>
      <c r="AG41" s="7">
        <v>0</v>
      </c>
      <c r="AH41" s="7">
        <v>0</v>
      </c>
      <c r="AI41" s="7">
        <v>145.67215812572101</v>
      </c>
      <c r="AJ41" s="7">
        <v>40.1153733787067</v>
      </c>
    </row>
    <row r="42" spans="1:36" ht="15.75" hidden="1" customHeight="1" x14ac:dyDescent="0.45">
      <c r="A42" s="2" t="s">
        <v>88</v>
      </c>
      <c r="B42" s="2" t="s">
        <v>89</v>
      </c>
      <c r="C42" s="2">
        <v>3.0000000000000001E-3</v>
      </c>
      <c r="D42" s="2" t="s">
        <v>83</v>
      </c>
      <c r="E42" s="2" t="s">
        <v>84</v>
      </c>
      <c r="H42" s="2">
        <v>4.0999999999999996</v>
      </c>
      <c r="I42" s="2">
        <v>46.646792650222203</v>
      </c>
      <c r="J42" s="2">
        <v>1.6739523555456299</v>
      </c>
      <c r="K42" s="2">
        <v>362.666666666666</v>
      </c>
      <c r="L42" s="2">
        <v>14.5783324758965</v>
      </c>
      <c r="M42" s="2">
        <v>18.248695010444401</v>
      </c>
      <c r="N42" s="2">
        <v>0.90071781546271501</v>
      </c>
      <c r="O42" s="2">
        <v>7.1887010914999996</v>
      </c>
      <c r="P42" s="2">
        <v>2.4797543265914901</v>
      </c>
      <c r="Q42" s="2">
        <v>5.2088014330555499</v>
      </c>
      <c r="R42" s="2">
        <v>1.4330814348437499</v>
      </c>
      <c r="S42" s="2">
        <v>0.431533914421111</v>
      </c>
      <c r="T42" s="2">
        <v>0.124379723914481</v>
      </c>
      <c r="U42" s="2">
        <v>3.2783480042222202</v>
      </c>
      <c r="V42" s="2">
        <v>0.61235252654208905</v>
      </c>
      <c r="W42" s="7">
        <v>101.201457251375</v>
      </c>
      <c r="X42" s="2">
        <v>4.0680565005214797</v>
      </c>
      <c r="Y42" s="7">
        <v>101.54265837038101</v>
      </c>
      <c r="Z42" s="2">
        <v>3.6439283927199502</v>
      </c>
      <c r="AA42" s="2">
        <v>118.05744536580301</v>
      </c>
      <c r="AB42" s="2">
        <v>32.480779959309501</v>
      </c>
      <c r="AC42" s="2">
        <v>94.711123038468301</v>
      </c>
      <c r="AD42" s="2">
        <v>4.6747450047471597</v>
      </c>
      <c r="AE42" s="2">
        <v>128.174336361531</v>
      </c>
      <c r="AF42" s="2">
        <v>44.213949238523703</v>
      </c>
      <c r="AG42" s="2">
        <v>106.929045324721</v>
      </c>
      <c r="AH42" s="2">
        <v>30.819837541086802</v>
      </c>
      <c r="AI42" s="2">
        <v>97.474056862722605</v>
      </c>
      <c r="AJ42" s="2">
        <v>18.206878865612101</v>
      </c>
    </row>
    <row r="43" spans="1:36" ht="15.75" hidden="1" customHeight="1" x14ac:dyDescent="0.45">
      <c r="A43" s="2" t="s">
        <v>88</v>
      </c>
      <c r="B43" s="2" t="s">
        <v>89</v>
      </c>
      <c r="C43" s="2">
        <v>0.01</v>
      </c>
      <c r="D43" s="2" t="s">
        <v>83</v>
      </c>
      <c r="E43" s="2" t="s">
        <v>84</v>
      </c>
      <c r="H43" s="2">
        <v>4.0999999999999996</v>
      </c>
      <c r="I43" s="2">
        <v>47.765246683777697</v>
      </c>
      <c r="J43" s="2">
        <v>2.5306095087699898</v>
      </c>
      <c r="K43" s="2">
        <v>352.944444444444</v>
      </c>
      <c r="L43" s="2">
        <v>24.8139372426356</v>
      </c>
      <c r="M43" s="2">
        <v>18.751371874333302</v>
      </c>
      <c r="N43" s="2">
        <v>1.3010953437786501</v>
      </c>
      <c r="O43" s="2">
        <v>10.701062732699899</v>
      </c>
      <c r="P43" s="2">
        <v>3.9177237867710102</v>
      </c>
      <c r="Q43" s="2">
        <v>5.8443195474761103</v>
      </c>
      <c r="R43" s="2">
        <v>3.0404082614141101</v>
      </c>
      <c r="S43" s="2">
        <v>0.384844502298333</v>
      </c>
      <c r="T43" s="2">
        <v>0.222574767967542</v>
      </c>
      <c r="U43" s="2">
        <v>3.4611906271566601</v>
      </c>
      <c r="V43" s="2">
        <v>0.183687302414897</v>
      </c>
      <c r="W43" s="7">
        <v>98.488489264398098</v>
      </c>
      <c r="X43" s="2">
        <v>6.9242829295006798</v>
      </c>
      <c r="Y43" s="7">
        <v>103.97735514972599</v>
      </c>
      <c r="Z43" s="2">
        <v>5.5087349465739797</v>
      </c>
      <c r="AA43" s="2">
        <v>132.461458656855</v>
      </c>
      <c r="AB43" s="2">
        <v>68.910830413643296</v>
      </c>
      <c r="AC43" s="2">
        <v>97.3200268684202</v>
      </c>
      <c r="AD43" s="2">
        <v>6.7527130635297397</v>
      </c>
      <c r="AE43" s="2">
        <v>190.79964470197999</v>
      </c>
      <c r="AF43" s="2">
        <v>69.852903887033307</v>
      </c>
      <c r="AG43" s="2">
        <v>95.359956318684794</v>
      </c>
      <c r="AH43" s="2">
        <v>55.151418363182799</v>
      </c>
      <c r="AI43" s="2">
        <v>102.910457208838</v>
      </c>
      <c r="AJ43" s="2">
        <v>5.4615149268747798</v>
      </c>
    </row>
    <row r="44" spans="1:36" ht="15.75" hidden="1" customHeight="1" x14ac:dyDescent="0.45">
      <c r="A44" s="2" t="s">
        <v>88</v>
      </c>
      <c r="B44" s="2" t="s">
        <v>89</v>
      </c>
      <c r="C44" s="2">
        <v>0.03</v>
      </c>
      <c r="D44" s="2" t="s">
        <v>83</v>
      </c>
      <c r="E44" s="2" t="s">
        <v>84</v>
      </c>
      <c r="H44" s="2">
        <v>4.0999999999999996</v>
      </c>
      <c r="I44" s="2">
        <v>45.220809157888802</v>
      </c>
      <c r="J44" s="2">
        <v>2.0568074882045799</v>
      </c>
      <c r="K44" s="2">
        <v>367.944444444444</v>
      </c>
      <c r="L44" s="2">
        <v>36.518767372001498</v>
      </c>
      <c r="M44" s="2">
        <v>18.758562105333301</v>
      </c>
      <c r="N44" s="2">
        <v>2.19034968356193</v>
      </c>
      <c r="O44" s="2">
        <v>5.4523024102388797</v>
      </c>
      <c r="P44" s="2">
        <v>0.76983681714753704</v>
      </c>
      <c r="Q44" s="2">
        <v>4.7362948685555502</v>
      </c>
      <c r="R44" s="2">
        <v>1.8308328486058401</v>
      </c>
      <c r="S44" s="2">
        <v>0.38479807171611102</v>
      </c>
      <c r="T44" s="2">
        <v>0.100038857446435</v>
      </c>
      <c r="U44" s="2">
        <v>3.5832945625222199</v>
      </c>
      <c r="V44" s="2">
        <v>0.43104462390732701</v>
      </c>
      <c r="W44" s="7">
        <v>102.67421130144901</v>
      </c>
      <c r="X44" s="2">
        <v>10.190493956996001</v>
      </c>
      <c r="Y44" s="7">
        <v>98.438518806283696</v>
      </c>
      <c r="Z44" s="2">
        <v>4.4773432050189301</v>
      </c>
      <c r="AA44" s="2">
        <v>107.34808762959899</v>
      </c>
      <c r="AB44" s="2">
        <v>41.495812765396501</v>
      </c>
      <c r="AC44" s="2">
        <v>97.357344323313598</v>
      </c>
      <c r="AD44" s="2">
        <v>11.3679623807824</v>
      </c>
      <c r="AE44" s="2">
        <v>97.214397174069603</v>
      </c>
      <c r="AF44" s="2">
        <v>13.7261685927144</v>
      </c>
      <c r="AG44" s="2">
        <v>95.348451364694</v>
      </c>
      <c r="AH44" s="2">
        <v>24.788456166818101</v>
      </c>
      <c r="AI44" s="2">
        <v>106.54093387686</v>
      </c>
      <c r="AJ44" s="2">
        <v>12.816109859905399</v>
      </c>
    </row>
    <row r="45" spans="1:36" ht="15.75" hidden="1" customHeight="1" x14ac:dyDescent="0.45">
      <c r="A45" s="2" t="s">
        <v>88</v>
      </c>
      <c r="B45" s="2" t="s">
        <v>89</v>
      </c>
      <c r="C45" s="2">
        <v>0.1</v>
      </c>
      <c r="D45" s="2" t="s">
        <v>83</v>
      </c>
      <c r="E45" s="2" t="s">
        <v>84</v>
      </c>
      <c r="H45" s="2">
        <v>4.0999999999999996</v>
      </c>
      <c r="I45" s="2">
        <v>46.101870113055497</v>
      </c>
      <c r="J45" s="2">
        <v>2.3134038135247601</v>
      </c>
      <c r="K45" s="2">
        <v>313.444444444444</v>
      </c>
      <c r="L45" s="2">
        <v>53.250021735345499</v>
      </c>
      <c r="M45" s="2">
        <v>21.524779043777698</v>
      </c>
      <c r="N45" s="2">
        <v>1.8236211796080199</v>
      </c>
      <c r="O45" s="2">
        <v>5.4315432236055496</v>
      </c>
      <c r="P45" s="2">
        <v>0.97655259920684001</v>
      </c>
      <c r="Q45" s="2">
        <v>3.7429586076444399</v>
      </c>
      <c r="R45" s="2">
        <v>1.1032684249870901</v>
      </c>
      <c r="S45" s="2">
        <v>0.40079516280777699</v>
      </c>
      <c r="T45" s="2">
        <v>0.13019630477888999</v>
      </c>
      <c r="U45" s="2">
        <v>4.1873256169555502</v>
      </c>
      <c r="V45" s="2">
        <v>0.390941688318448</v>
      </c>
      <c r="W45" s="7">
        <v>87.466087900162705</v>
      </c>
      <c r="X45" s="2">
        <v>14.859319296740001</v>
      </c>
      <c r="Y45" s="7">
        <v>100.356448560743</v>
      </c>
      <c r="Z45" s="2">
        <v>5.03591264829143</v>
      </c>
      <c r="AA45" s="2">
        <v>84.834128735299402</v>
      </c>
      <c r="AB45" s="2">
        <v>25.005570567569801</v>
      </c>
      <c r="AC45" s="2">
        <v>111.71407025128499</v>
      </c>
      <c r="AD45" s="2">
        <v>9.4646334885075394</v>
      </c>
      <c r="AE45" s="2">
        <v>96.844261465787199</v>
      </c>
      <c r="AF45" s="2">
        <v>17.411905117805802</v>
      </c>
      <c r="AG45" s="2">
        <v>99.3123430108446</v>
      </c>
      <c r="AH45" s="2">
        <v>32.261118094249397</v>
      </c>
      <c r="AI45" s="2">
        <v>124.50039311390699</v>
      </c>
      <c r="AJ45" s="2">
        <v>11.6237422958402</v>
      </c>
    </row>
    <row r="46" spans="1:36" ht="15.75" hidden="1" customHeight="1" x14ac:dyDescent="0.45">
      <c r="A46" s="2" t="s">
        <v>88</v>
      </c>
      <c r="B46" s="2" t="s">
        <v>89</v>
      </c>
      <c r="C46" s="2">
        <v>0.3</v>
      </c>
      <c r="D46" s="2" t="s">
        <v>83</v>
      </c>
      <c r="E46" s="2" t="s">
        <v>84</v>
      </c>
      <c r="H46" s="2">
        <v>4.0999999999999996</v>
      </c>
      <c r="I46" s="2">
        <v>49.164558048055497</v>
      </c>
      <c r="J46" s="2">
        <v>2.86120419628898</v>
      </c>
      <c r="K46" s="2">
        <v>361.33333333333297</v>
      </c>
      <c r="L46" s="2">
        <v>54.502548360400297</v>
      </c>
      <c r="M46" s="2">
        <v>19.728810637055499</v>
      </c>
      <c r="N46" s="2">
        <v>2.3990124608732102</v>
      </c>
      <c r="O46" s="2">
        <v>13.152998144861099</v>
      </c>
      <c r="P46" s="2">
        <v>6.9051565400724098</v>
      </c>
      <c r="Q46" s="2">
        <v>4.5615592497383304</v>
      </c>
      <c r="R46" s="2">
        <v>1.9671647666396399</v>
      </c>
      <c r="S46" s="2">
        <v>0.54659514538222198</v>
      </c>
      <c r="T46" s="2">
        <v>9.7006572430065205E-2</v>
      </c>
      <c r="U46" s="2">
        <v>4.0116977365611097</v>
      </c>
      <c r="V46" s="2">
        <v>0.341365736576135</v>
      </c>
      <c r="W46" s="7">
        <v>100.82939307030399</v>
      </c>
      <c r="X46" s="2">
        <v>15.208834516505799</v>
      </c>
      <c r="Y46" s="7">
        <v>107.023433727564</v>
      </c>
      <c r="Z46" s="2">
        <v>6.2283870706872504</v>
      </c>
      <c r="AA46" s="2">
        <v>103.38770614124699</v>
      </c>
      <c r="AB46" s="2">
        <v>44.585774663876798</v>
      </c>
      <c r="AC46" s="2">
        <v>102.39295525402601</v>
      </c>
      <c r="AD46" s="2">
        <v>12.450926722296501</v>
      </c>
      <c r="AE46" s="2">
        <v>234.51758348603801</v>
      </c>
      <c r="AF46" s="2">
        <v>123.11874505990799</v>
      </c>
      <c r="AG46" s="2">
        <v>135.43986954826599</v>
      </c>
      <c r="AH46" s="2">
        <v>24.037091485810699</v>
      </c>
      <c r="AI46" s="2">
        <v>119.278506365398</v>
      </c>
      <c r="AJ46" s="2">
        <v>10.149716617989601</v>
      </c>
    </row>
    <row r="47" spans="1:36" ht="15.75" hidden="1" customHeight="1" x14ac:dyDescent="0.45">
      <c r="A47" s="2" t="s">
        <v>88</v>
      </c>
      <c r="B47" s="2" t="s">
        <v>89</v>
      </c>
      <c r="C47" s="2">
        <v>1</v>
      </c>
      <c r="D47" s="2" t="s">
        <v>83</v>
      </c>
      <c r="E47" s="2" t="s">
        <v>84</v>
      </c>
      <c r="H47" s="2">
        <v>4.0999999999999996</v>
      </c>
      <c r="I47" s="2">
        <v>46.251108053777699</v>
      </c>
      <c r="J47" s="2">
        <v>3.5717575510172801</v>
      </c>
      <c r="K47" s="2">
        <v>334.944444444444</v>
      </c>
      <c r="L47" s="2">
        <v>24.647702920541999</v>
      </c>
      <c r="M47" s="2">
        <v>18.689620009888799</v>
      </c>
      <c r="N47" s="2">
        <v>1.4905275432862699</v>
      </c>
      <c r="O47" s="2">
        <v>8.2949052125444407</v>
      </c>
      <c r="P47" s="2">
        <v>5.1005882754682697</v>
      </c>
      <c r="Q47" s="2">
        <v>7.0331539965722198</v>
      </c>
      <c r="R47" s="2">
        <v>3.48883004497113</v>
      </c>
      <c r="S47" s="2">
        <v>0.39469204518111101</v>
      </c>
      <c r="T47" s="2">
        <v>9.45287338540685E-2</v>
      </c>
      <c r="U47" s="2">
        <v>3.35399644017222</v>
      </c>
      <c r="V47" s="2">
        <v>0.59540034372811301</v>
      </c>
      <c r="W47" s="7">
        <v>93.465622819936399</v>
      </c>
      <c r="X47" s="2">
        <v>6.8778955518139302</v>
      </c>
      <c r="Y47" s="7">
        <v>100.681315853212</v>
      </c>
      <c r="Z47" s="2">
        <v>7.7751488618810702</v>
      </c>
      <c r="AA47" s="2">
        <v>159.40638251831601</v>
      </c>
      <c r="AB47" s="2">
        <v>79.074306770633896</v>
      </c>
      <c r="AC47" s="2">
        <v>96.9995333521493</v>
      </c>
      <c r="AD47" s="2">
        <v>7.7358702890050504</v>
      </c>
      <c r="AE47" s="2">
        <v>147.897924432666</v>
      </c>
      <c r="AF47" s="2">
        <v>90.943344136894595</v>
      </c>
      <c r="AG47" s="2">
        <v>97.800062006930006</v>
      </c>
      <c r="AH47" s="2">
        <v>23.423112133213301</v>
      </c>
      <c r="AI47" s="2">
        <v>99.723287248840705</v>
      </c>
      <c r="AJ47" s="2">
        <v>17.7028451176913</v>
      </c>
    </row>
    <row r="48" spans="1:36" ht="15.75" hidden="1" customHeight="1" x14ac:dyDescent="0.45">
      <c r="A48" s="2" t="s">
        <v>88</v>
      </c>
      <c r="B48" s="2" t="s">
        <v>89</v>
      </c>
      <c r="C48" s="2">
        <v>3</v>
      </c>
      <c r="D48" s="2" t="s">
        <v>83</v>
      </c>
      <c r="E48" s="2" t="s">
        <v>84</v>
      </c>
      <c r="H48" s="2">
        <v>4.0999999999999996</v>
      </c>
      <c r="I48" s="2">
        <v>45.413119472555501</v>
      </c>
      <c r="J48" s="2">
        <v>4.9100321354982199</v>
      </c>
      <c r="K48" s="2">
        <v>242.56666666666601</v>
      </c>
      <c r="L48" s="2">
        <v>22.434522009122301</v>
      </c>
      <c r="M48" s="2">
        <v>21.541948898633301</v>
      </c>
      <c r="N48" s="2">
        <v>3.0621821046683801</v>
      </c>
      <c r="O48" s="2">
        <v>8.9125579295344401</v>
      </c>
      <c r="P48" s="2">
        <v>2.8828825276341501</v>
      </c>
      <c r="Q48" s="2">
        <v>6.7861492096355498</v>
      </c>
      <c r="R48" s="2">
        <v>4.5336027934588099</v>
      </c>
      <c r="S48" s="2">
        <v>0.57186372347066605</v>
      </c>
      <c r="T48" s="2">
        <v>0.24720026422547101</v>
      </c>
      <c r="U48" s="2">
        <v>4.2467009567999998</v>
      </c>
      <c r="V48" s="2">
        <v>0.53566943444614301</v>
      </c>
      <c r="W48" s="7">
        <v>67.687776141384305</v>
      </c>
      <c r="X48" s="2">
        <v>6.2603115442865196</v>
      </c>
      <c r="Y48" s="7">
        <v>98.857147815350302</v>
      </c>
      <c r="Z48" s="2">
        <v>10.688360064989601</v>
      </c>
      <c r="AA48" s="2">
        <v>153.80802087722699</v>
      </c>
      <c r="AB48" s="2">
        <v>102.754073269605</v>
      </c>
      <c r="AC48" s="2">
        <v>111.803182170513</v>
      </c>
      <c r="AD48" s="2">
        <v>15.8927915621063</v>
      </c>
      <c r="AE48" s="2">
        <v>158.91065484034701</v>
      </c>
      <c r="AF48" s="2">
        <v>51.401713617593202</v>
      </c>
      <c r="AG48" s="2">
        <v>141.701126986943</v>
      </c>
      <c r="AH48" s="2">
        <v>61.253327662803301</v>
      </c>
      <c r="AI48" s="2">
        <v>126.26578081673399</v>
      </c>
      <c r="AJ48" s="2">
        <v>15.926885384217501</v>
      </c>
    </row>
    <row r="49" spans="1:36" ht="15.75" hidden="1" customHeight="1" x14ac:dyDescent="0.45">
      <c r="A49" s="2" t="s">
        <v>88</v>
      </c>
      <c r="B49" s="2" t="s">
        <v>89</v>
      </c>
      <c r="C49" s="2">
        <v>10</v>
      </c>
      <c r="D49" s="2" t="s">
        <v>83</v>
      </c>
      <c r="E49" s="2" t="s">
        <v>84</v>
      </c>
      <c r="H49" s="2">
        <v>4.0999999999999996</v>
      </c>
      <c r="I49" s="2">
        <v>0</v>
      </c>
      <c r="J49" s="2">
        <v>0</v>
      </c>
      <c r="K49" s="2">
        <v>23.8333333333333</v>
      </c>
      <c r="L49" s="2">
        <v>5.0083264004389196</v>
      </c>
      <c r="M49" s="2">
        <v>4.1583966242444399</v>
      </c>
      <c r="N49" s="2">
        <v>3.0409449928176899</v>
      </c>
      <c r="O49" s="2">
        <v>20.6787445378888</v>
      </c>
      <c r="P49" s="2">
        <v>1.2073015697293199</v>
      </c>
      <c r="Q49" s="2">
        <v>9.5910232495500001</v>
      </c>
      <c r="R49" s="2">
        <v>5.8169790313265004</v>
      </c>
      <c r="S49" s="2">
        <v>0</v>
      </c>
      <c r="T49" s="2">
        <v>0</v>
      </c>
      <c r="U49" s="2">
        <v>1.50587172538333</v>
      </c>
      <c r="V49" s="2">
        <v>1.3908370208207499</v>
      </c>
      <c r="W49" s="7">
        <v>6.6506472366483198</v>
      </c>
      <c r="X49" s="2">
        <v>1.39756414553756</v>
      </c>
      <c r="Y49" s="7">
        <v>0</v>
      </c>
      <c r="Z49" s="2">
        <v>0</v>
      </c>
      <c r="AA49" s="2">
        <v>217.38046992927499</v>
      </c>
      <c r="AB49" s="2">
        <v>131.84178606363199</v>
      </c>
      <c r="AC49" s="2">
        <v>21.582168702811501</v>
      </c>
      <c r="AD49" s="2">
        <v>15.782570490828499</v>
      </c>
      <c r="AE49" s="2">
        <v>368.70142800449901</v>
      </c>
      <c r="AF49" s="2">
        <v>21.526152710851001</v>
      </c>
      <c r="AG49" s="2">
        <v>0</v>
      </c>
      <c r="AH49" s="2">
        <v>0</v>
      </c>
      <c r="AI49" s="2">
        <v>44.773595115264399</v>
      </c>
      <c r="AJ49" s="2">
        <v>41.353305591614699</v>
      </c>
    </row>
    <row r="50" spans="1:36" ht="15.75" hidden="1" customHeight="1" x14ac:dyDescent="0.45">
      <c r="A50" s="2" t="s">
        <v>88</v>
      </c>
      <c r="B50" s="2" t="s">
        <v>89</v>
      </c>
      <c r="C50" s="2">
        <v>3.0000000000000001E-3</v>
      </c>
      <c r="D50" s="2" t="s">
        <v>83</v>
      </c>
      <c r="E50" s="2" t="s">
        <v>84</v>
      </c>
      <c r="H50" s="2">
        <v>3.8</v>
      </c>
      <c r="I50" s="2">
        <v>33.377486591133298</v>
      </c>
      <c r="J50" s="2">
        <v>3.8783680434012902</v>
      </c>
      <c r="K50" s="2">
        <v>228.888888888888</v>
      </c>
      <c r="L50" s="2">
        <v>60.635828548010203</v>
      </c>
      <c r="M50" s="2">
        <v>13.2486936322255</v>
      </c>
      <c r="N50" s="2">
        <v>1.8541081564864901</v>
      </c>
      <c r="O50" s="2">
        <v>1.84698271189466</v>
      </c>
      <c r="P50" s="2">
        <v>0.87808831706007096</v>
      </c>
      <c r="Q50" s="2">
        <v>5.91726884786888</v>
      </c>
      <c r="R50" s="2">
        <v>4.8231395572286901</v>
      </c>
      <c r="S50" s="2">
        <v>0.70751624752666598</v>
      </c>
      <c r="T50" s="2">
        <v>0.20382225135948001</v>
      </c>
      <c r="U50" s="2">
        <v>3.83197782432444</v>
      </c>
      <c r="V50" s="2">
        <v>0.31871232393245502</v>
      </c>
      <c r="W50" s="7">
        <v>98.487634162659802</v>
      </c>
      <c r="X50" s="2">
        <v>23.823031072337599</v>
      </c>
      <c r="Y50" s="7">
        <v>99.503828406439396</v>
      </c>
      <c r="Z50" s="2">
        <v>7.5843364605929402</v>
      </c>
      <c r="AA50" s="2">
        <v>117.46360563694</v>
      </c>
      <c r="AB50" s="2">
        <v>69.685064357824501</v>
      </c>
      <c r="AC50" s="2">
        <v>86.418202280765499</v>
      </c>
      <c r="AD50" s="2">
        <v>8.8390289027386295</v>
      </c>
      <c r="AE50" s="2">
        <v>100.562389041244</v>
      </c>
      <c r="AF50" s="2">
        <v>28.3759088776407</v>
      </c>
      <c r="AG50" s="2">
        <v>107.122842695283</v>
      </c>
      <c r="AH50" s="2">
        <v>73.309363224938906</v>
      </c>
      <c r="AI50" s="2">
        <v>120.887240923094</v>
      </c>
      <c r="AJ50" s="2">
        <v>39.153247819932503</v>
      </c>
    </row>
    <row r="51" spans="1:36" ht="15.75" hidden="1" customHeight="1" x14ac:dyDescent="0.45">
      <c r="A51" s="2" t="s">
        <v>88</v>
      </c>
      <c r="B51" s="2" t="s">
        <v>89</v>
      </c>
      <c r="C51" s="2">
        <v>0.01</v>
      </c>
      <c r="D51" s="2" t="s">
        <v>83</v>
      </c>
      <c r="E51" s="2" t="s">
        <v>84</v>
      </c>
      <c r="H51" s="2">
        <v>3.8</v>
      </c>
      <c r="I51" s="2">
        <v>32.469779034777702</v>
      </c>
      <c r="J51" s="2">
        <v>7.4691198113338402</v>
      </c>
      <c r="K51" s="2">
        <v>239.111111111111</v>
      </c>
      <c r="L51" s="2">
        <v>29.731358927968699</v>
      </c>
      <c r="M51" s="2">
        <v>15.097367331505501</v>
      </c>
      <c r="N51" s="2">
        <v>0.41934071574015103</v>
      </c>
      <c r="O51" s="2">
        <v>1.71225149891555</v>
      </c>
      <c r="P51" s="2">
        <v>0.31340069281208499</v>
      </c>
      <c r="Q51" s="2">
        <v>3.43540792774722</v>
      </c>
      <c r="R51" s="2">
        <v>0.50309135006703898</v>
      </c>
      <c r="S51" s="2">
        <v>0.534269877651666</v>
      </c>
      <c r="T51" s="2">
        <v>0.169243393195916</v>
      </c>
      <c r="U51" s="2">
        <v>3.5727922810555501</v>
      </c>
      <c r="V51" s="2">
        <v>0.49912171526903398</v>
      </c>
      <c r="W51" s="7">
        <v>103.114126619543</v>
      </c>
      <c r="X51" s="2">
        <v>9.6382696260752994</v>
      </c>
      <c r="Y51" s="7">
        <v>97.290638858210698</v>
      </c>
      <c r="Z51" s="2">
        <v>24.4572593077798</v>
      </c>
      <c r="AA51" s="2">
        <v>77.238121874023506</v>
      </c>
      <c r="AB51" s="2">
        <v>23.755010875834401</v>
      </c>
      <c r="AC51" s="2">
        <v>98.876078846203399</v>
      </c>
      <c r="AD51" s="2">
        <v>6.0843401683751503</v>
      </c>
      <c r="AE51" s="2">
        <v>103.059233863264</v>
      </c>
      <c r="AF51" s="2">
        <v>37.4998131503583</v>
      </c>
      <c r="AG51" s="2">
        <v>71.046730508758998</v>
      </c>
      <c r="AH51" s="2">
        <v>15.4850319201243</v>
      </c>
      <c r="AI51" s="2">
        <v>111.37978015120299</v>
      </c>
      <c r="AJ51" s="2">
        <v>30.179758631329701</v>
      </c>
    </row>
    <row r="52" spans="1:36" ht="15.75" hidden="1" customHeight="1" x14ac:dyDescent="0.45">
      <c r="A52" s="2" t="s">
        <v>88</v>
      </c>
      <c r="B52" s="2" t="s">
        <v>89</v>
      </c>
      <c r="C52" s="2">
        <v>0.03</v>
      </c>
      <c r="D52" s="2" t="s">
        <v>83</v>
      </c>
      <c r="E52" s="2" t="s">
        <v>84</v>
      </c>
      <c r="H52" s="2">
        <v>3.8</v>
      </c>
      <c r="I52" s="2">
        <v>34.626654973555503</v>
      </c>
      <c r="J52" s="2">
        <v>4.2193482700328397</v>
      </c>
      <c r="K52" s="2">
        <v>269.55555555555497</v>
      </c>
      <c r="L52" s="2">
        <v>17.6732168150739</v>
      </c>
      <c r="M52" s="2">
        <v>15.3784778457222</v>
      </c>
      <c r="N52" s="2">
        <v>1.54261643582005</v>
      </c>
      <c r="O52" s="2">
        <v>1.99821562427944</v>
      </c>
      <c r="P52" s="2">
        <v>0.34299454267471702</v>
      </c>
      <c r="Q52" s="2">
        <v>2.9541166190855499</v>
      </c>
      <c r="R52" s="2">
        <v>1.1905559910479799</v>
      </c>
      <c r="S52" s="2">
        <v>0.48648079303333303</v>
      </c>
      <c r="T52" s="2">
        <v>0.22616526501713199</v>
      </c>
      <c r="U52" s="2">
        <v>3.7477955566999999</v>
      </c>
      <c r="V52" s="2">
        <v>0.320962266123617</v>
      </c>
      <c r="W52" s="7">
        <v>116.623532960289</v>
      </c>
      <c r="X52" s="2">
        <v>10.2744937942088</v>
      </c>
      <c r="Y52" s="7">
        <v>103.282681719777</v>
      </c>
      <c r="Z52" s="2">
        <v>9.6803867378104993</v>
      </c>
      <c r="AA52" s="2">
        <v>62.7387306707043</v>
      </c>
      <c r="AB52" s="2">
        <v>17.507798467084399</v>
      </c>
      <c r="AC52" s="2">
        <v>100.80947728777601</v>
      </c>
      <c r="AD52" s="2">
        <v>13.103167876575</v>
      </c>
      <c r="AE52" s="2">
        <v>118.140525308565</v>
      </c>
      <c r="AF52" s="2">
        <v>29.318188596646401</v>
      </c>
      <c r="AG52" s="2">
        <v>63.635988468796597</v>
      </c>
      <c r="AH52" s="2">
        <v>18.471132877915501</v>
      </c>
      <c r="AI52" s="2">
        <v>117.832049368784</v>
      </c>
      <c r="AJ52" s="2">
        <v>36.7646803167275</v>
      </c>
    </row>
    <row r="53" spans="1:36" ht="15.75" hidden="1" customHeight="1" x14ac:dyDescent="0.45">
      <c r="A53" s="2" t="s">
        <v>88</v>
      </c>
      <c r="B53" s="2" t="s">
        <v>89</v>
      </c>
      <c r="C53" s="2">
        <v>0.1</v>
      </c>
      <c r="D53" s="2" t="s">
        <v>83</v>
      </c>
      <c r="E53" s="2" t="s">
        <v>84</v>
      </c>
      <c r="H53" s="2">
        <v>3.8</v>
      </c>
      <c r="I53" s="2">
        <v>31.662569344277699</v>
      </c>
      <c r="J53" s="2">
        <v>8.37846799178973</v>
      </c>
      <c r="K53" s="2">
        <v>237.833333333333</v>
      </c>
      <c r="L53" s="2">
        <v>19.203587627778401</v>
      </c>
      <c r="M53" s="2">
        <v>13.192672932500001</v>
      </c>
      <c r="N53" s="2">
        <v>1.87372179350876</v>
      </c>
      <c r="O53" s="2">
        <v>2.12436599472833</v>
      </c>
      <c r="P53" s="2">
        <v>0.86309592273032099</v>
      </c>
      <c r="Q53" s="2">
        <v>3.7055067848944399</v>
      </c>
      <c r="R53" s="2">
        <v>0.57356029119832097</v>
      </c>
      <c r="S53" s="2">
        <v>0.64914837210611098</v>
      </c>
      <c r="T53" s="2">
        <v>0.27564584978816098</v>
      </c>
      <c r="U53" s="2">
        <v>3.7593756949338801</v>
      </c>
      <c r="V53" s="2">
        <v>0.86931097256662304</v>
      </c>
      <c r="W53" s="7">
        <v>102.650946986701</v>
      </c>
      <c r="X53" s="2">
        <v>5.1681220368305203</v>
      </c>
      <c r="Y53" s="7">
        <v>94.489682045090007</v>
      </c>
      <c r="Z53" s="2">
        <v>24.184408502437702</v>
      </c>
      <c r="AA53" s="2">
        <v>82.521397346541406</v>
      </c>
      <c r="AB53" s="2">
        <v>23.0921306592655</v>
      </c>
      <c r="AC53" s="2">
        <v>85.856984642070501</v>
      </c>
      <c r="AD53" s="2">
        <v>5.19251967165689</v>
      </c>
      <c r="AE53" s="2">
        <v>118.891474566336</v>
      </c>
      <c r="AF53" s="2">
        <v>35.416113701808897</v>
      </c>
      <c r="AG53" s="2">
        <v>94.900210814516996</v>
      </c>
      <c r="AH53" s="2">
        <v>51.524857574393899</v>
      </c>
      <c r="AI53" s="2">
        <v>112.945902073794</v>
      </c>
      <c r="AJ53" s="2">
        <v>8.3676157093166204</v>
      </c>
    </row>
    <row r="54" spans="1:36" ht="15.75" hidden="1" customHeight="1" x14ac:dyDescent="0.45">
      <c r="A54" s="2" t="s">
        <v>88</v>
      </c>
      <c r="B54" s="2" t="s">
        <v>89</v>
      </c>
      <c r="C54" s="2">
        <v>0.3</v>
      </c>
      <c r="D54" s="2" t="s">
        <v>83</v>
      </c>
      <c r="E54" s="2" t="s">
        <v>84</v>
      </c>
      <c r="H54" s="2">
        <v>3.8</v>
      </c>
      <c r="I54" s="2">
        <v>33.648189450444399</v>
      </c>
      <c r="J54" s="2">
        <v>3.6888422522602</v>
      </c>
      <c r="K54" s="2">
        <v>223.333333333333</v>
      </c>
      <c r="L54" s="2">
        <v>33.0117824083732</v>
      </c>
      <c r="M54" s="2">
        <v>15.715870218172199</v>
      </c>
      <c r="N54" s="2">
        <v>1.0804866221095399</v>
      </c>
      <c r="O54" s="2">
        <v>1.7041590335277701</v>
      </c>
      <c r="P54" s="2">
        <v>0.33636070835334198</v>
      </c>
      <c r="Q54" s="2">
        <v>4.2443710566111097</v>
      </c>
      <c r="R54" s="2">
        <v>1.17270173648673</v>
      </c>
      <c r="S54" s="2">
        <v>0.63969162877833297</v>
      </c>
      <c r="T54" s="2">
        <v>0.125559224107959</v>
      </c>
      <c r="U54" s="2">
        <v>3.3185107781333301</v>
      </c>
      <c r="V54" s="2">
        <v>0.22418237234094299</v>
      </c>
      <c r="W54" s="7">
        <v>96.791686653363996</v>
      </c>
      <c r="X54" s="2">
        <v>16.570195596833699</v>
      </c>
      <c r="Y54" s="7">
        <v>101.120628424633</v>
      </c>
      <c r="Z54" s="2">
        <v>17.18941548371</v>
      </c>
      <c r="AA54" s="2">
        <v>90.790956034874696</v>
      </c>
      <c r="AB54" s="2">
        <v>4.9052052447059999</v>
      </c>
      <c r="AC54" s="2">
        <v>103.056727094134</v>
      </c>
      <c r="AD54" s="2">
        <v>11.3292536393782</v>
      </c>
      <c r="AE54" s="2">
        <v>105.13393702484299</v>
      </c>
      <c r="AF54" s="2">
        <v>49.829221180888297</v>
      </c>
      <c r="AG54" s="2">
        <v>90.149070350158496</v>
      </c>
      <c r="AH54" s="2">
        <v>37.733928600618498</v>
      </c>
      <c r="AI54" s="2">
        <v>104.295191553496</v>
      </c>
      <c r="AJ54" s="2">
        <v>31.368331795702598</v>
      </c>
    </row>
    <row r="55" spans="1:36" ht="15.75" hidden="1" customHeight="1" x14ac:dyDescent="0.45">
      <c r="A55" s="2" t="s">
        <v>88</v>
      </c>
      <c r="B55" s="2" t="s">
        <v>89</v>
      </c>
      <c r="C55" s="2">
        <v>1</v>
      </c>
      <c r="D55" s="2" t="s">
        <v>83</v>
      </c>
      <c r="E55" s="2" t="s">
        <v>84</v>
      </c>
      <c r="H55" s="2">
        <v>3.8</v>
      </c>
      <c r="I55" s="2">
        <v>31.5979617882222</v>
      </c>
      <c r="J55" s="2">
        <v>4.4090558846521501</v>
      </c>
      <c r="K55" s="2">
        <v>192.444444444444</v>
      </c>
      <c r="L55" s="2">
        <v>8.9292486515653504</v>
      </c>
      <c r="M55" s="2">
        <v>13.8690837629055</v>
      </c>
      <c r="N55" s="2">
        <v>2.7080320789203198</v>
      </c>
      <c r="O55" s="2">
        <v>0.986659582919444</v>
      </c>
      <c r="P55" s="2">
        <v>0.21123654228633701</v>
      </c>
      <c r="Q55" s="2">
        <v>3.1391648473249898</v>
      </c>
      <c r="R55" s="2">
        <v>0.53912982314800395</v>
      </c>
      <c r="S55" s="2">
        <v>0.33925079092388799</v>
      </c>
      <c r="T55" s="2">
        <v>6.3688524667045804E-2</v>
      </c>
      <c r="U55" s="2">
        <v>3.3831940735988799</v>
      </c>
      <c r="V55" s="2">
        <v>0.52321228691069099</v>
      </c>
      <c r="W55" s="7">
        <v>83.155614106517902</v>
      </c>
      <c r="X55" s="2">
        <v>3.44365194047203</v>
      </c>
      <c r="Y55" s="7">
        <v>94.307434202865196</v>
      </c>
      <c r="Z55" s="2">
        <v>11.7044165074359</v>
      </c>
      <c r="AA55" s="2">
        <v>71.045124346046507</v>
      </c>
      <c r="AB55" s="2">
        <v>23.678196274073802</v>
      </c>
      <c r="AC55" s="2">
        <v>90.013354260888406</v>
      </c>
      <c r="AD55" s="2">
        <v>10.3030196779044</v>
      </c>
      <c r="AE55" s="2">
        <v>60.022304196491604</v>
      </c>
      <c r="AF55" s="2">
        <v>22.326080379997499</v>
      </c>
      <c r="AG55" s="2">
        <v>46.741014481673602</v>
      </c>
      <c r="AH55" s="2">
        <v>13.8742847065605</v>
      </c>
      <c r="AI55" s="2">
        <v>107.82289066776001</v>
      </c>
      <c r="AJ55" s="2">
        <v>43.137553053787101</v>
      </c>
    </row>
    <row r="56" spans="1:36" ht="15.75" hidden="1" customHeight="1" x14ac:dyDescent="0.45">
      <c r="A56" s="2" t="s">
        <v>88</v>
      </c>
      <c r="B56" s="2" t="s">
        <v>89</v>
      </c>
      <c r="C56" s="2">
        <v>3</v>
      </c>
      <c r="D56" s="2" t="s">
        <v>83</v>
      </c>
      <c r="E56" s="2" t="s">
        <v>84</v>
      </c>
      <c r="H56" s="2">
        <v>3.8</v>
      </c>
      <c r="I56" s="2">
        <v>31.872525208444401</v>
      </c>
      <c r="J56" s="2">
        <v>1.9187014755849601</v>
      </c>
      <c r="K56" s="2">
        <v>139.555555555555</v>
      </c>
      <c r="L56" s="2">
        <v>3.1016721893804098</v>
      </c>
      <c r="M56" s="2">
        <v>17.8741680886666</v>
      </c>
      <c r="N56" s="2">
        <v>0.50608874404997395</v>
      </c>
      <c r="O56" s="2">
        <v>1.8951205869888801</v>
      </c>
      <c r="P56" s="2">
        <v>0.18538394742247399</v>
      </c>
      <c r="Q56" s="2">
        <v>6.8188165533488796</v>
      </c>
      <c r="R56" s="2">
        <v>1.4422954264751</v>
      </c>
      <c r="S56" s="2">
        <v>0.81188920087499905</v>
      </c>
      <c r="T56" s="2">
        <v>9.7198687505302403E-2</v>
      </c>
      <c r="U56" s="2">
        <v>3.9210197904805502</v>
      </c>
      <c r="V56" s="2">
        <v>0.299691740031166</v>
      </c>
      <c r="W56" s="7">
        <v>60.341000359029401</v>
      </c>
      <c r="X56" s="2">
        <v>2.6690724597275</v>
      </c>
      <c r="Y56" s="7">
        <v>95.1339445240217</v>
      </c>
      <c r="Z56" s="2">
        <v>0.96107256062663704</v>
      </c>
      <c r="AA56" s="2">
        <v>155.231696927321</v>
      </c>
      <c r="AB56" s="2">
        <v>57.839540086617099</v>
      </c>
      <c r="AC56" s="2">
        <v>117.348069864596</v>
      </c>
      <c r="AD56" s="2">
        <v>12.197967340677099</v>
      </c>
      <c r="AE56" s="2">
        <v>117.51253050312</v>
      </c>
      <c r="AF56" s="2">
        <v>51.085764219965803</v>
      </c>
      <c r="AG56" s="2">
        <v>116.094157269794</v>
      </c>
      <c r="AH56" s="2">
        <v>52.005906386211201</v>
      </c>
      <c r="AI56" s="2">
        <v>124.27896246944501</v>
      </c>
      <c r="AJ56" s="2">
        <v>43.484472866821498</v>
      </c>
    </row>
    <row r="57" spans="1:36" ht="15.75" hidden="1" customHeight="1" x14ac:dyDescent="0.45">
      <c r="A57" s="2" t="s">
        <v>88</v>
      </c>
      <c r="B57" s="2" t="s">
        <v>89</v>
      </c>
      <c r="C57" s="2">
        <v>10</v>
      </c>
      <c r="D57" s="2" t="s">
        <v>83</v>
      </c>
      <c r="E57" s="2" t="s">
        <v>84</v>
      </c>
      <c r="H57" s="2">
        <v>3.8</v>
      </c>
      <c r="I57" s="2">
        <v>7.8190716662766597</v>
      </c>
      <c r="J57" s="2">
        <v>2.3716544791925398</v>
      </c>
      <c r="K57" s="2">
        <v>47.988888888888802</v>
      </c>
      <c r="L57" s="2">
        <v>1.03297484821151</v>
      </c>
      <c r="M57" s="2">
        <v>21.555136537328799</v>
      </c>
      <c r="N57" s="2">
        <v>2.4527223393526798</v>
      </c>
      <c r="O57" s="2">
        <v>1.24299044718333</v>
      </c>
      <c r="P57" s="2">
        <v>0.89000445279684504</v>
      </c>
      <c r="Q57" s="2">
        <v>6.4763033530844396</v>
      </c>
      <c r="R57" s="2">
        <v>0.294553976784167</v>
      </c>
      <c r="S57" s="2">
        <v>0.593699908674444</v>
      </c>
      <c r="T57" s="2">
        <v>0.68071266379364104</v>
      </c>
      <c r="U57" s="2">
        <v>10.0082800588222</v>
      </c>
      <c r="V57" s="2">
        <v>1.7801489900752001</v>
      </c>
      <c r="W57" s="7">
        <v>20.753750407242201</v>
      </c>
      <c r="X57" s="2">
        <v>1.0350880169108401</v>
      </c>
      <c r="Y57" s="7">
        <v>23.531997418847101</v>
      </c>
      <c r="Z57" s="2">
        <v>7.6551948610900302</v>
      </c>
      <c r="AA57" s="2">
        <v>143.26010663033099</v>
      </c>
      <c r="AB57" s="2">
        <v>25.778650547872299</v>
      </c>
      <c r="AC57" s="2">
        <v>140.48661046210299</v>
      </c>
      <c r="AD57" s="2">
        <v>4.9039212371848704</v>
      </c>
      <c r="AE57" s="2">
        <v>91.402258732219195</v>
      </c>
      <c r="AF57" s="2">
        <v>83.295584987014394</v>
      </c>
      <c r="AG57" s="2">
        <v>74.573713392259606</v>
      </c>
      <c r="AH57" s="2">
        <v>65.824041197715502</v>
      </c>
      <c r="AI57" s="2">
        <v>308.43239830378002</v>
      </c>
      <c r="AJ57" s="2">
        <v>68.141493850309999</v>
      </c>
    </row>
    <row r="58" spans="1:36" ht="15.75" hidden="1" customHeight="1" x14ac:dyDescent="0.45">
      <c r="A58" s="2" t="s">
        <v>88</v>
      </c>
      <c r="B58" s="2" t="s">
        <v>89</v>
      </c>
      <c r="C58" s="2">
        <v>3.0000000000000001E-3</v>
      </c>
      <c r="D58" s="2" t="s">
        <v>83</v>
      </c>
      <c r="E58" s="2" t="s">
        <v>84</v>
      </c>
      <c r="H58" s="2">
        <v>6.4</v>
      </c>
      <c r="I58" s="2">
        <v>2.06777180225777</v>
      </c>
      <c r="J58" s="2">
        <v>1.5785261950451099</v>
      </c>
      <c r="K58" s="2">
        <v>269.222222222222</v>
      </c>
      <c r="L58" s="2">
        <v>27.9211853722685</v>
      </c>
      <c r="M58" s="2">
        <v>16.421454816614801</v>
      </c>
      <c r="N58" s="2">
        <v>0.66045970186343195</v>
      </c>
      <c r="O58" s="2">
        <v>32.203551207925898</v>
      </c>
      <c r="P58" s="2">
        <v>1.4184675607505099</v>
      </c>
      <c r="Q58" s="2">
        <v>3.33687193887407</v>
      </c>
      <c r="R58" s="2">
        <v>0.50539530471623295</v>
      </c>
      <c r="S58" s="2">
        <v>0.309693392499999</v>
      </c>
      <c r="T58" s="2">
        <v>0.160114595765318</v>
      </c>
      <c r="U58" s="2">
        <v>5.3641213839333304</v>
      </c>
      <c r="V58" s="2">
        <v>0.70908156198473404</v>
      </c>
      <c r="W58" s="7">
        <v>105.48904246385101</v>
      </c>
      <c r="X58" s="2">
        <v>12.4577949923116</v>
      </c>
      <c r="Y58" s="7">
        <v>93.201724265500701</v>
      </c>
      <c r="Z58" s="2">
        <v>56.8198276723815</v>
      </c>
      <c r="AA58" s="2">
        <v>117.48211564704999</v>
      </c>
      <c r="AB58" s="2">
        <v>19.5945011013368</v>
      </c>
      <c r="AC58" s="2">
        <v>90.960216753001404</v>
      </c>
      <c r="AD58" s="2">
        <v>6.6779026297673898</v>
      </c>
      <c r="AE58" s="2">
        <v>99.879210371740299</v>
      </c>
      <c r="AF58" s="2">
        <v>4.3601531813862504</v>
      </c>
      <c r="AG58" s="2">
        <v>61.815413753334497</v>
      </c>
      <c r="AH58" s="2">
        <v>15.600115029807601</v>
      </c>
      <c r="AI58" s="2">
        <v>125.571850205723</v>
      </c>
      <c r="AJ58" s="2">
        <v>23.222153481578601</v>
      </c>
    </row>
    <row r="59" spans="1:36" ht="15.75" hidden="1" customHeight="1" x14ac:dyDescent="0.45">
      <c r="A59" s="2" t="s">
        <v>88</v>
      </c>
      <c r="B59" s="2" t="s">
        <v>89</v>
      </c>
      <c r="C59" s="2">
        <v>0.01</v>
      </c>
      <c r="D59" s="2" t="s">
        <v>83</v>
      </c>
      <c r="E59" s="2" t="s">
        <v>84</v>
      </c>
      <c r="H59" s="2">
        <v>6.4</v>
      </c>
      <c r="I59" s="2">
        <v>2.6982053953760099</v>
      </c>
      <c r="J59" s="2">
        <v>1.89123742656112</v>
      </c>
      <c r="K59" s="2">
        <v>258.46759259259198</v>
      </c>
      <c r="L59" s="2">
        <v>24.461800709065699</v>
      </c>
      <c r="M59" s="2">
        <v>16.669190189833301</v>
      </c>
      <c r="N59" s="2">
        <v>0.25731746219943502</v>
      </c>
      <c r="O59" s="2">
        <v>29.843078115782401</v>
      </c>
      <c r="P59" s="2">
        <v>3.5802036563061699</v>
      </c>
      <c r="Q59" s="2">
        <v>2.6686780269083701</v>
      </c>
      <c r="R59" s="2">
        <v>0.56487441661837401</v>
      </c>
      <c r="S59" s="2">
        <v>0.42489570604092503</v>
      </c>
      <c r="T59" s="2">
        <v>0.14031740003371901</v>
      </c>
      <c r="U59" s="2">
        <v>5.1626756675069396</v>
      </c>
      <c r="V59" s="2">
        <v>0.86185526116489297</v>
      </c>
      <c r="W59" s="7">
        <v>100.901065122407</v>
      </c>
      <c r="X59" s="2">
        <v>1.1188357053445701</v>
      </c>
      <c r="Y59" s="7">
        <v>127.776259389777</v>
      </c>
      <c r="Z59" s="2">
        <v>61.558874462071202</v>
      </c>
      <c r="AA59" s="2">
        <v>94.149995974659106</v>
      </c>
      <c r="AB59" s="2">
        <v>21.918079147439698</v>
      </c>
      <c r="AC59" s="2">
        <v>92.246435685620497</v>
      </c>
      <c r="AD59" s="2">
        <v>3.2052457332891899</v>
      </c>
      <c r="AE59" s="2">
        <v>92.208160510437594</v>
      </c>
      <c r="AF59" s="2">
        <v>4.7933419472244001</v>
      </c>
      <c r="AG59" s="2">
        <v>91.458315431182299</v>
      </c>
      <c r="AH59" s="2">
        <v>19.560039572558299</v>
      </c>
      <c r="AI59" s="2">
        <v>119.62415123719801</v>
      </c>
      <c r="AJ59" s="2">
        <v>15.7420458286889</v>
      </c>
    </row>
    <row r="60" spans="1:36" ht="15.75" hidden="1" customHeight="1" x14ac:dyDescent="0.45">
      <c r="A60" s="2" t="s">
        <v>88</v>
      </c>
      <c r="B60" s="2" t="s">
        <v>89</v>
      </c>
      <c r="C60" s="2">
        <v>0.03</v>
      </c>
      <c r="D60" s="2" t="s">
        <v>83</v>
      </c>
      <c r="E60" s="2" t="s">
        <v>84</v>
      </c>
      <c r="H60" s="2">
        <v>6.4</v>
      </c>
      <c r="I60" s="2">
        <v>2.13464036546547</v>
      </c>
      <c r="J60" s="2">
        <v>0.32805184703476198</v>
      </c>
      <c r="K60" s="2">
        <v>150.994047619047</v>
      </c>
      <c r="L60" s="2">
        <v>120.380127538944</v>
      </c>
      <c r="M60" s="2">
        <v>16.708612859253499</v>
      </c>
      <c r="N60" s="2">
        <v>5.16289599318399</v>
      </c>
      <c r="O60" s="2">
        <v>21.343758075065399</v>
      </c>
      <c r="P60" s="2">
        <v>18.4921544272472</v>
      </c>
      <c r="Q60" s="2">
        <v>6.8912459742476697</v>
      </c>
      <c r="R60" s="2">
        <v>8.4565710604614797</v>
      </c>
      <c r="S60" s="2">
        <v>0.48366104592035702</v>
      </c>
      <c r="T60" s="2">
        <v>0.423640605967258</v>
      </c>
      <c r="U60" s="2">
        <v>6.4978665660494004</v>
      </c>
      <c r="V60" s="2">
        <v>4.04718669212469</v>
      </c>
      <c r="W60" s="7">
        <v>61.703432940178502</v>
      </c>
      <c r="X60" s="2">
        <v>49.814329900358103</v>
      </c>
      <c r="Y60" s="7">
        <v>113.054289001596</v>
      </c>
      <c r="Z60" s="2">
        <v>24.7852009407647</v>
      </c>
      <c r="AA60" s="2">
        <v>245.549445942625</v>
      </c>
      <c r="AB60" s="2">
        <v>304.46867471918603</v>
      </c>
      <c r="AC60" s="2">
        <v>91.750854278601494</v>
      </c>
      <c r="AD60" s="2">
        <v>25.638924958445902</v>
      </c>
      <c r="AE60" s="2">
        <v>69.066196753632198</v>
      </c>
      <c r="AF60" s="2">
        <v>59.860635282016602</v>
      </c>
      <c r="AG60" s="2">
        <v>85.336907838214202</v>
      </c>
      <c r="AH60" s="2">
        <v>74.010757729893996</v>
      </c>
      <c r="AI60" s="2">
        <v>157.35693569839199</v>
      </c>
      <c r="AJ60" s="2">
        <v>112.094176696085</v>
      </c>
    </row>
    <row r="61" spans="1:36" ht="15.75" hidden="1" customHeight="1" x14ac:dyDescent="0.45">
      <c r="A61" s="2" t="s">
        <v>88</v>
      </c>
      <c r="B61" s="2" t="s">
        <v>89</v>
      </c>
      <c r="C61" s="2">
        <v>0.1</v>
      </c>
      <c r="D61" s="2" t="s">
        <v>83</v>
      </c>
      <c r="E61" s="2" t="s">
        <v>84</v>
      </c>
      <c r="H61" s="2">
        <v>6.4</v>
      </c>
      <c r="I61" s="2">
        <v>2.0559805135735401</v>
      </c>
      <c r="J61" s="2">
        <v>0.72267688144914899</v>
      </c>
      <c r="K61" s="2">
        <v>255.28571428571399</v>
      </c>
      <c r="L61" s="2">
        <v>52.555402146540203</v>
      </c>
      <c r="M61" s="2">
        <v>17.952761256015801</v>
      </c>
      <c r="N61" s="2">
        <v>2.8101103115377399</v>
      </c>
      <c r="O61" s="2">
        <v>31.3220821076455</v>
      </c>
      <c r="P61" s="2">
        <v>3.19839159838022</v>
      </c>
      <c r="Q61" s="2">
        <v>2.7289262490660802</v>
      </c>
      <c r="R61" s="2">
        <v>0.470148734803708</v>
      </c>
      <c r="S61" s="2">
        <v>0.52125178927216897</v>
      </c>
      <c r="T61" s="2">
        <v>0.304515060574301</v>
      </c>
      <c r="U61" s="2">
        <v>4.4712793655894103</v>
      </c>
      <c r="V61" s="2">
        <v>0.12449522854761701</v>
      </c>
      <c r="W61" s="7">
        <v>99.5637622721421</v>
      </c>
      <c r="X61" s="2">
        <v>18.522193338736201</v>
      </c>
      <c r="Y61" s="7">
        <v>102.90912141435</v>
      </c>
      <c r="Z61" s="2">
        <v>4.0910746038177299</v>
      </c>
      <c r="AA61" s="2">
        <v>95.923305643545007</v>
      </c>
      <c r="AB61" s="2">
        <v>16.821607204904399</v>
      </c>
      <c r="AC61" s="2">
        <v>99.308252483059306</v>
      </c>
      <c r="AD61" s="2">
        <v>15.1854122759257</v>
      </c>
      <c r="AE61" s="2">
        <v>96.847620152209899</v>
      </c>
      <c r="AF61" s="2">
        <v>2.7802259547972499</v>
      </c>
      <c r="AG61" s="2">
        <v>120.207938808344</v>
      </c>
      <c r="AH61" s="2">
        <v>67.573586812806994</v>
      </c>
      <c r="AI61" s="2">
        <v>104.45894221165599</v>
      </c>
      <c r="AJ61" s="2">
        <v>12.516326649735101</v>
      </c>
    </row>
    <row r="62" spans="1:36" ht="15.75" hidden="1" customHeight="1" x14ac:dyDescent="0.45">
      <c r="A62" s="2" t="s">
        <v>88</v>
      </c>
      <c r="B62" s="2" t="s">
        <v>89</v>
      </c>
      <c r="C62" s="2">
        <v>0.3</v>
      </c>
      <c r="D62" s="2" t="s">
        <v>83</v>
      </c>
      <c r="E62" s="2" t="s">
        <v>84</v>
      </c>
      <c r="H62" s="2">
        <v>6.4</v>
      </c>
      <c r="I62" s="2">
        <v>2.2782466039195302</v>
      </c>
      <c r="J62" s="2">
        <v>0.55338051268387101</v>
      </c>
      <c r="K62" s="2">
        <v>244.09259259259201</v>
      </c>
      <c r="L62" s="2">
        <v>23.096171275170299</v>
      </c>
      <c r="M62" s="2">
        <v>17.470503666497599</v>
      </c>
      <c r="N62" s="2">
        <v>1.4915074489534099</v>
      </c>
      <c r="O62" s="2">
        <v>30.264876225597199</v>
      </c>
      <c r="P62" s="2">
        <v>1.74245607988022</v>
      </c>
      <c r="Q62" s="2">
        <v>2.69696640599537</v>
      </c>
      <c r="R62" s="2">
        <v>0.39614961250940101</v>
      </c>
      <c r="S62" s="2">
        <v>0.443999100948194</v>
      </c>
      <c r="T62" s="2">
        <v>0.17204650989585499</v>
      </c>
      <c r="U62" s="2">
        <v>5.0234613555367504</v>
      </c>
      <c r="V62" s="2">
        <v>0.61418581331955802</v>
      </c>
      <c r="W62" s="7">
        <v>95.426940500659796</v>
      </c>
      <c r="X62" s="2">
        <v>6.4438356011812497</v>
      </c>
      <c r="Y62" s="7">
        <v>117.727320824161</v>
      </c>
      <c r="Z62" s="2">
        <v>13.4481673066176</v>
      </c>
      <c r="AA62" s="2">
        <v>94.600736399887694</v>
      </c>
      <c r="AB62" s="2">
        <v>11.8483344977044</v>
      </c>
      <c r="AC62" s="2">
        <v>96.745905032631498</v>
      </c>
      <c r="AD62" s="2">
        <v>9.6383977043212195</v>
      </c>
      <c r="AE62" s="2">
        <v>94.098475561250794</v>
      </c>
      <c r="AF62" s="2">
        <v>9.7755963867876705</v>
      </c>
      <c r="AG62" s="2">
        <v>92.353084047445705</v>
      </c>
      <c r="AH62" s="2">
        <v>7.7243538174688302</v>
      </c>
      <c r="AI62" s="2">
        <v>116.942984276942</v>
      </c>
      <c r="AJ62" s="2">
        <v>15.253727789689</v>
      </c>
    </row>
    <row r="63" spans="1:36" ht="15.75" hidden="1" customHeight="1" x14ac:dyDescent="0.45">
      <c r="A63" s="2" t="s">
        <v>88</v>
      </c>
      <c r="B63" s="2" t="s">
        <v>89</v>
      </c>
      <c r="C63" s="2">
        <v>10</v>
      </c>
      <c r="D63" s="2" t="s">
        <v>83</v>
      </c>
      <c r="E63" s="2" t="s">
        <v>84</v>
      </c>
      <c r="H63" s="2">
        <v>6.4</v>
      </c>
      <c r="I63" s="2">
        <v>3.1374003010092499</v>
      </c>
      <c r="J63" s="2">
        <v>1.59972942234586</v>
      </c>
      <c r="K63" s="2">
        <v>94.037037037036995</v>
      </c>
      <c r="L63" s="2">
        <v>10.7550351879019</v>
      </c>
      <c r="M63" s="2">
        <v>24.4709312588888</v>
      </c>
      <c r="N63" s="2">
        <v>1.4659070527245699</v>
      </c>
      <c r="O63" s="2">
        <v>9.9813852307185105</v>
      </c>
      <c r="P63" s="2">
        <v>5.2129008103100203</v>
      </c>
      <c r="Q63" s="2">
        <v>5.3410280142</v>
      </c>
      <c r="R63" s="2">
        <v>0.96331550544181699</v>
      </c>
      <c r="S63" s="2">
        <v>0.61511211826814804</v>
      </c>
      <c r="T63" s="2">
        <v>0.29889880059296697</v>
      </c>
      <c r="U63" s="2">
        <v>8.9917089763740705</v>
      </c>
      <c r="V63" s="2">
        <v>0.45251140312939198</v>
      </c>
      <c r="W63" s="7">
        <v>36.772165807470998</v>
      </c>
      <c r="X63" s="2">
        <v>3.7365038504843899</v>
      </c>
      <c r="Y63" s="7">
        <v>165.688518903491</v>
      </c>
      <c r="Z63" s="2">
        <v>73.809552613989993</v>
      </c>
      <c r="AA63" s="2">
        <v>187.39764972073101</v>
      </c>
      <c r="AB63" s="2">
        <v>31.4446933100979</v>
      </c>
      <c r="AC63" s="2">
        <v>135.575261475991</v>
      </c>
      <c r="AD63" s="2">
        <v>12.046572654742601</v>
      </c>
      <c r="AE63" s="2">
        <v>30.239460625608199</v>
      </c>
      <c r="AF63" s="2">
        <v>13.306441736712699</v>
      </c>
      <c r="AG63" s="2">
        <v>124.01555062064099</v>
      </c>
      <c r="AH63" s="2">
        <v>25.3904444220058</v>
      </c>
      <c r="AI63" s="2">
        <v>209.261904158943</v>
      </c>
      <c r="AJ63" s="2">
        <v>13.592243103870899</v>
      </c>
    </row>
    <row r="64" spans="1:36" ht="15.75" hidden="1" customHeight="1" x14ac:dyDescent="0.45">
      <c r="A64" s="2" t="s">
        <v>88</v>
      </c>
      <c r="B64" s="2" t="s">
        <v>89</v>
      </c>
      <c r="C64" s="2">
        <v>1</v>
      </c>
      <c r="D64" s="2" t="s">
        <v>83</v>
      </c>
      <c r="E64" s="2" t="s">
        <v>84</v>
      </c>
      <c r="H64" s="2">
        <v>6.4</v>
      </c>
      <c r="I64" s="2">
        <v>5.0868504250840703</v>
      </c>
      <c r="J64" s="2">
        <v>5.39559586626119</v>
      </c>
      <c r="K64" s="2">
        <v>254.18518518518499</v>
      </c>
      <c r="L64" s="2">
        <v>20.2211029401271</v>
      </c>
      <c r="M64" s="2">
        <v>18.714424959814799</v>
      </c>
      <c r="N64" s="2">
        <v>0.38197486083750598</v>
      </c>
      <c r="O64" s="2">
        <v>30.098517834555501</v>
      </c>
      <c r="P64" s="2">
        <v>2.3448430009917498</v>
      </c>
      <c r="Q64" s="2">
        <v>2.84016796262333</v>
      </c>
      <c r="R64" s="2">
        <v>1.4619027931820801</v>
      </c>
      <c r="S64" s="2">
        <v>0.28098100178999902</v>
      </c>
      <c r="T64" s="2">
        <v>3.3707986957980197E-2</v>
      </c>
      <c r="U64" s="2">
        <v>4.7904547920148097</v>
      </c>
      <c r="V64" s="2">
        <v>0.28150294558820299</v>
      </c>
      <c r="W64" s="7">
        <v>99.314579680335001</v>
      </c>
      <c r="X64" s="2">
        <v>1.14889921948697</v>
      </c>
      <c r="Y64" s="7">
        <v>229.57632684272099</v>
      </c>
      <c r="Z64" s="2">
        <v>206.297165110317</v>
      </c>
      <c r="AA64" s="2">
        <v>98.948128024689396</v>
      </c>
      <c r="AB64" s="2">
        <v>48.330061191693602</v>
      </c>
      <c r="AC64" s="2">
        <v>103.555103430164</v>
      </c>
      <c r="AD64" s="2">
        <v>3.43806816376964</v>
      </c>
      <c r="AE64" s="2">
        <v>93.179263961465097</v>
      </c>
      <c r="AF64" s="2">
        <v>1.95995023621709</v>
      </c>
      <c r="AG64" s="2">
        <v>63.5904337285926</v>
      </c>
      <c r="AH64" s="2">
        <v>19.020505432187399</v>
      </c>
      <c r="AI64" s="2">
        <v>111.353062716373</v>
      </c>
      <c r="AJ64" s="2">
        <v>4.3996523864544104</v>
      </c>
    </row>
    <row r="65" spans="1:36" ht="15.75" hidden="1" customHeight="1" x14ac:dyDescent="0.45">
      <c r="A65" s="2" t="s">
        <v>88</v>
      </c>
      <c r="B65" s="2" t="s">
        <v>89</v>
      </c>
      <c r="C65" s="2">
        <v>3</v>
      </c>
      <c r="D65" s="2" t="s">
        <v>83</v>
      </c>
      <c r="E65" s="2" t="s">
        <v>84</v>
      </c>
      <c r="H65" s="2">
        <v>6.4</v>
      </c>
      <c r="I65" s="2">
        <v>2.48664186107592</v>
      </c>
      <c r="J65" s="2">
        <v>0.31713585918732401</v>
      </c>
      <c r="K65" s="2">
        <v>191.444444444444</v>
      </c>
      <c r="L65" s="2">
        <v>28.369475858637799</v>
      </c>
      <c r="M65" s="2">
        <v>18.4357633169259</v>
      </c>
      <c r="N65" s="2">
        <v>1.4499600050404999</v>
      </c>
      <c r="O65" s="2">
        <v>25.766699187036998</v>
      </c>
      <c r="P65" s="2">
        <v>3.9253658035485302</v>
      </c>
      <c r="Q65" s="2">
        <v>3.0802749592985101</v>
      </c>
      <c r="R65" s="2">
        <v>1.1594320336488599</v>
      </c>
      <c r="S65" s="2">
        <v>0.41890992040777703</v>
      </c>
      <c r="T65" s="2">
        <v>0.167333571309431</v>
      </c>
      <c r="U65" s="2">
        <v>5.7903952381444403</v>
      </c>
      <c r="V65" s="2">
        <v>0.28158537065789802</v>
      </c>
      <c r="W65" s="7">
        <v>75.663012092933101</v>
      </c>
      <c r="X65" s="2">
        <v>17.001835360488499</v>
      </c>
      <c r="Y65" s="7">
        <v>135.97688739787199</v>
      </c>
      <c r="Z65" s="2">
        <v>50.954071307084099</v>
      </c>
      <c r="AA65" s="2">
        <v>108.312994199709</v>
      </c>
      <c r="AB65" s="2">
        <v>41.552473074459698</v>
      </c>
      <c r="AC65" s="2">
        <v>101.8399161957</v>
      </c>
      <c r="AD65" s="2">
        <v>4.39423549355873</v>
      </c>
      <c r="AE65" s="2">
        <v>80.638361450149802</v>
      </c>
      <c r="AF65" s="2">
        <v>17.4748674621041</v>
      </c>
      <c r="AG65" s="2">
        <v>86.834014700746295</v>
      </c>
      <c r="AH65" s="2">
        <v>6.3094589703379498</v>
      </c>
      <c r="AI65" s="2">
        <v>135.02298224848099</v>
      </c>
      <c r="AJ65" s="2">
        <v>13.6582983848878</v>
      </c>
    </row>
    <row r="66" spans="1:36" ht="15.75" customHeight="1" x14ac:dyDescent="0.45">
      <c r="A66" s="2" t="s">
        <v>88</v>
      </c>
      <c r="B66" s="2" t="s">
        <v>89</v>
      </c>
      <c r="C66" s="2">
        <v>3.0000000000000001E-3</v>
      </c>
      <c r="D66" s="2" t="s">
        <v>85</v>
      </c>
      <c r="E66" s="2" t="s">
        <v>84</v>
      </c>
      <c r="F66" s="2" t="s">
        <v>86</v>
      </c>
      <c r="G66" s="2">
        <v>3539</v>
      </c>
      <c r="H66" s="2">
        <v>75</v>
      </c>
      <c r="I66" s="2">
        <v>4.4887435502833304</v>
      </c>
      <c r="J66" s="2">
        <v>0.43704725818991402</v>
      </c>
      <c r="K66" s="2">
        <v>167.277777777777</v>
      </c>
      <c r="L66" s="2">
        <v>16.633578265842999</v>
      </c>
      <c r="M66" s="2">
        <v>0.164688182419444</v>
      </c>
      <c r="N66" s="2">
        <v>0.18563819262511999</v>
      </c>
      <c r="O66" s="2">
        <v>0.14308404055444399</v>
      </c>
      <c r="P66" s="2">
        <v>0.16146246254648</v>
      </c>
      <c r="Q66" s="2">
        <v>6.9665499988611099</v>
      </c>
      <c r="R66" s="2">
        <v>1.45884498387158</v>
      </c>
      <c r="S66" s="2">
        <v>0</v>
      </c>
      <c r="T66" s="2">
        <v>0</v>
      </c>
      <c r="U66" s="2">
        <v>0.48263747972944399</v>
      </c>
      <c r="V66" s="2">
        <v>0.11200874836892399</v>
      </c>
      <c r="W66" s="7">
        <v>108.359127886004</v>
      </c>
      <c r="X66" s="2">
        <v>11.5071876593264</v>
      </c>
      <c r="Y66" s="7">
        <v>108.188136435179</v>
      </c>
      <c r="Z66" s="2">
        <v>14.9066044278518</v>
      </c>
      <c r="AA66" s="2">
        <v>89.609260206571406</v>
      </c>
      <c r="AB66" s="2">
        <v>11.200562395136799</v>
      </c>
      <c r="AC66" s="2">
        <v>62.774922032666801</v>
      </c>
      <c r="AD66" s="2">
        <v>78.649545225883799</v>
      </c>
      <c r="AE66" s="2">
        <v>58.668138994447098</v>
      </c>
      <c r="AF66" s="2">
        <v>81.711733206503595</v>
      </c>
      <c r="AG66" s="2">
        <v>0</v>
      </c>
      <c r="AH66" s="2">
        <v>0</v>
      </c>
      <c r="AI66" s="2">
        <v>127.16049695068899</v>
      </c>
      <c r="AJ66" s="2">
        <v>47.286410876575196</v>
      </c>
    </row>
    <row r="67" spans="1:36" ht="15.75" customHeight="1" x14ac:dyDescent="0.45">
      <c r="A67" s="2" t="s">
        <v>88</v>
      </c>
      <c r="B67" s="2" t="s">
        <v>89</v>
      </c>
      <c r="C67" s="2">
        <v>0.01</v>
      </c>
      <c r="D67" s="2" t="s">
        <v>85</v>
      </c>
      <c r="E67" s="2" t="s">
        <v>84</v>
      </c>
      <c r="F67" s="2" t="s">
        <v>86</v>
      </c>
      <c r="G67" s="2">
        <v>3539</v>
      </c>
      <c r="H67" s="2">
        <v>75</v>
      </c>
      <c r="I67" s="2">
        <v>4.5256637274333302</v>
      </c>
      <c r="J67" s="2">
        <v>0.81860020021484703</v>
      </c>
      <c r="K67" s="2">
        <v>159.055555555555</v>
      </c>
      <c r="L67" s="2">
        <v>15.2072107652673</v>
      </c>
      <c r="M67" s="2">
        <v>9.8407606215555499E-2</v>
      </c>
      <c r="N67" s="2">
        <v>8.8333622951038401E-2</v>
      </c>
      <c r="O67" s="2">
        <v>0.16642219901333299</v>
      </c>
      <c r="P67" s="2">
        <v>0.15193867497629901</v>
      </c>
      <c r="Q67" s="2">
        <v>5.2807774239555503</v>
      </c>
      <c r="R67" s="2">
        <v>1.4206355282515299</v>
      </c>
      <c r="S67" s="2">
        <v>2.5720164608888801E-2</v>
      </c>
      <c r="T67" s="2">
        <v>4.4548631881630399E-2</v>
      </c>
      <c r="U67" s="2">
        <v>0.39121420425722198</v>
      </c>
      <c r="V67" s="2">
        <v>0.113140101172633</v>
      </c>
      <c r="W67" s="7">
        <v>102.89594921610001</v>
      </c>
      <c r="X67" s="2">
        <v>8.6126277154569397</v>
      </c>
      <c r="Y67" s="7">
        <v>108.877674206252</v>
      </c>
      <c r="Z67" s="2">
        <v>20.943140678053702</v>
      </c>
      <c r="AA67" s="2">
        <v>72.880602781440103</v>
      </c>
      <c r="AB67" s="2">
        <v>32.916819065868303</v>
      </c>
      <c r="AC67" s="2">
        <v>33.691735823449598</v>
      </c>
      <c r="AD67" s="2">
        <v>29.188747729789299</v>
      </c>
      <c r="AE67" s="2">
        <v>67.5747191717833</v>
      </c>
      <c r="AF67" s="2">
        <v>58.740952364236698</v>
      </c>
      <c r="AG67" s="2">
        <v>0</v>
      </c>
      <c r="AH67" s="2">
        <v>0</v>
      </c>
      <c r="AI67" s="2">
        <v>105.218079760488</v>
      </c>
      <c r="AJ67" s="2">
        <v>47.334401035319701</v>
      </c>
    </row>
    <row r="68" spans="1:36" ht="15.75" customHeight="1" x14ac:dyDescent="0.45">
      <c r="A68" s="2" t="s">
        <v>88</v>
      </c>
      <c r="B68" s="2" t="s">
        <v>89</v>
      </c>
      <c r="C68" s="2">
        <v>0.03</v>
      </c>
      <c r="D68" s="2" t="s">
        <v>85</v>
      </c>
      <c r="E68" s="2" t="s">
        <v>84</v>
      </c>
      <c r="F68" s="2" t="s">
        <v>86</v>
      </c>
      <c r="G68" s="2">
        <v>3539</v>
      </c>
      <c r="H68" s="2">
        <v>75</v>
      </c>
      <c r="I68" s="2">
        <v>5.3766306394444401</v>
      </c>
      <c r="J68" s="2">
        <v>0.79763493734368895</v>
      </c>
      <c r="K68" s="2">
        <v>144.888888888888</v>
      </c>
      <c r="L68" s="2">
        <v>6.4750232374810599</v>
      </c>
      <c r="M68" s="2">
        <v>0.40481031214666602</v>
      </c>
      <c r="N68" s="2">
        <v>0.17703306962009199</v>
      </c>
      <c r="O68" s="2">
        <v>0.29764471324777703</v>
      </c>
      <c r="P68" s="2">
        <v>0.15448746365197699</v>
      </c>
      <c r="Q68" s="2">
        <v>6.4266806828388798</v>
      </c>
      <c r="R68" s="2">
        <v>2.4176594541546499</v>
      </c>
      <c r="S68" s="2">
        <v>0</v>
      </c>
      <c r="T68" s="2">
        <v>0</v>
      </c>
      <c r="U68" s="2">
        <v>0.53243532653833303</v>
      </c>
      <c r="V68" s="2">
        <v>0.265642742274738</v>
      </c>
      <c r="W68" s="7">
        <v>93.962034823783696</v>
      </c>
      <c r="X68" s="2">
        <v>8.0640528244145493</v>
      </c>
      <c r="Y68" s="7">
        <v>129.25081349789301</v>
      </c>
      <c r="Z68" s="2">
        <v>20.652063398353199</v>
      </c>
      <c r="AA68" s="2">
        <v>86.597651277637496</v>
      </c>
      <c r="AB68" s="2">
        <v>43.3866211789096</v>
      </c>
      <c r="AC68" s="2">
        <v>211.916476653399</v>
      </c>
      <c r="AD68" s="2">
        <v>148.40457566276601</v>
      </c>
      <c r="AE68" s="2">
        <v>92.078864114800695</v>
      </c>
      <c r="AF68" s="2">
        <v>13.590015539591599</v>
      </c>
      <c r="AG68" s="2">
        <v>0</v>
      </c>
      <c r="AH68" s="2">
        <v>0</v>
      </c>
      <c r="AI68" s="2">
        <v>149.21924588792601</v>
      </c>
      <c r="AJ68" s="2">
        <v>91.247443764060506</v>
      </c>
    </row>
    <row r="69" spans="1:36" ht="15.75" customHeight="1" x14ac:dyDescent="0.45">
      <c r="A69" s="2" t="s">
        <v>88</v>
      </c>
      <c r="B69" s="2" t="s">
        <v>89</v>
      </c>
      <c r="C69" s="2">
        <v>0.1</v>
      </c>
      <c r="D69" s="2" t="s">
        <v>85</v>
      </c>
      <c r="E69" s="2" t="s">
        <v>84</v>
      </c>
      <c r="F69" s="2" t="s">
        <v>86</v>
      </c>
      <c r="G69" s="2">
        <v>3539</v>
      </c>
      <c r="H69" s="2">
        <v>75</v>
      </c>
      <c r="I69" s="2">
        <v>5.0452465963944402</v>
      </c>
      <c r="J69" s="2">
        <v>1.2271815703518001</v>
      </c>
      <c r="K69" s="2">
        <v>133.111111111111</v>
      </c>
      <c r="L69" s="2">
        <v>14.6981984282782</v>
      </c>
      <c r="M69" s="2">
        <v>0.37387249381444398</v>
      </c>
      <c r="N69" s="2">
        <v>0.23884169502459299</v>
      </c>
      <c r="O69" s="2">
        <v>0.25443979681222201</v>
      </c>
      <c r="P69" s="2">
        <v>0.221647570245502</v>
      </c>
      <c r="Q69" s="2">
        <v>5.4181786013555504</v>
      </c>
      <c r="R69" s="2">
        <v>1.3751362972663099</v>
      </c>
      <c r="S69" s="2">
        <v>0</v>
      </c>
      <c r="T69" s="2">
        <v>0</v>
      </c>
      <c r="U69" s="2">
        <v>0.27793820446944401</v>
      </c>
      <c r="V69" s="2">
        <v>0.16678777233304301</v>
      </c>
      <c r="W69" s="7">
        <v>85.953369229445897</v>
      </c>
      <c r="X69" s="2">
        <v>5.74831010406354</v>
      </c>
      <c r="Y69" s="7">
        <v>119.895899543979</v>
      </c>
      <c r="Z69" s="2">
        <v>19.1299785422407</v>
      </c>
      <c r="AA69" s="2">
        <v>69.059726503523507</v>
      </c>
      <c r="AB69" s="2">
        <v>5.9292482408358502</v>
      </c>
      <c r="AC69" s="2">
        <v>146.30314245555999</v>
      </c>
      <c r="AD69" s="2">
        <v>75.026462302238002</v>
      </c>
      <c r="AE69" s="2">
        <v>107.221286769537</v>
      </c>
      <c r="AF69" s="2">
        <v>98.528585072923505</v>
      </c>
      <c r="AG69" s="2">
        <v>0</v>
      </c>
      <c r="AH69" s="2">
        <v>0</v>
      </c>
      <c r="AI69" s="2">
        <v>71.693930753267097</v>
      </c>
      <c r="AJ69" s="2">
        <v>49.862063843595003</v>
      </c>
    </row>
    <row r="70" spans="1:36" ht="15.75" customHeight="1" x14ac:dyDescent="0.45">
      <c r="A70" s="2" t="s">
        <v>88</v>
      </c>
      <c r="B70" s="2" t="s">
        <v>89</v>
      </c>
      <c r="C70" s="2">
        <v>0.3</v>
      </c>
      <c r="D70" s="2" t="s">
        <v>85</v>
      </c>
      <c r="E70" s="2" t="s">
        <v>84</v>
      </c>
      <c r="F70" s="2" t="s">
        <v>86</v>
      </c>
      <c r="G70" s="2">
        <v>3539</v>
      </c>
      <c r="H70" s="2">
        <v>75</v>
      </c>
      <c r="I70" s="2">
        <v>5.12617211548889</v>
      </c>
      <c r="J70" s="2">
        <v>1.3703607268933899</v>
      </c>
      <c r="K70" s="2">
        <v>111.944444444444</v>
      </c>
      <c r="L70" s="2">
        <v>23.556865791652399</v>
      </c>
      <c r="M70" s="2">
        <v>0.18451045564166599</v>
      </c>
      <c r="N70" s="2">
        <v>0.19117113687295001</v>
      </c>
      <c r="O70" s="2">
        <v>15.3209057085633</v>
      </c>
      <c r="P70" s="2">
        <v>25.941552919441499</v>
      </c>
      <c r="Q70" s="2">
        <v>5.5554400732444398</v>
      </c>
      <c r="R70" s="2">
        <v>3.44979767415278</v>
      </c>
      <c r="S70" s="2">
        <v>0</v>
      </c>
      <c r="T70" s="2">
        <v>0</v>
      </c>
      <c r="U70" s="2">
        <v>0.50467723398777697</v>
      </c>
      <c r="V70" s="2">
        <v>0.219513699554262</v>
      </c>
      <c r="W70" s="7">
        <v>72.784339589222299</v>
      </c>
      <c r="X70" s="2">
        <v>17.6627155870633</v>
      </c>
      <c r="Y70" s="7">
        <v>122.01632996220199</v>
      </c>
      <c r="Z70" s="2">
        <v>27.7214833281691</v>
      </c>
      <c r="AA70" s="2">
        <v>76.130352789739504</v>
      </c>
      <c r="AB70" s="2">
        <v>56.041641579378897</v>
      </c>
      <c r="AC70" s="2">
        <v>111.779434801458</v>
      </c>
      <c r="AD70" s="2">
        <v>152.35105651853999</v>
      </c>
      <c r="AE70" s="2">
        <v>3364.6312050361898</v>
      </c>
      <c r="AF70" s="2">
        <v>5558.87739204426</v>
      </c>
      <c r="AG70" s="2">
        <v>0</v>
      </c>
      <c r="AH70" s="2">
        <v>0</v>
      </c>
      <c r="AI70" s="2">
        <v>137.006907382799</v>
      </c>
      <c r="AJ70" s="2">
        <v>78.332598813662997</v>
      </c>
    </row>
    <row r="71" spans="1:36" ht="15.75" customHeight="1" x14ac:dyDescent="0.45">
      <c r="A71" s="2" t="s">
        <v>88</v>
      </c>
      <c r="B71" s="2" t="s">
        <v>89</v>
      </c>
      <c r="C71" s="2">
        <v>1</v>
      </c>
      <c r="D71" s="2" t="s">
        <v>85</v>
      </c>
      <c r="E71" s="2" t="s">
        <v>84</v>
      </c>
      <c r="F71" s="2" t="s">
        <v>86</v>
      </c>
      <c r="G71" s="2">
        <v>3539</v>
      </c>
      <c r="H71" s="2">
        <v>75</v>
      </c>
      <c r="I71" s="2">
        <v>6.8232586364944403</v>
      </c>
      <c r="J71" s="2">
        <v>0.83591319991800905</v>
      </c>
      <c r="K71" s="2">
        <v>113.222222222222</v>
      </c>
      <c r="L71" s="2">
        <v>20.843553048933401</v>
      </c>
      <c r="M71" s="2">
        <v>0.476868711021111</v>
      </c>
      <c r="N71" s="2">
        <v>0.17714575084088999</v>
      </c>
      <c r="O71" s="2">
        <v>0.23283808620166599</v>
      </c>
      <c r="P71" s="2">
        <v>3.6937190906221003E-2</v>
      </c>
      <c r="Q71" s="2">
        <v>13.9217854969166</v>
      </c>
      <c r="R71" s="2">
        <v>12.841835653901001</v>
      </c>
      <c r="S71" s="2">
        <v>6.85871056222222E-2</v>
      </c>
      <c r="T71" s="2">
        <v>0.118796351681781</v>
      </c>
      <c r="U71" s="2">
        <v>0.21517999807333299</v>
      </c>
      <c r="V71" s="2">
        <v>9.4982835111907193E-2</v>
      </c>
      <c r="W71" s="7">
        <v>73.238394484254002</v>
      </c>
      <c r="X71" s="2">
        <v>12.7580077595501</v>
      </c>
      <c r="Y71" s="7">
        <v>163.29071131779199</v>
      </c>
      <c r="Z71" s="2">
        <v>9.9907896423453995</v>
      </c>
      <c r="AA71" s="2">
        <v>200.07320597736401</v>
      </c>
      <c r="AB71" s="2">
        <v>196.94900210609799</v>
      </c>
      <c r="AC71" s="2">
        <v>209.17258781150699</v>
      </c>
      <c r="AD71" s="2">
        <v>53.667389830488602</v>
      </c>
      <c r="AE71" s="2">
        <v>84.726245952697795</v>
      </c>
      <c r="AF71" s="2">
        <v>43.751817588017197</v>
      </c>
      <c r="AG71" s="2">
        <v>2577.7777777197698</v>
      </c>
      <c r="AH71" s="2">
        <v>0</v>
      </c>
      <c r="AI71" s="2">
        <v>56.590341663711499</v>
      </c>
      <c r="AJ71" s="2">
        <v>31.441645308323899</v>
      </c>
    </row>
    <row r="72" spans="1:36" ht="15.75" customHeight="1" x14ac:dyDescent="0.45">
      <c r="A72" s="2" t="s">
        <v>88</v>
      </c>
      <c r="B72" s="2" t="s">
        <v>89</v>
      </c>
      <c r="C72" s="2">
        <v>3</v>
      </c>
      <c r="D72" s="2" t="s">
        <v>85</v>
      </c>
      <c r="E72" s="2" t="s">
        <v>84</v>
      </c>
      <c r="F72" s="2" t="s">
        <v>86</v>
      </c>
      <c r="G72" s="2">
        <v>3539</v>
      </c>
      <c r="H72" s="2">
        <v>75</v>
      </c>
      <c r="I72" s="2">
        <v>5.3452238190111103</v>
      </c>
      <c r="J72" s="2">
        <v>1.1053024826564299</v>
      </c>
      <c r="K72" s="2">
        <v>121.611111111111</v>
      </c>
      <c r="L72" s="2">
        <v>10.7823587057403</v>
      </c>
      <c r="M72" s="2">
        <v>0.35288497274888803</v>
      </c>
      <c r="N72" s="2">
        <v>0.29285471000204899</v>
      </c>
      <c r="O72" s="2">
        <v>0.18652605993611099</v>
      </c>
      <c r="P72" s="2">
        <v>0.12849497122820799</v>
      </c>
      <c r="Q72" s="2">
        <v>11.7496569507344</v>
      </c>
      <c r="R72" s="2">
        <v>13.517052379742401</v>
      </c>
      <c r="S72" s="2">
        <v>0</v>
      </c>
      <c r="T72" s="2">
        <v>0</v>
      </c>
      <c r="U72" s="2">
        <v>0.48335498197111099</v>
      </c>
      <c r="V72" s="2">
        <v>0.33080693132539501</v>
      </c>
      <c r="W72" s="7">
        <v>78.610288783854799</v>
      </c>
      <c r="X72" s="2">
        <v>4.6838115103193996</v>
      </c>
      <c r="Y72" s="7">
        <v>128.28009161902901</v>
      </c>
      <c r="Z72" s="2">
        <v>25.8265669052501</v>
      </c>
      <c r="AA72" s="2">
        <v>169.123732610254</v>
      </c>
      <c r="AB72" s="2">
        <v>203.34139008575599</v>
      </c>
      <c r="AC72" s="2">
        <v>167.75508046718599</v>
      </c>
      <c r="AD72" s="2">
        <v>123.1444295229</v>
      </c>
      <c r="AE72" s="2">
        <v>56.596991829740602</v>
      </c>
      <c r="AF72" s="2">
        <v>21.735211641467099</v>
      </c>
      <c r="AG72" s="2">
        <v>0</v>
      </c>
      <c r="AH72" s="2">
        <v>0</v>
      </c>
      <c r="AI72" s="2">
        <v>113.451416859823</v>
      </c>
      <c r="AJ72" s="2">
        <v>47.757690254040597</v>
      </c>
    </row>
    <row r="73" spans="1:36" ht="15.75" customHeight="1" x14ac:dyDescent="0.45">
      <c r="A73" s="2" t="s">
        <v>88</v>
      </c>
      <c r="B73" s="2" t="s">
        <v>89</v>
      </c>
      <c r="C73" s="2">
        <v>10</v>
      </c>
      <c r="D73" s="2" t="s">
        <v>85</v>
      </c>
      <c r="E73" s="2" t="s">
        <v>84</v>
      </c>
      <c r="F73" s="2" t="s">
        <v>86</v>
      </c>
      <c r="G73" s="2">
        <v>3539</v>
      </c>
      <c r="H73" s="2">
        <v>75</v>
      </c>
      <c r="I73" s="2">
        <v>4.9642195175166597</v>
      </c>
      <c r="J73" s="2">
        <v>0.25522351627621298</v>
      </c>
      <c r="K73" s="2">
        <v>105.777777777777</v>
      </c>
      <c r="L73" s="2">
        <v>2.7905263010824402</v>
      </c>
      <c r="M73" s="2">
        <v>0.18226330022333301</v>
      </c>
      <c r="N73" s="2">
        <v>0.19147015719321001</v>
      </c>
      <c r="O73" s="2">
        <v>0.18305187387388799</v>
      </c>
      <c r="P73" s="2">
        <v>0.18400539960910101</v>
      </c>
      <c r="Q73" s="2">
        <v>9.5790992072911099</v>
      </c>
      <c r="R73" s="2">
        <v>5.8285706589555897</v>
      </c>
      <c r="S73" s="2">
        <v>0</v>
      </c>
      <c r="T73" s="2">
        <v>0</v>
      </c>
      <c r="U73" s="2">
        <v>0.480965011037777</v>
      </c>
      <c r="V73" s="2">
        <v>0.1987877670556</v>
      </c>
      <c r="W73" s="7">
        <v>68.518081750236206</v>
      </c>
      <c r="X73" s="2">
        <v>3.2975309858876698</v>
      </c>
      <c r="Y73" s="7">
        <v>119.212908149904</v>
      </c>
      <c r="Z73" s="2">
        <v>5.88309363998831</v>
      </c>
      <c r="AA73" s="2">
        <v>137.945822479051</v>
      </c>
      <c r="AB73" s="2">
        <v>97.393998648531806</v>
      </c>
      <c r="AC73" s="2">
        <v>78.165709871673897</v>
      </c>
      <c r="AD73" s="2">
        <v>67.967263338951994</v>
      </c>
      <c r="AE73" s="2">
        <v>72.702695604764202</v>
      </c>
      <c r="AF73" s="2">
        <v>66.8626098765031</v>
      </c>
      <c r="AG73" s="2">
        <v>0</v>
      </c>
      <c r="AH73" s="2">
        <v>0</v>
      </c>
      <c r="AI73" s="2">
        <v>128.974018543059</v>
      </c>
      <c r="AJ73" s="2">
        <v>71.352942657421593</v>
      </c>
    </row>
    <row r="74" spans="1:36" ht="15.75" customHeight="1" x14ac:dyDescent="0.45">
      <c r="A74" s="2" t="s">
        <v>88</v>
      </c>
      <c r="B74" s="2" t="s">
        <v>89</v>
      </c>
      <c r="C74" s="2">
        <v>3.0000000000000001E-3</v>
      </c>
      <c r="D74" s="2" t="s">
        <v>85</v>
      </c>
      <c r="E74" s="2" t="s">
        <v>84</v>
      </c>
      <c r="F74" s="2" t="s">
        <v>86</v>
      </c>
      <c r="G74" s="2">
        <v>10867</v>
      </c>
      <c r="H74" s="2" t="s">
        <v>87</v>
      </c>
      <c r="I74" s="2">
        <v>4.7797683199999899E-2</v>
      </c>
      <c r="J74" s="2">
        <v>4.14043443361886E-2</v>
      </c>
      <c r="K74" s="2">
        <v>144.85185185185099</v>
      </c>
      <c r="L74" s="2">
        <v>4.7327768756547099</v>
      </c>
      <c r="M74" s="2">
        <v>0.172201832095185</v>
      </c>
      <c r="N74" s="2">
        <v>0.29826232234530498</v>
      </c>
      <c r="O74" s="2">
        <v>0.727875340168888</v>
      </c>
      <c r="P74" s="2">
        <v>0.63133802880951995</v>
      </c>
      <c r="Q74" s="2">
        <v>0.96178834011555503</v>
      </c>
      <c r="R74" s="2">
        <v>1.0741650002506999</v>
      </c>
      <c r="S74" s="2">
        <v>0</v>
      </c>
      <c r="T74" s="2">
        <v>0</v>
      </c>
      <c r="U74" s="2">
        <v>0.147187741517777</v>
      </c>
      <c r="V74" s="2">
        <v>4.6033475048978499E-2</v>
      </c>
      <c r="W74" s="7">
        <v>94.973478361670999</v>
      </c>
      <c r="X74" s="2">
        <v>2.42833000301966</v>
      </c>
      <c r="Y74" s="7">
        <v>17.753563194109301</v>
      </c>
      <c r="Z74" s="2">
        <v>18.498804654886001</v>
      </c>
      <c r="AA74" s="2">
        <v>52.681942531797098</v>
      </c>
      <c r="AB74" s="2">
        <v>67.685543796991794</v>
      </c>
      <c r="AC74" s="2">
        <v>47.696331228775499</v>
      </c>
      <c r="AD74" s="2">
        <v>82.612469022873299</v>
      </c>
      <c r="AE74" s="2">
        <v>75.129247974934799</v>
      </c>
      <c r="AF74" s="2">
        <v>69.008670730184093</v>
      </c>
      <c r="AG74" s="2">
        <v>0</v>
      </c>
      <c r="AH74" s="2">
        <v>0</v>
      </c>
      <c r="AI74" s="2">
        <v>74.744080410593895</v>
      </c>
      <c r="AJ74" s="2">
        <v>44.543554523409597</v>
      </c>
    </row>
    <row r="75" spans="1:36" ht="15.75" customHeight="1" x14ac:dyDescent="0.45">
      <c r="A75" s="2" t="s">
        <v>88</v>
      </c>
      <c r="B75" s="2" t="s">
        <v>89</v>
      </c>
      <c r="C75" s="2">
        <v>0.01</v>
      </c>
      <c r="D75" s="2" t="s">
        <v>85</v>
      </c>
      <c r="E75" s="2" t="s">
        <v>84</v>
      </c>
      <c r="F75" s="2" t="s">
        <v>86</v>
      </c>
      <c r="G75" s="2">
        <v>10867</v>
      </c>
      <c r="H75" s="2" t="s">
        <v>87</v>
      </c>
      <c r="I75" s="2">
        <v>4.4934640522916597E-2</v>
      </c>
      <c r="J75" s="2">
        <v>7.7829080405535003E-2</v>
      </c>
      <c r="K75" s="2">
        <v>152.25925925925901</v>
      </c>
      <c r="L75" s="2">
        <v>1.6266808337781999</v>
      </c>
      <c r="M75" s="2">
        <v>0.26769376116666599</v>
      </c>
      <c r="N75" s="2">
        <v>4.8375576691022902E-2</v>
      </c>
      <c r="O75" s="2">
        <v>1.5343974497011099</v>
      </c>
      <c r="P75" s="2">
        <v>0.47422891153134</v>
      </c>
      <c r="Q75" s="2">
        <v>5.8383746650413801</v>
      </c>
      <c r="R75" s="2">
        <v>6.85812128036617</v>
      </c>
      <c r="S75" s="2">
        <v>5.4308487908611099E-2</v>
      </c>
      <c r="T75" s="2">
        <v>4.8038224314021202E-2</v>
      </c>
      <c r="U75" s="2">
        <v>0.33362160300518501</v>
      </c>
      <c r="V75" s="2">
        <v>0.29810244001900699</v>
      </c>
      <c r="W75" s="7">
        <v>99.918446774047695</v>
      </c>
      <c r="X75" s="2">
        <v>4.8322129424900302</v>
      </c>
      <c r="Y75" s="7">
        <v>22.842355966543199</v>
      </c>
      <c r="Z75" s="2">
        <v>39.564121098626998</v>
      </c>
      <c r="AA75" s="2">
        <v>212.87036931381999</v>
      </c>
      <c r="AB75" s="2">
        <v>167.99079887924299</v>
      </c>
      <c r="AC75" s="2">
        <v>242.86088734110001</v>
      </c>
      <c r="AD75" s="2">
        <v>135.95039827863201</v>
      </c>
      <c r="AE75" s="2">
        <v>133.60701130756101</v>
      </c>
      <c r="AF75" s="2">
        <v>8.7668792880189006</v>
      </c>
      <c r="AG75" s="2">
        <v>279.90668254072898</v>
      </c>
      <c r="AH75" s="2">
        <v>240.54827641993199</v>
      </c>
      <c r="AI75" s="2">
        <v>118.290983379379</v>
      </c>
      <c r="AJ75" s="2">
        <v>105.32923186697801</v>
      </c>
    </row>
    <row r="76" spans="1:36" ht="15.75" customHeight="1" x14ac:dyDescent="0.45">
      <c r="A76" s="2" t="s">
        <v>88</v>
      </c>
      <c r="B76" s="2" t="s">
        <v>89</v>
      </c>
      <c r="C76" s="2">
        <v>0.03</v>
      </c>
      <c r="D76" s="2" t="s">
        <v>85</v>
      </c>
      <c r="E76" s="2" t="s">
        <v>84</v>
      </c>
      <c r="F76" s="2" t="s">
        <v>86</v>
      </c>
      <c r="G76" s="2">
        <v>10867</v>
      </c>
      <c r="H76" s="2" t="s">
        <v>87</v>
      </c>
      <c r="I76" s="2">
        <v>7.8975267512222197E-2</v>
      </c>
      <c r="J76" s="2">
        <v>6.9553288460853402E-2</v>
      </c>
      <c r="K76" s="2">
        <v>149.474074074074</v>
      </c>
      <c r="L76" s="2">
        <v>3.5350333669357998</v>
      </c>
      <c r="M76" s="2">
        <v>0.102482551461058</v>
      </c>
      <c r="N76" s="2">
        <v>0.105233140165248</v>
      </c>
      <c r="O76" s="2">
        <v>1.1085851747828499</v>
      </c>
      <c r="P76" s="2">
        <v>0.38433619171901001</v>
      </c>
      <c r="Q76" s="2">
        <v>1.56583088533698</v>
      </c>
      <c r="R76" s="2">
        <v>0.49291722842726299</v>
      </c>
      <c r="S76" s="2">
        <v>2.24466891133333E-2</v>
      </c>
      <c r="T76" s="2">
        <v>3.8878806005996497E-2</v>
      </c>
      <c r="U76" s="2">
        <v>0.25170227533607398</v>
      </c>
      <c r="V76" s="2">
        <v>0.13653114517101</v>
      </c>
      <c r="W76" s="7">
        <v>98.135280456051206</v>
      </c>
      <c r="X76" s="2">
        <v>6.3954164445839599</v>
      </c>
      <c r="Y76" s="7">
        <v>15.6685610208071</v>
      </c>
      <c r="Z76" s="2">
        <v>13.6015439579897</v>
      </c>
      <c r="AA76" s="2">
        <v>85.483888222343893</v>
      </c>
      <c r="AB76" s="2">
        <v>48.172858877110301</v>
      </c>
      <c r="AC76" s="2">
        <v>62.1751143593739</v>
      </c>
      <c r="AD76" s="2">
        <v>64.233523843779295</v>
      </c>
      <c r="AE76" s="2">
        <v>103.903860314309</v>
      </c>
      <c r="AF76" s="2">
        <v>50.329798053492198</v>
      </c>
      <c r="AG76" s="2">
        <v>0</v>
      </c>
      <c r="AH76" s="2">
        <v>0</v>
      </c>
      <c r="AI76" s="2">
        <v>143.64688358018</v>
      </c>
      <c r="AJ76" s="2">
        <v>135.33787372371299</v>
      </c>
    </row>
    <row r="77" spans="1:36" ht="15.75" customHeight="1" x14ac:dyDescent="0.45">
      <c r="A77" s="2" t="s">
        <v>88</v>
      </c>
      <c r="B77" s="2" t="s">
        <v>89</v>
      </c>
      <c r="C77" s="2">
        <v>0.1</v>
      </c>
      <c r="D77" s="2" t="s">
        <v>85</v>
      </c>
      <c r="E77" s="2" t="s">
        <v>84</v>
      </c>
      <c r="F77" s="2" t="s">
        <v>86</v>
      </c>
      <c r="G77" s="2">
        <v>10867</v>
      </c>
      <c r="H77" s="2" t="s">
        <v>87</v>
      </c>
      <c r="I77" s="2">
        <v>4.7961630695333303E-2</v>
      </c>
      <c r="J77" s="2">
        <v>8.3071981178172299E-2</v>
      </c>
      <c r="K77" s="2">
        <v>159.66137566137499</v>
      </c>
      <c r="L77" s="2">
        <v>10.7265225046335</v>
      </c>
      <c r="M77" s="2">
        <v>4.7458985474920598E-2</v>
      </c>
      <c r="N77" s="2">
        <v>4.4271871904376002E-2</v>
      </c>
      <c r="O77" s="2">
        <v>1.2882768497396599</v>
      </c>
      <c r="P77" s="2">
        <v>0.30456218650710398</v>
      </c>
      <c r="Q77" s="2">
        <v>1.64338141025666</v>
      </c>
      <c r="R77" s="2">
        <v>0.81057428129772902</v>
      </c>
      <c r="S77" s="2">
        <v>0</v>
      </c>
      <c r="T77" s="2">
        <v>0</v>
      </c>
      <c r="U77" s="2">
        <v>0.15597085456333301</v>
      </c>
      <c r="V77" s="2">
        <v>0.270149444603629</v>
      </c>
      <c r="W77" s="7">
        <v>104.713347041663</v>
      </c>
      <c r="X77" s="2">
        <v>7.2713942994006997</v>
      </c>
      <c r="Y77" s="7">
        <v>24.381115066892701</v>
      </c>
      <c r="Z77" s="2">
        <v>42.229330041041301</v>
      </c>
      <c r="AA77" s="2">
        <v>88.355741185169194</v>
      </c>
      <c r="AB77" s="2">
        <v>60.984443755942202</v>
      </c>
      <c r="AC77" s="2">
        <v>43.6179611116007</v>
      </c>
      <c r="AD77" s="2">
        <v>62.8778747285238</v>
      </c>
      <c r="AE77" s="2">
        <v>116.20894368839799</v>
      </c>
      <c r="AF77" s="2">
        <v>27.966507356643799</v>
      </c>
      <c r="AG77" s="2">
        <v>0</v>
      </c>
      <c r="AH77" s="2">
        <v>0</v>
      </c>
      <c r="AI77" s="2">
        <v>122.63934659393399</v>
      </c>
      <c r="AJ77" s="2">
        <v>212.41757930774301</v>
      </c>
    </row>
    <row r="78" spans="1:36" ht="15.75" customHeight="1" x14ac:dyDescent="0.45">
      <c r="A78" s="2" t="s">
        <v>88</v>
      </c>
      <c r="B78" s="2" t="s">
        <v>89</v>
      </c>
      <c r="C78" s="2">
        <v>0.3</v>
      </c>
      <c r="D78" s="2" t="s">
        <v>85</v>
      </c>
      <c r="E78" s="2" t="s">
        <v>84</v>
      </c>
      <c r="F78" s="2" t="s">
        <v>86</v>
      </c>
      <c r="G78" s="2">
        <v>10867</v>
      </c>
      <c r="H78" s="2" t="s">
        <v>87</v>
      </c>
      <c r="I78" s="2">
        <v>4.5289855072499899E-2</v>
      </c>
      <c r="J78" s="2">
        <v>3.92221650265005E-2</v>
      </c>
      <c r="K78" s="2">
        <v>151.416666666666</v>
      </c>
      <c r="L78" s="2">
        <v>7.73115989572947</v>
      </c>
      <c r="M78" s="2">
        <v>0.168095546888333</v>
      </c>
      <c r="N78" s="2">
        <v>0.21698313594170601</v>
      </c>
      <c r="O78" s="2">
        <v>1.4561477520766599</v>
      </c>
      <c r="P78" s="2">
        <v>0.338012252928374</v>
      </c>
      <c r="Q78" s="2">
        <v>1.4256608775566599</v>
      </c>
      <c r="R78" s="2">
        <v>0.51625067879629705</v>
      </c>
      <c r="S78" s="2">
        <v>0</v>
      </c>
      <c r="T78" s="2">
        <v>0</v>
      </c>
      <c r="U78" s="2">
        <v>0.35225063429833298</v>
      </c>
      <c r="V78" s="2">
        <v>0.113733695071837</v>
      </c>
      <c r="W78" s="7">
        <v>99.480524104910501</v>
      </c>
      <c r="X78" s="2">
        <v>9.0086298424205502</v>
      </c>
      <c r="Y78" s="7">
        <v>15.409449504590899</v>
      </c>
      <c r="Z78" s="2">
        <v>17.564444828373102</v>
      </c>
      <c r="AA78" s="2">
        <v>75.020756595500004</v>
      </c>
      <c r="AB78" s="2">
        <v>43.547788695926599</v>
      </c>
      <c r="AC78" s="2">
        <v>222.81797278395999</v>
      </c>
      <c r="AD78" s="2">
        <v>287.99157895523501</v>
      </c>
      <c r="AE78" s="2">
        <v>129.37710303805</v>
      </c>
      <c r="AF78" s="2">
        <v>17.9096736592162</v>
      </c>
      <c r="AG78" s="2">
        <v>0</v>
      </c>
      <c r="AH78" s="2">
        <v>0</v>
      </c>
      <c r="AI78" s="2">
        <v>158.91118411817499</v>
      </c>
      <c r="AJ78" s="2">
        <v>29.455366627452999</v>
      </c>
    </row>
    <row r="79" spans="1:36" ht="15.75" customHeight="1" x14ac:dyDescent="0.45">
      <c r="A79" s="2" t="s">
        <v>88</v>
      </c>
      <c r="B79" s="2" t="s">
        <v>89</v>
      </c>
      <c r="C79" s="2">
        <v>10</v>
      </c>
      <c r="D79" s="2" t="s">
        <v>85</v>
      </c>
      <c r="E79" s="2" t="s">
        <v>84</v>
      </c>
      <c r="F79" s="2" t="s">
        <v>86</v>
      </c>
      <c r="G79" s="2">
        <v>10867</v>
      </c>
      <c r="H79" s="2" t="s">
        <v>87</v>
      </c>
      <c r="I79" s="2">
        <v>0.134146899997407</v>
      </c>
      <c r="J79" s="2">
        <v>6.7024451239149505E-2</v>
      </c>
      <c r="K79" s="2">
        <v>156.81481481481401</v>
      </c>
      <c r="L79" s="2">
        <v>4.7105520283202198</v>
      </c>
      <c r="M79" s="2">
        <v>9.4914008815925904E-2</v>
      </c>
      <c r="N79" s="2">
        <v>5.7144915341591301E-2</v>
      </c>
      <c r="O79" s="2">
        <v>1.08641165228111</v>
      </c>
      <c r="P79" s="2">
        <v>0.50182380993034403</v>
      </c>
      <c r="Q79" s="2">
        <v>1.69251350094814</v>
      </c>
      <c r="R79" s="2">
        <v>0.39379783825334602</v>
      </c>
      <c r="S79" s="2">
        <v>0</v>
      </c>
      <c r="T79" s="2">
        <v>0</v>
      </c>
      <c r="U79" s="2">
        <v>0.21033763998222199</v>
      </c>
      <c r="V79" s="2">
        <v>0.15414091231959201</v>
      </c>
      <c r="W79" s="7">
        <v>102.83180344925999</v>
      </c>
      <c r="X79" s="2">
        <v>3.09667213798852</v>
      </c>
      <c r="Y79" s="7">
        <v>32.829933243891098</v>
      </c>
      <c r="Z79" s="2">
        <v>1.86231744544383</v>
      </c>
      <c r="AA79" s="2">
        <v>89.073865541604704</v>
      </c>
      <c r="AB79" s="2">
        <v>46.547247073575697</v>
      </c>
      <c r="AC79" s="2">
        <v>100.32375509702599</v>
      </c>
      <c r="AD79" s="2">
        <v>99.141893307540002</v>
      </c>
      <c r="AE79" s="2">
        <v>110.26356136783799</v>
      </c>
      <c r="AF79" s="2">
        <v>86.384072667119696</v>
      </c>
      <c r="AG79" s="2">
        <v>0</v>
      </c>
      <c r="AH79" s="2">
        <v>0</v>
      </c>
      <c r="AI79" s="2">
        <v>128.51339005339099</v>
      </c>
      <c r="AJ79" s="2">
        <v>144.82762452850599</v>
      </c>
    </row>
    <row r="80" spans="1:36" ht="15.75" customHeight="1" x14ac:dyDescent="0.45">
      <c r="A80" s="2" t="s">
        <v>88</v>
      </c>
      <c r="B80" s="2" t="s">
        <v>89</v>
      </c>
      <c r="C80" s="2">
        <v>1</v>
      </c>
      <c r="D80" s="2" t="s">
        <v>85</v>
      </c>
      <c r="E80" s="2" t="s">
        <v>84</v>
      </c>
      <c r="F80" s="2" t="s">
        <v>86</v>
      </c>
      <c r="G80" s="2">
        <v>10867</v>
      </c>
      <c r="H80" s="2" t="s">
        <v>87</v>
      </c>
      <c r="I80" s="2">
        <v>0.15153921015037</v>
      </c>
      <c r="J80" s="2">
        <v>5.14422003619407E-2</v>
      </c>
      <c r="K80" s="2">
        <v>150.74074074073999</v>
      </c>
      <c r="L80" s="2">
        <v>11.2832954938551</v>
      </c>
      <c r="M80" s="2">
        <v>0.133486606868888</v>
      </c>
      <c r="N80" s="2">
        <v>1.9173469024127102E-2</v>
      </c>
      <c r="O80" s="2">
        <v>1.27054325682629</v>
      </c>
      <c r="P80" s="2">
        <v>6.5792353009892002E-2</v>
      </c>
      <c r="Q80" s="2">
        <v>2.5642328355266599</v>
      </c>
      <c r="R80" s="2">
        <v>1.89074934260182</v>
      </c>
      <c r="S80" s="2">
        <v>0</v>
      </c>
      <c r="T80" s="2">
        <v>0</v>
      </c>
      <c r="U80" s="2">
        <v>0.276123875605925</v>
      </c>
      <c r="V80" s="2">
        <v>0.236093126479896</v>
      </c>
      <c r="W80" s="7">
        <v>98.833121360897593</v>
      </c>
      <c r="X80" s="2">
        <v>6.9865886322506903</v>
      </c>
      <c r="Y80" s="7">
        <v>40.684449366141401</v>
      </c>
      <c r="Z80" s="2">
        <v>11.2446984685961</v>
      </c>
      <c r="AA80" s="2">
        <v>137.20161502529999</v>
      </c>
      <c r="AB80" s="2">
        <v>126.391915832533</v>
      </c>
      <c r="AC80" s="2">
        <v>133.39259821665601</v>
      </c>
      <c r="AD80" s="2">
        <v>88.895862023759307</v>
      </c>
      <c r="AE80" s="2">
        <v>118.215731415284</v>
      </c>
      <c r="AF80" s="2">
        <v>39.723283234174701</v>
      </c>
      <c r="AG80" s="2">
        <v>0</v>
      </c>
      <c r="AH80" s="2">
        <v>0</v>
      </c>
      <c r="AI80" s="2">
        <v>112.17156435963599</v>
      </c>
      <c r="AJ80" s="2">
        <v>71.525468599539707</v>
      </c>
    </row>
    <row r="81" spans="1:36" ht="15.75" customHeight="1" x14ac:dyDescent="0.45">
      <c r="A81" s="2" t="s">
        <v>88</v>
      </c>
      <c r="B81" s="2" t="s">
        <v>89</v>
      </c>
      <c r="C81" s="2">
        <v>3</v>
      </c>
      <c r="D81" s="2" t="s">
        <v>85</v>
      </c>
      <c r="E81" s="2" t="s">
        <v>84</v>
      </c>
      <c r="F81" s="2" t="s">
        <v>86</v>
      </c>
      <c r="G81" s="2">
        <v>10867</v>
      </c>
      <c r="H81" s="2" t="s">
        <v>87</v>
      </c>
      <c r="I81" s="2">
        <v>0.193687666318518</v>
      </c>
      <c r="J81" s="2">
        <v>0.105768532817429</v>
      </c>
      <c r="K81" s="2">
        <v>153.37037037037001</v>
      </c>
      <c r="L81" s="2">
        <v>5.5403495603648301</v>
      </c>
      <c r="M81" s="2">
        <v>9.6189234060370304E-2</v>
      </c>
      <c r="N81" s="2">
        <v>0.114753358851857</v>
      </c>
      <c r="O81" s="2">
        <v>1.2333635591833301</v>
      </c>
      <c r="P81" s="2">
        <v>0.35337369513135097</v>
      </c>
      <c r="Q81" s="2">
        <v>1.0647355725255501</v>
      </c>
      <c r="R81" s="2">
        <v>0.29612694131279799</v>
      </c>
      <c r="S81" s="2">
        <v>0</v>
      </c>
      <c r="T81" s="2">
        <v>0</v>
      </c>
      <c r="U81" s="2">
        <v>0.274405185006666</v>
      </c>
      <c r="V81" s="2">
        <v>0.12664080917403001</v>
      </c>
      <c r="W81" s="7">
        <v>100.555811397697</v>
      </c>
      <c r="X81" s="2">
        <v>2.8509838763359099</v>
      </c>
      <c r="Y81" s="7">
        <v>57.886624357755601</v>
      </c>
      <c r="Z81" s="2">
        <v>42.883880087057697</v>
      </c>
      <c r="AA81" s="2">
        <v>57.915513668728401</v>
      </c>
      <c r="AB81" s="2">
        <v>32.1520912208345</v>
      </c>
      <c r="AC81" s="2">
        <v>127.47369681427899</v>
      </c>
      <c r="AD81" s="2">
        <v>152.308433265606</v>
      </c>
      <c r="AE81" s="2">
        <v>117.83830121694901</v>
      </c>
      <c r="AF81" s="2">
        <v>57.041359742699498</v>
      </c>
      <c r="AG81" s="2">
        <v>0</v>
      </c>
      <c r="AH81" s="2">
        <v>0</v>
      </c>
      <c r="AI81" s="2">
        <v>145.82020707498299</v>
      </c>
      <c r="AJ81" s="2">
        <v>110.034397848933</v>
      </c>
    </row>
    <row r="82" spans="1:36" ht="15.75" hidden="1" customHeight="1" x14ac:dyDescent="0.45">
      <c r="A82" s="2" t="s">
        <v>90</v>
      </c>
      <c r="B82" s="2" t="s">
        <v>91</v>
      </c>
      <c r="C82" s="2">
        <v>3.0000000000000001E-3</v>
      </c>
      <c r="D82" s="2" t="s">
        <v>83</v>
      </c>
      <c r="E82" s="2" t="s">
        <v>84</v>
      </c>
      <c r="H82" s="2">
        <v>0.03</v>
      </c>
      <c r="I82" s="2">
        <v>28.841615857222202</v>
      </c>
      <c r="J82" s="2">
        <v>9.41542624797634</v>
      </c>
      <c r="K82" s="2">
        <v>218.333333333333</v>
      </c>
      <c r="L82" s="2">
        <v>20.372230554796701</v>
      </c>
      <c r="M82" s="2">
        <v>37.576056432777698</v>
      </c>
      <c r="N82" s="2">
        <v>2.8989580362467899</v>
      </c>
      <c r="O82" s="2">
        <v>4.0326861051666603</v>
      </c>
      <c r="P82" s="2">
        <v>0.52039730242112203</v>
      </c>
      <c r="Q82" s="2">
        <v>4.1917848790555503</v>
      </c>
      <c r="R82" s="2">
        <v>1.73084996404074</v>
      </c>
      <c r="S82" s="2">
        <v>0.41213685861111099</v>
      </c>
      <c r="T82" s="2">
        <v>7.0575175860502007E-2</v>
      </c>
      <c r="U82" s="2">
        <v>3.3539878001666601</v>
      </c>
      <c r="V82" s="2">
        <v>0.179158785290251</v>
      </c>
      <c r="W82" s="7">
        <v>78.286852589641398</v>
      </c>
      <c r="X82" s="2">
        <v>7.3047838642697602</v>
      </c>
      <c r="Y82" s="7">
        <v>72.248143135048693</v>
      </c>
      <c r="Z82" s="2">
        <v>23.585608608366101</v>
      </c>
      <c r="AA82" s="2">
        <v>94.678013180236505</v>
      </c>
      <c r="AB82" s="2">
        <v>39.0939517262116</v>
      </c>
      <c r="AC82" s="2">
        <v>111.119375237239</v>
      </c>
      <c r="AD82" s="2">
        <v>8.5727571333356192</v>
      </c>
      <c r="AE82" s="2">
        <v>107.961334930961</v>
      </c>
      <c r="AF82" s="2">
        <v>13.931852368046799</v>
      </c>
      <c r="AG82" s="2">
        <v>87.632996401287102</v>
      </c>
      <c r="AH82" s="2">
        <v>15.0064572070692</v>
      </c>
      <c r="AI82" s="2">
        <v>99.614870456394101</v>
      </c>
      <c r="AJ82" s="2">
        <v>5.32109245803652</v>
      </c>
    </row>
    <row r="83" spans="1:36" ht="15.75" hidden="1" customHeight="1" x14ac:dyDescent="0.45">
      <c r="A83" s="2" t="s">
        <v>90</v>
      </c>
      <c r="B83" s="2" t="s">
        <v>91</v>
      </c>
      <c r="C83" s="2">
        <v>0.01</v>
      </c>
      <c r="D83" s="2" t="s">
        <v>83</v>
      </c>
      <c r="E83" s="2" t="s">
        <v>84</v>
      </c>
      <c r="H83" s="2">
        <v>0.03</v>
      </c>
      <c r="I83" s="2">
        <v>30.6839947011111</v>
      </c>
      <c r="J83" s="2">
        <v>0.98426256308236304</v>
      </c>
      <c r="K83" s="2">
        <v>215.277777777777</v>
      </c>
      <c r="L83" s="2">
        <v>23.124261749977499</v>
      </c>
      <c r="M83" s="2">
        <v>43.060422007222201</v>
      </c>
      <c r="N83" s="2">
        <v>3.3453546676777202</v>
      </c>
      <c r="O83" s="2">
        <v>3.4384282185555501</v>
      </c>
      <c r="P83" s="2">
        <v>0.82026453823470102</v>
      </c>
      <c r="Q83" s="2">
        <v>2.8576047275555498</v>
      </c>
      <c r="R83" s="2">
        <v>0.71634103867918597</v>
      </c>
      <c r="S83" s="2">
        <v>0.60383215983333305</v>
      </c>
      <c r="T83" s="2">
        <v>0.155548352035802</v>
      </c>
      <c r="U83" s="2">
        <v>3.44850759822222</v>
      </c>
      <c r="V83" s="2">
        <v>0.47494885722333502</v>
      </c>
      <c r="W83" s="7">
        <v>77.191235059760899</v>
      </c>
      <c r="X83" s="2">
        <v>8.2915679581592805</v>
      </c>
      <c r="Y83" s="7">
        <v>76.863295458039602</v>
      </c>
      <c r="Z83" s="2">
        <v>2.46557415132611</v>
      </c>
      <c r="AA83" s="2">
        <v>64.543469158266703</v>
      </c>
      <c r="AB83" s="2">
        <v>16.179681987137901</v>
      </c>
      <c r="AC83" s="2">
        <v>127.337662467436</v>
      </c>
      <c r="AD83" s="2">
        <v>9.8928348504146104</v>
      </c>
      <c r="AE83" s="2">
        <v>92.052118825698599</v>
      </c>
      <c r="AF83" s="2">
        <v>21.9597688079139</v>
      </c>
      <c r="AG83" s="2">
        <v>128.39332465429001</v>
      </c>
      <c r="AH83" s="2">
        <v>33.074372964641498</v>
      </c>
      <c r="AI83" s="2">
        <v>102.422148836595</v>
      </c>
      <c r="AJ83" s="2">
        <v>14.106183953133</v>
      </c>
    </row>
    <row r="84" spans="1:36" ht="15.75" hidden="1" customHeight="1" x14ac:dyDescent="0.45">
      <c r="A84" s="2" t="s">
        <v>90</v>
      </c>
      <c r="B84" s="2" t="s">
        <v>91</v>
      </c>
      <c r="C84" s="2">
        <v>0.03</v>
      </c>
      <c r="D84" s="2" t="s">
        <v>83</v>
      </c>
      <c r="E84" s="2" t="s">
        <v>84</v>
      </c>
      <c r="H84" s="2">
        <v>0.03</v>
      </c>
      <c r="I84" s="2">
        <v>14.2778895775555</v>
      </c>
      <c r="J84" s="2">
        <v>1.8867851069547299</v>
      </c>
      <c r="K84" s="2">
        <v>149</v>
      </c>
      <c r="L84" s="2">
        <v>2.80376730687779</v>
      </c>
      <c r="M84" s="2">
        <v>55.454289584444403</v>
      </c>
      <c r="N84" s="2">
        <v>0.95579739915130202</v>
      </c>
      <c r="O84" s="2">
        <v>2.5640266171111099</v>
      </c>
      <c r="P84" s="2">
        <v>0.22427496766435301</v>
      </c>
      <c r="Q84" s="2">
        <v>2.7650922168888799</v>
      </c>
      <c r="R84" s="2">
        <v>0.844749527539709</v>
      </c>
      <c r="S84" s="2">
        <v>0.27745522488888802</v>
      </c>
      <c r="T84" s="2">
        <v>0.38948551897185502</v>
      </c>
      <c r="U84" s="2">
        <v>3.5067014808888799</v>
      </c>
      <c r="V84" s="2">
        <v>0.95842865479992101</v>
      </c>
      <c r="W84" s="7">
        <v>53.426294820717096</v>
      </c>
      <c r="X84" s="2">
        <v>1.0053348909123501</v>
      </c>
      <c r="Y84" s="7">
        <v>35.766061616389699</v>
      </c>
      <c r="Z84" s="2">
        <v>4.7263898509420397</v>
      </c>
      <c r="AA84" s="2">
        <v>62.453929509416902</v>
      </c>
      <c r="AB84" s="2">
        <v>19.079988408284699</v>
      </c>
      <c r="AC84" s="2">
        <v>163.98862993704699</v>
      </c>
      <c r="AD84" s="2">
        <v>2.8264703625052401</v>
      </c>
      <c r="AE84" s="2">
        <v>68.643015886403205</v>
      </c>
      <c r="AF84" s="2">
        <v>6.0041928057877199</v>
      </c>
      <c r="AG84" s="2">
        <v>58.995530771366901</v>
      </c>
      <c r="AH84" s="2">
        <v>82.816623578481</v>
      </c>
      <c r="AI84" s="2">
        <v>104.150532011664</v>
      </c>
      <c r="AJ84" s="2">
        <v>28.465740479093501</v>
      </c>
    </row>
    <row r="85" spans="1:36" ht="15.75" hidden="1" customHeight="1" x14ac:dyDescent="0.45">
      <c r="A85" s="2" t="s">
        <v>90</v>
      </c>
      <c r="B85" s="2" t="s">
        <v>91</v>
      </c>
      <c r="C85" s="2">
        <v>0.1</v>
      </c>
      <c r="D85" s="2" t="s">
        <v>83</v>
      </c>
      <c r="E85" s="2" t="s">
        <v>84</v>
      </c>
      <c r="H85" s="2">
        <v>0.03</v>
      </c>
      <c r="I85" s="2">
        <v>0.68922149611111105</v>
      </c>
      <c r="J85" s="2">
        <v>1.0340917530354901</v>
      </c>
      <c r="K85" s="2">
        <v>81.7222222222222</v>
      </c>
      <c r="L85" s="2">
        <v>7.4727901477689702</v>
      </c>
      <c r="M85" s="2">
        <v>71.823030998888797</v>
      </c>
      <c r="N85" s="2">
        <v>4.2509992167706496</v>
      </c>
      <c r="O85" s="2">
        <v>0.64262638777777703</v>
      </c>
      <c r="P85" s="2">
        <v>0.42482859044779903</v>
      </c>
      <c r="Q85" s="2">
        <v>2.7798180826666599</v>
      </c>
      <c r="R85" s="2">
        <v>0.48132774999574202</v>
      </c>
      <c r="S85" s="2">
        <v>0.28473140916666601</v>
      </c>
      <c r="T85" s="2">
        <v>0.12986423337665901</v>
      </c>
      <c r="U85" s="2">
        <v>1.67997071905555</v>
      </c>
      <c r="V85" s="2">
        <v>0.90715412767083703</v>
      </c>
      <c r="W85" s="7">
        <v>29.302788844621499</v>
      </c>
      <c r="X85" s="2">
        <v>2.67948650716815</v>
      </c>
      <c r="Y85" s="7">
        <v>1.7264973484597199</v>
      </c>
      <c r="Z85" s="2">
        <v>2.5903960914649402</v>
      </c>
      <c r="AA85" s="2">
        <v>62.786536204279798</v>
      </c>
      <c r="AB85" s="2">
        <v>10.8715395405448</v>
      </c>
      <c r="AC85" s="2">
        <v>212.39403731785899</v>
      </c>
      <c r="AD85" s="2">
        <v>12.570993923925901</v>
      </c>
      <c r="AE85" s="2">
        <v>17.204116779003101</v>
      </c>
      <c r="AF85" s="2">
        <v>11.3733279867285</v>
      </c>
      <c r="AG85" s="2">
        <v>60.542671769088898</v>
      </c>
      <c r="AH85" s="2">
        <v>27.613137865184701</v>
      </c>
      <c r="AI85" s="2">
        <v>49.895848023340498</v>
      </c>
      <c r="AJ85" s="2">
        <v>26.942865119373099</v>
      </c>
    </row>
    <row r="86" spans="1:36" ht="15.75" hidden="1" customHeight="1" x14ac:dyDescent="0.45">
      <c r="A86" s="2" t="s">
        <v>90</v>
      </c>
      <c r="B86" s="2" t="s">
        <v>91</v>
      </c>
      <c r="C86" s="2">
        <v>0.3</v>
      </c>
      <c r="D86" s="2" t="s">
        <v>83</v>
      </c>
      <c r="E86" s="2" t="s">
        <v>84</v>
      </c>
      <c r="H86" s="2">
        <v>0.03</v>
      </c>
      <c r="I86" s="2">
        <v>0</v>
      </c>
      <c r="J86" s="2">
        <v>0</v>
      </c>
      <c r="K86" s="2">
        <v>30.4444444444444</v>
      </c>
      <c r="L86" s="2">
        <v>3.5836563161933599</v>
      </c>
      <c r="M86" s="2">
        <v>65.404322620555504</v>
      </c>
      <c r="N86" s="2">
        <v>5.3393244739543197</v>
      </c>
      <c r="O86" s="2">
        <v>1.5031585994444401</v>
      </c>
      <c r="P86" s="2">
        <v>0.69023143245277896</v>
      </c>
      <c r="Q86" s="2">
        <v>2.1441098617222201</v>
      </c>
      <c r="R86" s="2">
        <v>0.87380543562686996</v>
      </c>
      <c r="S86" s="2">
        <v>0.67823288061111098</v>
      </c>
      <c r="T86" s="2">
        <v>0.33299555498122602</v>
      </c>
      <c r="U86" s="2">
        <v>3.7819464101666602</v>
      </c>
      <c r="V86" s="2">
        <v>1.68061367378989</v>
      </c>
      <c r="W86" s="7">
        <v>10.916334661354499</v>
      </c>
      <c r="X86" s="2">
        <v>1.2849763683561799</v>
      </c>
      <c r="Y86" s="7">
        <v>0</v>
      </c>
      <c r="Z86" s="2">
        <v>0</v>
      </c>
      <c r="AA86" s="2">
        <v>48.4280724333709</v>
      </c>
      <c r="AB86" s="2">
        <v>19.7362615063115</v>
      </c>
      <c r="AC86" s="2">
        <v>193.41272494660501</v>
      </c>
      <c r="AD86" s="2">
        <v>15.789373767736899</v>
      </c>
      <c r="AE86" s="2">
        <v>40.241914390772997</v>
      </c>
      <c r="AF86" s="2">
        <v>18.478578524482501</v>
      </c>
      <c r="AG86" s="2">
        <v>144.21321059738301</v>
      </c>
      <c r="AH86" s="2">
        <v>70.805116459748007</v>
      </c>
      <c r="AI86" s="2">
        <v>112.32542399320999</v>
      </c>
      <c r="AJ86" s="2">
        <v>49.914944053614597</v>
      </c>
    </row>
    <row r="87" spans="1:36" ht="15.75" hidden="1" customHeight="1" x14ac:dyDescent="0.45">
      <c r="A87" s="2" t="s">
        <v>90</v>
      </c>
      <c r="B87" s="2" t="s">
        <v>91</v>
      </c>
      <c r="C87" s="2">
        <v>1</v>
      </c>
      <c r="D87" s="2" t="s">
        <v>83</v>
      </c>
      <c r="E87" s="2" t="s">
        <v>84</v>
      </c>
      <c r="H87" s="2">
        <v>0.03</v>
      </c>
      <c r="I87" s="2">
        <v>0</v>
      </c>
      <c r="J87" s="2">
        <v>0</v>
      </c>
      <c r="K87" s="2">
        <v>8.5777777777777793</v>
      </c>
      <c r="L87" s="2">
        <v>0.87007875335342499</v>
      </c>
      <c r="M87" s="2">
        <v>39.114126614333301</v>
      </c>
      <c r="N87" s="2">
        <v>7.5914184716008597</v>
      </c>
      <c r="O87" s="2">
        <v>11.4510057848888</v>
      </c>
      <c r="P87" s="2">
        <v>5.9114044947154003</v>
      </c>
      <c r="Q87" s="2">
        <v>7.17994968038888</v>
      </c>
      <c r="R87" s="2">
        <v>4.0225429865717999</v>
      </c>
      <c r="S87" s="2">
        <v>0</v>
      </c>
      <c r="T87" s="2">
        <v>0</v>
      </c>
      <c r="U87" s="2">
        <v>13.7645440986888</v>
      </c>
      <c r="V87" s="2">
        <v>5.7733250755480698</v>
      </c>
      <c r="W87" s="7">
        <v>3.0756972111553802</v>
      </c>
      <c r="X87" s="2">
        <v>0.31198042948927601</v>
      </c>
      <c r="Y87" s="7">
        <v>0</v>
      </c>
      <c r="Z87" s="2">
        <v>0</v>
      </c>
      <c r="AA87" s="2">
        <v>162.170385667896</v>
      </c>
      <c r="AB87" s="2">
        <v>90.855420516360397</v>
      </c>
      <c r="AC87" s="2">
        <v>115.66773432199901</v>
      </c>
      <c r="AD87" s="2">
        <v>22.4492338422424</v>
      </c>
      <c r="AE87" s="2">
        <v>306.56139322494403</v>
      </c>
      <c r="AF87" s="2">
        <v>158.257574213053</v>
      </c>
      <c r="AG87" s="2">
        <v>0</v>
      </c>
      <c r="AH87" s="2">
        <v>0</v>
      </c>
      <c r="AI87" s="2">
        <v>408.81283981238101</v>
      </c>
      <c r="AJ87" s="2">
        <v>171.47022105291899</v>
      </c>
    </row>
    <row r="88" spans="1:36" ht="15.75" hidden="1" customHeight="1" x14ac:dyDescent="0.45">
      <c r="A88" s="2" t="s">
        <v>90</v>
      </c>
      <c r="B88" s="2" t="s">
        <v>91</v>
      </c>
      <c r="C88" s="2">
        <v>3</v>
      </c>
      <c r="D88" s="2" t="s">
        <v>83</v>
      </c>
      <c r="E88" s="2" t="s">
        <v>84</v>
      </c>
      <c r="H88" s="2">
        <v>0.03</v>
      </c>
      <c r="I88" s="2">
        <v>0</v>
      </c>
      <c r="J88" s="2">
        <v>0</v>
      </c>
      <c r="K88" s="2">
        <v>7.4444444444444402</v>
      </c>
      <c r="L88" s="2">
        <v>2.2689530951846799</v>
      </c>
      <c r="M88" s="2">
        <v>19.2857142855555</v>
      </c>
      <c r="N88" s="2">
        <v>2.8071014580128999</v>
      </c>
      <c r="O88" s="2">
        <v>10</v>
      </c>
      <c r="P88" s="2">
        <v>17.3205080756887</v>
      </c>
      <c r="Q88" s="2">
        <v>18.1746031744444</v>
      </c>
      <c r="R88" s="2">
        <v>11.669905608064401</v>
      </c>
      <c r="S88" s="2">
        <v>0</v>
      </c>
      <c r="T88" s="2">
        <v>0</v>
      </c>
      <c r="U88" s="2">
        <v>5.1984126988888804</v>
      </c>
      <c r="V88" s="2">
        <v>5.7837216512300902</v>
      </c>
      <c r="W88" s="7">
        <v>2.6693227091633398</v>
      </c>
      <c r="X88" s="2">
        <v>0.81356883891084197</v>
      </c>
      <c r="Y88" s="7">
        <v>0</v>
      </c>
      <c r="Z88" s="2">
        <v>0</v>
      </c>
      <c r="AA88" s="2">
        <v>410.501819283082</v>
      </c>
      <c r="AB88" s="2">
        <v>263.583058017371</v>
      </c>
      <c r="AC88" s="2">
        <v>57.031437725473197</v>
      </c>
      <c r="AD88" s="2">
        <v>8.3011201774182108</v>
      </c>
      <c r="AE88" s="2">
        <v>267.71569151549301</v>
      </c>
      <c r="AF88" s="2">
        <v>463.69717968827001</v>
      </c>
      <c r="AG88" s="2">
        <v>0</v>
      </c>
      <c r="AH88" s="2">
        <v>0</v>
      </c>
      <c r="AI88" s="2">
        <v>154.39507786908399</v>
      </c>
      <c r="AJ88" s="2">
        <v>171.77900379199201</v>
      </c>
    </row>
    <row r="89" spans="1:36" ht="15.75" hidden="1" customHeight="1" x14ac:dyDescent="0.45">
      <c r="A89" s="2" t="s">
        <v>90</v>
      </c>
      <c r="B89" s="2" t="s">
        <v>91</v>
      </c>
      <c r="C89" s="2">
        <v>10</v>
      </c>
      <c r="D89" s="2" t="s">
        <v>83</v>
      </c>
      <c r="E89" s="2" t="s">
        <v>84</v>
      </c>
      <c r="H89" s="2">
        <v>0.03</v>
      </c>
      <c r="I89" s="2">
        <v>0</v>
      </c>
      <c r="J89" s="2">
        <v>0</v>
      </c>
      <c r="K89" s="2">
        <v>20.822222222222202</v>
      </c>
      <c r="L89" s="2">
        <v>5.7015917205766398</v>
      </c>
      <c r="M89" s="2">
        <v>0.60606060606666601</v>
      </c>
      <c r="N89" s="2">
        <v>1.04972776217345</v>
      </c>
      <c r="O89" s="2">
        <v>43.006584782444399</v>
      </c>
      <c r="P89" s="2">
        <v>5.2251111617468498</v>
      </c>
      <c r="Q89" s="2">
        <v>36.667534403888801</v>
      </c>
      <c r="R89" s="2">
        <v>14.5518856181722</v>
      </c>
      <c r="S89" s="2">
        <v>0</v>
      </c>
      <c r="T89" s="2">
        <v>0</v>
      </c>
      <c r="U89" s="2">
        <v>10.3185442566666</v>
      </c>
      <c r="V89" s="2">
        <v>1.3153450742371999</v>
      </c>
      <c r="W89" s="7">
        <v>7.4661354581673303</v>
      </c>
      <c r="X89" s="2">
        <v>2.0443954376569602</v>
      </c>
      <c r="Y89" s="7">
        <v>0</v>
      </c>
      <c r="Z89" s="2">
        <v>0</v>
      </c>
      <c r="AA89" s="2">
        <v>828.19357522954499</v>
      </c>
      <c r="AB89" s="2">
        <v>328.67708103022301</v>
      </c>
      <c r="AC89" s="2">
        <v>1.79223373326864</v>
      </c>
      <c r="AD89" s="2">
        <v>3.1042398850601298</v>
      </c>
      <c r="AE89" s="2">
        <v>1151.35375847518</v>
      </c>
      <c r="AF89" s="2">
        <v>139.88442479123799</v>
      </c>
      <c r="AG89" s="2">
        <v>0</v>
      </c>
      <c r="AH89" s="2">
        <v>0</v>
      </c>
      <c r="AI89" s="2">
        <v>306.465172406215</v>
      </c>
      <c r="AJ89" s="2">
        <v>39.0663106076546</v>
      </c>
    </row>
    <row r="90" spans="1:36" ht="15.75" hidden="1" customHeight="1" x14ac:dyDescent="0.45">
      <c r="A90" s="2" t="s">
        <v>90</v>
      </c>
      <c r="B90" s="2" t="s">
        <v>91</v>
      </c>
      <c r="C90" s="2">
        <v>3.0000000000000001E-3</v>
      </c>
      <c r="D90" s="2" t="s">
        <v>83</v>
      </c>
      <c r="E90" s="2" t="s">
        <v>84</v>
      </c>
      <c r="H90" s="2">
        <v>4.0000000000000001E-3</v>
      </c>
      <c r="I90" s="2">
        <v>0</v>
      </c>
      <c r="J90" s="2">
        <v>0</v>
      </c>
      <c r="K90" s="2">
        <v>77.7777777777777</v>
      </c>
      <c r="L90" s="2">
        <v>17.884143608028602</v>
      </c>
      <c r="M90" s="2">
        <v>16.132060847861101</v>
      </c>
      <c r="N90" s="2">
        <v>1.1609004100285401</v>
      </c>
      <c r="O90" s="2">
        <v>7.9365079366666605E-2</v>
      </c>
      <c r="P90" s="2">
        <v>0.13746434980980299</v>
      </c>
      <c r="Q90" s="2">
        <v>6.2596892119055498</v>
      </c>
      <c r="R90" s="2">
        <v>2.2529011107899999</v>
      </c>
      <c r="S90" s="2">
        <v>0.99990718114388799</v>
      </c>
      <c r="T90" s="2">
        <v>0.87903658971258702</v>
      </c>
      <c r="U90" s="2">
        <v>4.6887043065055503</v>
      </c>
      <c r="V90" s="2">
        <v>0.41637607251289999</v>
      </c>
      <c r="W90" s="7">
        <v>33.476022673465401</v>
      </c>
      <c r="X90" s="2">
        <v>6.7756125275837702</v>
      </c>
      <c r="Y90" s="7">
        <v>0</v>
      </c>
      <c r="Z90" s="2">
        <v>0</v>
      </c>
      <c r="AA90" s="2">
        <v>145.226137499907</v>
      </c>
      <c r="AB90" s="2">
        <v>71.692649339682703</v>
      </c>
      <c r="AC90" s="2">
        <v>105.59021954579001</v>
      </c>
      <c r="AD90" s="2">
        <v>8.6586269077509304</v>
      </c>
      <c r="AE90" s="2">
        <v>6.7762175472778399</v>
      </c>
      <c r="AF90" s="2">
        <v>11.7367530750249</v>
      </c>
      <c r="AG90" s="2">
        <v>133.004582891236</v>
      </c>
      <c r="AH90" s="2">
        <v>96.483151839921504</v>
      </c>
      <c r="AI90" s="2">
        <v>147.52734366552599</v>
      </c>
      <c r="AJ90" s="2">
        <v>46.7632671152424</v>
      </c>
    </row>
    <row r="91" spans="1:36" ht="15.75" hidden="1" customHeight="1" x14ac:dyDescent="0.45">
      <c r="A91" s="2" t="s">
        <v>90</v>
      </c>
      <c r="B91" s="2" t="s">
        <v>91</v>
      </c>
      <c r="C91" s="2">
        <v>0.01</v>
      </c>
      <c r="D91" s="2" t="s">
        <v>83</v>
      </c>
      <c r="E91" s="2" t="s">
        <v>84</v>
      </c>
      <c r="H91" s="2">
        <v>4.0000000000000001E-3</v>
      </c>
      <c r="I91" s="2">
        <v>0</v>
      </c>
      <c r="J91" s="2">
        <v>0</v>
      </c>
      <c r="K91" s="2">
        <v>70.4166666666666</v>
      </c>
      <c r="L91" s="2">
        <v>0.80363756341589099</v>
      </c>
      <c r="M91" s="2">
        <v>13.8988845393727</v>
      </c>
      <c r="N91" s="2">
        <v>2.0911318102404</v>
      </c>
      <c r="O91" s="2">
        <v>0</v>
      </c>
      <c r="P91" s="2">
        <v>0</v>
      </c>
      <c r="Q91" s="2">
        <v>6.5579556434238802</v>
      </c>
      <c r="R91" s="2">
        <v>2.6194816771749299</v>
      </c>
      <c r="S91" s="2">
        <v>0.62099966910777704</v>
      </c>
      <c r="T91" s="2">
        <v>0.41988770710279599</v>
      </c>
      <c r="U91" s="2">
        <v>5.3459154685183297</v>
      </c>
      <c r="V91" s="2">
        <v>1.9003383113624099</v>
      </c>
      <c r="W91" s="7">
        <v>30.435347622753099</v>
      </c>
      <c r="X91" s="2">
        <v>0.64196333084396995</v>
      </c>
      <c r="Y91" s="7">
        <v>0</v>
      </c>
      <c r="Z91" s="2">
        <v>0</v>
      </c>
      <c r="AA91" s="2">
        <v>144.749556282805</v>
      </c>
      <c r="AB91" s="2">
        <v>68.580173948807101</v>
      </c>
      <c r="AC91" s="2">
        <v>90.694715754768893</v>
      </c>
      <c r="AD91" s="2">
        <v>11.129676799656</v>
      </c>
      <c r="AE91" s="2">
        <v>0</v>
      </c>
      <c r="AF91" s="2">
        <v>0</v>
      </c>
      <c r="AG91" s="2">
        <v>79.068132098341593</v>
      </c>
      <c r="AH91" s="2">
        <v>44.152903412828699</v>
      </c>
      <c r="AI91" s="2">
        <v>156.61060800643699</v>
      </c>
      <c r="AJ91" s="2">
        <v>22.9451249517418</v>
      </c>
    </row>
    <row r="92" spans="1:36" ht="15.75" hidden="1" customHeight="1" x14ac:dyDescent="0.45">
      <c r="A92" s="2" t="s">
        <v>90</v>
      </c>
      <c r="B92" s="2" t="s">
        <v>91</v>
      </c>
      <c r="C92" s="2">
        <v>0.03</v>
      </c>
      <c r="D92" s="2" t="s">
        <v>83</v>
      </c>
      <c r="E92" s="2" t="s">
        <v>84</v>
      </c>
      <c r="H92" s="2">
        <v>4.0000000000000001E-3</v>
      </c>
      <c r="I92" s="2">
        <v>8.0321285139999907E-2</v>
      </c>
      <c r="J92" s="2">
        <v>0.13912054679170699</v>
      </c>
      <c r="K92" s="2">
        <v>63.533333333333303</v>
      </c>
      <c r="L92" s="2">
        <v>0.50332229568448705</v>
      </c>
      <c r="M92" s="2">
        <v>11.4319935142116</v>
      </c>
      <c r="N92" s="2">
        <v>0.74645002110354697</v>
      </c>
      <c r="O92" s="2">
        <v>0.35354532885666601</v>
      </c>
      <c r="P92" s="2">
        <v>0.421273713595892</v>
      </c>
      <c r="Q92" s="2">
        <v>9.6247918181349998</v>
      </c>
      <c r="R92" s="2">
        <v>4.2329095388768101</v>
      </c>
      <c r="S92" s="2">
        <v>0.53672136653999902</v>
      </c>
      <c r="T92" s="2">
        <v>0.53085459811531799</v>
      </c>
      <c r="U92" s="2">
        <v>6.71344440569999</v>
      </c>
      <c r="V92" s="2">
        <v>0.73797646593169997</v>
      </c>
      <c r="W92" s="7">
        <v>27.463654741481001</v>
      </c>
      <c r="X92" s="2">
        <v>0.74955322004851499</v>
      </c>
      <c r="Y92" s="7">
        <v>0.22551606381492201</v>
      </c>
      <c r="Z92" s="2">
        <v>0.39060528045039</v>
      </c>
      <c r="AA92" s="2">
        <v>213.271613970488</v>
      </c>
      <c r="AB92" s="2">
        <v>112.237898664933</v>
      </c>
      <c r="AC92" s="2">
        <v>75.076633727089103</v>
      </c>
      <c r="AD92" s="2">
        <v>9.4377188970716706</v>
      </c>
      <c r="AE92" s="2">
        <v>20.330212484690701</v>
      </c>
      <c r="AF92" s="2">
        <v>27.914685211308601</v>
      </c>
      <c r="AG92" s="2">
        <v>82.877504450624798</v>
      </c>
      <c r="AH92" s="2">
        <v>71.800057139463902</v>
      </c>
      <c r="AI92" s="2">
        <v>209.555730120231</v>
      </c>
      <c r="AJ92" s="2">
        <v>58.067299290477202</v>
      </c>
    </row>
    <row r="93" spans="1:36" ht="15.75" hidden="1" customHeight="1" x14ac:dyDescent="0.45">
      <c r="A93" s="2" t="s">
        <v>90</v>
      </c>
      <c r="B93" s="2" t="s">
        <v>91</v>
      </c>
      <c r="C93" s="2">
        <v>0.1</v>
      </c>
      <c r="D93" s="2" t="s">
        <v>83</v>
      </c>
      <c r="E93" s="2" t="s">
        <v>84</v>
      </c>
      <c r="H93" s="2">
        <v>4.0000000000000001E-3</v>
      </c>
      <c r="I93" s="2">
        <v>0</v>
      </c>
      <c r="J93" s="2">
        <v>0</v>
      </c>
      <c r="K93" s="2">
        <v>31.9</v>
      </c>
      <c r="L93" s="2">
        <v>4.1159581036632797</v>
      </c>
      <c r="M93" s="2">
        <v>11.4858100974499</v>
      </c>
      <c r="N93" s="2">
        <v>1.8029225580663499</v>
      </c>
      <c r="O93" s="2">
        <v>0</v>
      </c>
      <c r="P93" s="2">
        <v>0</v>
      </c>
      <c r="Q93" s="2">
        <v>14.422634974261101</v>
      </c>
      <c r="R93" s="2">
        <v>6.06409902448965</v>
      </c>
      <c r="S93" s="2">
        <v>0.71074406774555499</v>
      </c>
      <c r="T93" s="2">
        <v>0.721519700763254</v>
      </c>
      <c r="U93" s="2">
        <v>8.6068211722877699</v>
      </c>
      <c r="V93" s="2">
        <v>1.2105133794743901</v>
      </c>
      <c r="W93" s="7">
        <v>13.784518552070701</v>
      </c>
      <c r="X93" s="2">
        <v>1.7782508652098501</v>
      </c>
      <c r="Y93" s="7">
        <v>0</v>
      </c>
      <c r="Z93" s="2">
        <v>0</v>
      </c>
      <c r="AA93" s="2">
        <v>305.57677499954701</v>
      </c>
      <c r="AB93" s="2">
        <v>88.946329042028296</v>
      </c>
      <c r="AC93" s="2">
        <v>75.002374737591694</v>
      </c>
      <c r="AD93" s="2">
        <v>10.5339726101737</v>
      </c>
      <c r="AE93" s="2">
        <v>0</v>
      </c>
      <c r="AF93" s="2">
        <v>0</v>
      </c>
      <c r="AG93" s="2">
        <v>78.617109835866799</v>
      </c>
      <c r="AH93" s="2">
        <v>86.679775219764096</v>
      </c>
      <c r="AI93" s="2">
        <v>275.93901663998997</v>
      </c>
      <c r="AJ93" s="2">
        <v>115.972876578588</v>
      </c>
    </row>
    <row r="94" spans="1:36" ht="15.75" hidden="1" customHeight="1" x14ac:dyDescent="0.45">
      <c r="A94" s="2" t="s">
        <v>90</v>
      </c>
      <c r="B94" s="2" t="s">
        <v>91</v>
      </c>
      <c r="C94" s="2">
        <v>0.3</v>
      </c>
      <c r="D94" s="2" t="s">
        <v>83</v>
      </c>
      <c r="E94" s="2" t="s">
        <v>84</v>
      </c>
      <c r="H94" s="2">
        <v>4.0000000000000001E-3</v>
      </c>
      <c r="I94" s="2">
        <v>0</v>
      </c>
      <c r="J94" s="2">
        <v>0</v>
      </c>
      <c r="K94" s="2">
        <v>15.0888888888888</v>
      </c>
      <c r="L94" s="2">
        <v>0.94359438869161605</v>
      </c>
      <c r="M94" s="2">
        <v>6.3330050869355503</v>
      </c>
      <c r="N94" s="2">
        <v>0.41860803791024698</v>
      </c>
      <c r="O94" s="2">
        <v>0</v>
      </c>
      <c r="P94" s="2">
        <v>0</v>
      </c>
      <c r="Q94" s="2">
        <v>21.618930748249898</v>
      </c>
      <c r="R94" s="2">
        <v>4.2363138499486004</v>
      </c>
      <c r="S94" s="2">
        <v>0</v>
      </c>
      <c r="T94" s="2">
        <v>0</v>
      </c>
      <c r="U94" s="2">
        <v>9.3347146776066605</v>
      </c>
      <c r="V94" s="2">
        <v>2.0418707848512598</v>
      </c>
      <c r="W94" s="7">
        <v>6.5170764587747501</v>
      </c>
      <c r="X94" s="2">
        <v>0.30588026875083002</v>
      </c>
      <c r="Y94" s="7">
        <v>0</v>
      </c>
      <c r="Z94" s="2">
        <v>0</v>
      </c>
      <c r="AA94" s="2">
        <v>472.528368260555</v>
      </c>
      <c r="AB94" s="2">
        <v>95.6815766480875</v>
      </c>
      <c r="AC94" s="2">
        <v>41.390685964350702</v>
      </c>
      <c r="AD94" s="2">
        <v>1.43705017073263</v>
      </c>
      <c r="AE94" s="2">
        <v>0</v>
      </c>
      <c r="AF94" s="2">
        <v>0</v>
      </c>
      <c r="AG94" s="2">
        <v>0</v>
      </c>
      <c r="AH94" s="2">
        <v>0</v>
      </c>
      <c r="AI94" s="2">
        <v>282.97019239586501</v>
      </c>
      <c r="AJ94" s="2">
        <v>38.853676122034102</v>
      </c>
    </row>
    <row r="95" spans="1:36" ht="15.75" hidden="1" customHeight="1" x14ac:dyDescent="0.45">
      <c r="A95" s="2" t="s">
        <v>90</v>
      </c>
      <c r="B95" s="2" t="s">
        <v>91</v>
      </c>
      <c r="C95" s="2">
        <v>1</v>
      </c>
      <c r="D95" s="2" t="s">
        <v>83</v>
      </c>
      <c r="E95" s="2" t="s">
        <v>84</v>
      </c>
      <c r="H95" s="2">
        <v>4.0000000000000001E-3</v>
      </c>
      <c r="I95" s="2">
        <v>0</v>
      </c>
      <c r="J95" s="2">
        <v>0</v>
      </c>
      <c r="K95" s="2">
        <v>12.0833333333333</v>
      </c>
      <c r="L95" s="2">
        <v>2.28369826767412</v>
      </c>
      <c r="M95" s="2">
        <v>5.3671352132000001</v>
      </c>
      <c r="N95" s="2">
        <v>2.6575815802020499</v>
      </c>
      <c r="O95" s="2">
        <v>0</v>
      </c>
      <c r="P95" s="2">
        <v>0</v>
      </c>
      <c r="Q95" s="2">
        <v>25.204009791972201</v>
      </c>
      <c r="R95" s="2">
        <v>4.7186943887455</v>
      </c>
      <c r="S95" s="2">
        <v>1.4814814814722199</v>
      </c>
      <c r="T95" s="2">
        <v>1.3981174880002201</v>
      </c>
      <c r="U95" s="2">
        <v>8.8542025272194405</v>
      </c>
      <c r="V95" s="2">
        <v>1.65011477394657</v>
      </c>
      <c r="W95" s="7">
        <v>5.2313123975429603</v>
      </c>
      <c r="X95" s="2">
        <v>1.05241063366065</v>
      </c>
      <c r="Y95" s="7">
        <v>0</v>
      </c>
      <c r="Z95" s="2">
        <v>0</v>
      </c>
      <c r="AA95" s="2">
        <v>545.63593434171901</v>
      </c>
      <c r="AB95" s="2">
        <v>21.1715387481186</v>
      </c>
      <c r="AC95" s="2">
        <v>35.446181131437797</v>
      </c>
      <c r="AD95" s="2">
        <v>18.541228761226101</v>
      </c>
      <c r="AE95" s="2">
        <v>0</v>
      </c>
      <c r="AF95" s="2">
        <v>0</v>
      </c>
      <c r="AG95" s="2">
        <v>152.37590274344601</v>
      </c>
      <c r="AH95" s="2">
        <v>135.404367286302</v>
      </c>
      <c r="AI95" s="2">
        <v>268.48640843425602</v>
      </c>
      <c r="AJ95" s="2">
        <v>27.856152771579701</v>
      </c>
    </row>
    <row r="96" spans="1:36" ht="15.75" hidden="1" customHeight="1" x14ac:dyDescent="0.45">
      <c r="A96" s="2" t="s">
        <v>90</v>
      </c>
      <c r="B96" s="2" t="s">
        <v>91</v>
      </c>
      <c r="C96" s="2">
        <v>3</v>
      </c>
      <c r="D96" s="2" t="s">
        <v>83</v>
      </c>
      <c r="E96" s="2" t="s">
        <v>84</v>
      </c>
      <c r="H96" s="2">
        <v>4.0000000000000001E-3</v>
      </c>
      <c r="I96" s="2">
        <v>0.21505376343999999</v>
      </c>
      <c r="J96" s="2">
        <v>0.37248404463697798</v>
      </c>
      <c r="K96" s="2">
        <v>14.9333333333333</v>
      </c>
      <c r="L96" s="2">
        <v>2.6633312473917701</v>
      </c>
      <c r="M96" s="2">
        <v>2.7760689602733302</v>
      </c>
      <c r="N96" s="2">
        <v>0.88785130693376102</v>
      </c>
      <c r="O96" s="2">
        <v>0.21505376343999999</v>
      </c>
      <c r="P96" s="2">
        <v>0.37248404463697798</v>
      </c>
      <c r="Q96" s="2">
        <v>27.2981883132333</v>
      </c>
      <c r="R96" s="2">
        <v>7.43453862854577</v>
      </c>
      <c r="S96" s="2">
        <v>0</v>
      </c>
      <c r="T96" s="2">
        <v>0</v>
      </c>
      <c r="U96" s="2">
        <v>6.0534970803833303</v>
      </c>
      <c r="V96" s="2">
        <v>4.5197990784947102</v>
      </c>
      <c r="W96" s="7">
        <v>6.4348574776901604</v>
      </c>
      <c r="X96" s="2">
        <v>0.98563151157128004</v>
      </c>
      <c r="Y96" s="7">
        <v>0.60380107408692496</v>
      </c>
      <c r="Z96" s="2">
        <v>1.04581413798321</v>
      </c>
      <c r="AA96" s="2">
        <v>607.20189957752598</v>
      </c>
      <c r="AB96" s="2">
        <v>225.69209238974699</v>
      </c>
      <c r="AC96" s="2">
        <v>17.931142565245601</v>
      </c>
      <c r="AD96" s="2">
        <v>4.6517542877892302</v>
      </c>
      <c r="AE96" s="2">
        <v>7.8835149242287903</v>
      </c>
      <c r="AF96" s="2">
        <v>13.654648390991699</v>
      </c>
      <c r="AG96" s="2">
        <v>0</v>
      </c>
      <c r="AH96" s="2">
        <v>0</v>
      </c>
      <c r="AI96" s="2">
        <v>213.559176106444</v>
      </c>
      <c r="AJ96" s="2">
        <v>206.92268498276499</v>
      </c>
    </row>
    <row r="97" spans="1:36" ht="15.75" hidden="1" customHeight="1" x14ac:dyDescent="0.45">
      <c r="A97" s="2" t="s">
        <v>90</v>
      </c>
      <c r="B97" s="2" t="s">
        <v>91</v>
      </c>
      <c r="C97" s="2">
        <v>10</v>
      </c>
      <c r="D97" s="2" t="s">
        <v>83</v>
      </c>
      <c r="E97" s="2" t="s">
        <v>84</v>
      </c>
      <c r="H97" s="2">
        <v>4.0000000000000001E-3</v>
      </c>
      <c r="I97" s="2">
        <v>0.18518518518666599</v>
      </c>
      <c r="J97" s="2">
        <v>0.32075014955235798</v>
      </c>
      <c r="K97" s="2">
        <v>35.033333333333303</v>
      </c>
      <c r="L97" s="2">
        <v>10.1742048556358</v>
      </c>
      <c r="M97" s="2">
        <v>0.65824432754111095</v>
      </c>
      <c r="N97" s="2">
        <v>0.172811145863417</v>
      </c>
      <c r="O97" s="2">
        <v>0</v>
      </c>
      <c r="P97" s="2">
        <v>0</v>
      </c>
      <c r="Q97" s="2">
        <v>33.030849235188803</v>
      </c>
      <c r="R97" s="2">
        <v>11.8846479473836</v>
      </c>
      <c r="S97" s="2">
        <v>0</v>
      </c>
      <c r="T97" s="2">
        <v>0</v>
      </c>
      <c r="U97" s="2">
        <v>6.55170482963333</v>
      </c>
      <c r="V97" s="2">
        <v>4.07550212637247</v>
      </c>
      <c r="W97" s="7">
        <v>15.062635662991299</v>
      </c>
      <c r="X97" s="2">
        <v>3.98454564508453</v>
      </c>
      <c r="Y97" s="7">
        <v>0.58737750092848395</v>
      </c>
      <c r="Z97" s="2">
        <v>1.0173676748309699</v>
      </c>
      <c r="AA97" s="2">
        <v>731.79898860018795</v>
      </c>
      <c r="AB97" s="2">
        <v>324.777208632716</v>
      </c>
      <c r="AC97" s="2">
        <v>4.2716788263377401</v>
      </c>
      <c r="AD97" s="2">
        <v>0.88539714377189205</v>
      </c>
      <c r="AE97" s="2">
        <v>0</v>
      </c>
      <c r="AF97" s="2">
        <v>0</v>
      </c>
      <c r="AG97" s="2">
        <v>0</v>
      </c>
      <c r="AH97" s="2">
        <v>0</v>
      </c>
      <c r="AI97" s="2">
        <v>226.927481476438</v>
      </c>
      <c r="AJ97" s="2">
        <v>200.57320992754501</v>
      </c>
    </row>
    <row r="98" spans="1:36" ht="15.75" hidden="1" customHeight="1" x14ac:dyDescent="0.45">
      <c r="A98" s="2" t="s">
        <v>90</v>
      </c>
      <c r="B98" s="2" t="s">
        <v>91</v>
      </c>
      <c r="C98" s="2">
        <v>3.0000000000000001E-3</v>
      </c>
      <c r="D98" s="2" t="s">
        <v>83</v>
      </c>
      <c r="E98" s="2" t="s">
        <v>84</v>
      </c>
      <c r="H98" s="2">
        <v>0.05</v>
      </c>
      <c r="I98" s="2">
        <v>2.3541410547303401</v>
      </c>
      <c r="J98" s="2">
        <v>0.50012702614024096</v>
      </c>
      <c r="K98" s="2">
        <v>231.56349206349199</v>
      </c>
      <c r="L98" s="2">
        <v>16.797822943201499</v>
      </c>
      <c r="M98" s="2">
        <v>17.3454408093063</v>
      </c>
      <c r="N98" s="2">
        <v>2.3304709618614901</v>
      </c>
      <c r="O98" s="2">
        <v>27.5327002705952</v>
      </c>
      <c r="P98" s="2">
        <v>1.78424367320778</v>
      </c>
      <c r="Q98" s="2">
        <v>2.8886966778278298</v>
      </c>
      <c r="R98" s="2">
        <v>0.75920024455190505</v>
      </c>
      <c r="S98" s="2">
        <v>0.16990364283888801</v>
      </c>
      <c r="T98" s="2">
        <v>0.108917175060205</v>
      </c>
      <c r="U98" s="2">
        <v>4.6772068033965599</v>
      </c>
      <c r="V98" s="2">
        <v>0.462549383767065</v>
      </c>
      <c r="W98" s="7">
        <v>91.053077383798097</v>
      </c>
      <c r="X98" s="2">
        <v>12.510855119950801</v>
      </c>
      <c r="Y98" s="7">
        <v>122.59784508960701</v>
      </c>
      <c r="Z98" s="2">
        <v>17.647822055972899</v>
      </c>
      <c r="AA98" s="2">
        <v>101.259250270591</v>
      </c>
      <c r="AB98" s="2">
        <v>25.401983804080999</v>
      </c>
      <c r="AC98" s="2">
        <v>95.682808116560494</v>
      </c>
      <c r="AD98" s="2">
        <v>9.6349704778885403</v>
      </c>
      <c r="AE98" s="2">
        <v>85.8096747838364</v>
      </c>
      <c r="AF98" s="2">
        <v>11.4694349106631</v>
      </c>
      <c r="AG98" s="2">
        <v>39.5167070687041</v>
      </c>
      <c r="AH98" s="2">
        <v>28.528193854184501</v>
      </c>
      <c r="AI98" s="2">
        <v>109.169163572228</v>
      </c>
      <c r="AJ98" s="2">
        <v>15.727727402237999</v>
      </c>
    </row>
    <row r="99" spans="1:36" ht="15.75" hidden="1" customHeight="1" x14ac:dyDescent="0.45">
      <c r="A99" s="2" t="s">
        <v>90</v>
      </c>
      <c r="B99" s="2" t="s">
        <v>91</v>
      </c>
      <c r="C99" s="2">
        <v>0.01</v>
      </c>
      <c r="D99" s="2" t="s">
        <v>83</v>
      </c>
      <c r="E99" s="2" t="s">
        <v>84</v>
      </c>
      <c r="H99" s="2">
        <v>0.05</v>
      </c>
      <c r="I99" s="2">
        <v>2.4137713928972202</v>
      </c>
      <c r="J99" s="2">
        <v>1.73839111494688</v>
      </c>
      <c r="K99" s="2">
        <v>197.444444444444</v>
      </c>
      <c r="L99" s="2">
        <v>26.608965350742999</v>
      </c>
      <c r="M99" s="2">
        <v>18.448370103351799</v>
      </c>
      <c r="N99" s="2">
        <v>0.85199273721889301</v>
      </c>
      <c r="O99" s="2">
        <v>22.594901135925902</v>
      </c>
      <c r="P99" s="2">
        <v>0.59646574271365704</v>
      </c>
      <c r="Q99" s="2">
        <v>3.4977050164796202</v>
      </c>
      <c r="R99" s="2">
        <v>0.310480052956221</v>
      </c>
      <c r="S99" s="2">
        <v>0.20774775502036999</v>
      </c>
      <c r="T99" s="2">
        <v>0.11859703674612999</v>
      </c>
      <c r="U99" s="2">
        <v>4.8272342745888803</v>
      </c>
      <c r="V99" s="2">
        <v>0.62104008687697998</v>
      </c>
      <c r="W99" s="7">
        <v>77.072402179197795</v>
      </c>
      <c r="X99" s="2">
        <v>7.2499085526992104</v>
      </c>
      <c r="Y99" s="7">
        <v>156.25530529688001</v>
      </c>
      <c r="Z99" s="2">
        <v>164.86543504284199</v>
      </c>
      <c r="AA99" s="2">
        <v>123.069512350043</v>
      </c>
      <c r="AB99" s="2">
        <v>12.939617859514099</v>
      </c>
      <c r="AC99" s="2">
        <v>102.085042409313</v>
      </c>
      <c r="AD99" s="2">
        <v>5.4059922195313002</v>
      </c>
      <c r="AE99" s="2">
        <v>70.155305400690807</v>
      </c>
      <c r="AF99" s="2">
        <v>4.4048067043514099</v>
      </c>
      <c r="AG99" s="2">
        <v>48.858543548789598</v>
      </c>
      <c r="AH99" s="2">
        <v>34.4809780852326</v>
      </c>
      <c r="AI99" s="2">
        <v>111.84625836388101</v>
      </c>
      <c r="AJ99" s="2">
        <v>8.5114564508441095</v>
      </c>
    </row>
    <row r="100" spans="1:36" ht="15.75" hidden="1" customHeight="1" x14ac:dyDescent="0.45">
      <c r="A100" s="2" t="s">
        <v>90</v>
      </c>
      <c r="B100" s="2" t="s">
        <v>91</v>
      </c>
      <c r="C100" s="2">
        <v>0.03</v>
      </c>
      <c r="D100" s="2" t="s">
        <v>83</v>
      </c>
      <c r="E100" s="2" t="s">
        <v>84</v>
      </c>
      <c r="H100" s="2">
        <v>0.05</v>
      </c>
      <c r="I100" s="2">
        <v>1.64121596120989</v>
      </c>
      <c r="J100" s="2">
        <v>0.57233822729014605</v>
      </c>
      <c r="K100" s="2">
        <v>151.608465608465</v>
      </c>
      <c r="L100" s="2">
        <v>22.5848771877248</v>
      </c>
      <c r="M100" s="2">
        <v>18.534000871820101</v>
      </c>
      <c r="N100" s="2">
        <v>0.37627653023574198</v>
      </c>
      <c r="O100" s="2">
        <v>11.221920081093099</v>
      </c>
      <c r="P100" s="2">
        <v>3.0285481389578899</v>
      </c>
      <c r="Q100" s="2">
        <v>2.82904639324761</v>
      </c>
      <c r="R100" s="2">
        <v>0.34422620265380799</v>
      </c>
      <c r="S100" s="2">
        <v>0.24882570759148101</v>
      </c>
      <c r="T100" s="2">
        <v>0.15608880684015899</v>
      </c>
      <c r="U100" s="2">
        <v>4.6981840959777701</v>
      </c>
      <c r="V100" s="2">
        <v>0.233483847610056</v>
      </c>
      <c r="W100" s="7">
        <v>59.9651563179196</v>
      </c>
      <c r="X100" s="2">
        <v>13.631700272774699</v>
      </c>
      <c r="Y100" s="7">
        <v>82.308118664597202</v>
      </c>
      <c r="Z100" s="2">
        <v>5.5091866668251201</v>
      </c>
      <c r="AA100" s="2">
        <v>99.359544928191298</v>
      </c>
      <c r="AB100" s="2">
        <v>11.330164185170799</v>
      </c>
      <c r="AC100" s="2">
        <v>102.535535865155</v>
      </c>
      <c r="AD100" s="2">
        <v>2.27278609279817</v>
      </c>
      <c r="AE100" s="2">
        <v>34.872660824279997</v>
      </c>
      <c r="AF100" s="2">
        <v>10.1588512684883</v>
      </c>
      <c r="AG100" s="2">
        <v>64.280115069700102</v>
      </c>
      <c r="AH100" s="2">
        <v>61.2345050144271</v>
      </c>
      <c r="AI100" s="2">
        <v>109.725850001853</v>
      </c>
      <c r="AJ100" s="2">
        <v>13.596535458997799</v>
      </c>
    </row>
    <row r="101" spans="1:36" ht="15.75" hidden="1" customHeight="1" x14ac:dyDescent="0.45">
      <c r="A101" s="2" t="s">
        <v>90</v>
      </c>
      <c r="B101" s="2" t="s">
        <v>91</v>
      </c>
      <c r="C101" s="2">
        <v>0.1</v>
      </c>
      <c r="D101" s="2" t="s">
        <v>83</v>
      </c>
      <c r="E101" s="2" t="s">
        <v>84</v>
      </c>
      <c r="H101" s="2">
        <v>0.05</v>
      </c>
      <c r="I101" s="2">
        <v>8.0610021785185101E-2</v>
      </c>
      <c r="J101" s="2">
        <v>7.0495379899971899E-2</v>
      </c>
      <c r="K101" s="2">
        <v>96.731481481481396</v>
      </c>
      <c r="L101" s="2">
        <v>4.8317632613768504</v>
      </c>
      <c r="M101" s="2">
        <v>21.336166350685101</v>
      </c>
      <c r="N101" s="2">
        <v>2.1390265823693499</v>
      </c>
      <c r="O101" s="2">
        <v>0.40223530928351803</v>
      </c>
      <c r="P101" s="2">
        <v>0.40234963293562997</v>
      </c>
      <c r="Q101" s="2">
        <v>2.0146247885014801</v>
      </c>
      <c r="R101" s="2">
        <v>0.95596660240119102</v>
      </c>
      <c r="S101" s="2">
        <v>0.54872911843036998</v>
      </c>
      <c r="T101" s="2">
        <v>0.47172064449706502</v>
      </c>
      <c r="U101" s="2">
        <v>3.03686934761796</v>
      </c>
      <c r="V101" s="2">
        <v>0.21854581603035</v>
      </c>
      <c r="W101" s="7">
        <v>38.019838264769199</v>
      </c>
      <c r="X101" s="2">
        <v>4.4253685563843899</v>
      </c>
      <c r="Y101" s="7">
        <v>5.0328474734124899</v>
      </c>
      <c r="Z101" s="2">
        <v>5.2547834086018002</v>
      </c>
      <c r="AA101" s="2">
        <v>70.224930777110004</v>
      </c>
      <c r="AB101" s="2">
        <v>31.3264681624145</v>
      </c>
      <c r="AC101" s="2">
        <v>118.374083920487</v>
      </c>
      <c r="AD101" s="2">
        <v>16.4037035014642</v>
      </c>
      <c r="AE101" s="2">
        <v>1.1902035834156299</v>
      </c>
      <c r="AF101" s="2">
        <v>1.1155754949374099</v>
      </c>
      <c r="AG101" s="2">
        <v>99.855388913891602</v>
      </c>
      <c r="AH101" s="2">
        <v>63.7621918422685</v>
      </c>
      <c r="AI101" s="2">
        <v>70.528684435457606</v>
      </c>
      <c r="AJ101" s="2">
        <v>1.6884223320129199</v>
      </c>
    </row>
    <row r="102" spans="1:36" ht="15.75" hidden="1" customHeight="1" x14ac:dyDescent="0.45">
      <c r="A102" s="2" t="s">
        <v>90</v>
      </c>
      <c r="B102" s="2" t="s">
        <v>91</v>
      </c>
      <c r="C102" s="2">
        <v>0.3</v>
      </c>
      <c r="D102" s="2" t="s">
        <v>83</v>
      </c>
      <c r="E102" s="2" t="s">
        <v>84</v>
      </c>
      <c r="H102" s="2">
        <v>0.05</v>
      </c>
      <c r="I102" s="2">
        <v>0</v>
      </c>
      <c r="J102" s="2">
        <v>0</v>
      </c>
      <c r="K102" s="2">
        <v>44.629629629629598</v>
      </c>
      <c r="L102" s="2">
        <v>7.6286463318184401</v>
      </c>
      <c r="M102" s="2">
        <v>9.3100054481865708</v>
      </c>
      <c r="N102" s="2">
        <v>0.95237559670295102</v>
      </c>
      <c r="O102" s="2">
        <v>0</v>
      </c>
      <c r="P102" s="2">
        <v>0</v>
      </c>
      <c r="Q102" s="2">
        <v>5.75573255649351</v>
      </c>
      <c r="R102" s="2">
        <v>1.8764744501605699</v>
      </c>
      <c r="S102" s="2">
        <v>0.28015194681759198</v>
      </c>
      <c r="T102" s="2">
        <v>0.30739071736073698</v>
      </c>
      <c r="U102" s="2">
        <v>6.2197268805569399</v>
      </c>
      <c r="V102" s="2">
        <v>0.15038240130532199</v>
      </c>
      <c r="W102" s="7">
        <v>17.614937219631301</v>
      </c>
      <c r="X102" s="2">
        <v>4.1696468656370298</v>
      </c>
      <c r="Y102" s="7">
        <v>0</v>
      </c>
      <c r="Z102" s="2">
        <v>0</v>
      </c>
      <c r="AA102" s="2">
        <v>202.46363047141</v>
      </c>
      <c r="AB102" s="2">
        <v>67.7258285763168</v>
      </c>
      <c r="AC102" s="2">
        <v>51.594632333525603</v>
      </c>
      <c r="AD102" s="2">
        <v>6.3782571028599397</v>
      </c>
      <c r="AE102" s="2">
        <v>0</v>
      </c>
      <c r="AF102" s="2">
        <v>0</v>
      </c>
      <c r="AG102" s="2">
        <v>66.923209336806394</v>
      </c>
      <c r="AH102" s="2">
        <v>61.649793047100196</v>
      </c>
      <c r="AI102" s="2">
        <v>145.02572157273599</v>
      </c>
      <c r="AJ102" s="2">
        <v>12.859363615561399</v>
      </c>
    </row>
    <row r="103" spans="1:36" ht="15.75" hidden="1" customHeight="1" x14ac:dyDescent="0.45">
      <c r="A103" s="2" t="s">
        <v>90</v>
      </c>
      <c r="B103" s="2" t="s">
        <v>91</v>
      </c>
      <c r="C103" s="2">
        <v>10</v>
      </c>
      <c r="D103" s="2" t="s">
        <v>83</v>
      </c>
      <c r="E103" s="2" t="s">
        <v>84</v>
      </c>
      <c r="H103" s="2">
        <v>0.05</v>
      </c>
      <c r="I103" s="2">
        <v>6.4302420893037002</v>
      </c>
      <c r="J103" s="2">
        <v>11.1375060036418</v>
      </c>
      <c r="K103" s="2">
        <v>32.253968253968203</v>
      </c>
      <c r="L103" s="2">
        <v>4.67548567410247</v>
      </c>
      <c r="M103" s="2">
        <v>0.74154240821349204</v>
      </c>
      <c r="N103" s="2">
        <v>0.19464544109630899</v>
      </c>
      <c r="O103" s="2">
        <v>0</v>
      </c>
      <c r="P103" s="2">
        <v>0</v>
      </c>
      <c r="Q103" s="2">
        <v>23.348809099652101</v>
      </c>
      <c r="R103" s="2">
        <v>2.40418419546809</v>
      </c>
      <c r="S103" s="2">
        <v>0</v>
      </c>
      <c r="T103" s="2">
        <v>0</v>
      </c>
      <c r="U103" s="2">
        <v>5.6054337370482701</v>
      </c>
      <c r="V103" s="2">
        <v>0.73229502110002598</v>
      </c>
      <c r="W103" s="7">
        <v>12.7494811454348</v>
      </c>
      <c r="X103" s="2">
        <v>2.8377641742213302</v>
      </c>
      <c r="Y103" s="7">
        <v>267.02453658529498</v>
      </c>
      <c r="Z103" s="2">
        <v>462.50006423326602</v>
      </c>
      <c r="AA103" s="2">
        <v>821.88797002020499</v>
      </c>
      <c r="AB103" s="2">
        <v>100.208851659948</v>
      </c>
      <c r="AC103" s="2">
        <v>4.0987361913657097</v>
      </c>
      <c r="AD103" s="2">
        <v>1.0338476363028599</v>
      </c>
      <c r="AE103" s="2">
        <v>0</v>
      </c>
      <c r="AF103" s="2">
        <v>0</v>
      </c>
      <c r="AG103" s="2">
        <v>0</v>
      </c>
      <c r="AH103" s="2">
        <v>0</v>
      </c>
      <c r="AI103" s="2">
        <v>131.42817155395801</v>
      </c>
      <c r="AJ103" s="2">
        <v>27.376513935958599</v>
      </c>
    </row>
    <row r="104" spans="1:36" ht="15.75" hidden="1" customHeight="1" x14ac:dyDescent="0.45">
      <c r="A104" s="2" t="s">
        <v>90</v>
      </c>
      <c r="B104" s="2" t="s">
        <v>91</v>
      </c>
      <c r="C104" s="2">
        <v>1</v>
      </c>
      <c r="D104" s="2" t="s">
        <v>83</v>
      </c>
      <c r="E104" s="2" t="s">
        <v>84</v>
      </c>
      <c r="H104" s="2">
        <v>0.05</v>
      </c>
      <c r="I104" s="2">
        <v>0</v>
      </c>
      <c r="J104" s="2">
        <v>0</v>
      </c>
      <c r="K104" s="2">
        <v>10.7222222222222</v>
      </c>
      <c r="L104" s="2">
        <v>1.6201280242051199</v>
      </c>
      <c r="M104" s="2">
        <v>8.6682299182033304</v>
      </c>
      <c r="N104" s="2">
        <v>7.97746555037362</v>
      </c>
      <c r="O104" s="2">
        <v>0</v>
      </c>
      <c r="P104" s="2">
        <v>0</v>
      </c>
      <c r="Q104" s="2">
        <v>20.638898138883299</v>
      </c>
      <c r="R104" s="2">
        <v>8.51574566440304</v>
      </c>
      <c r="S104" s="2">
        <v>0</v>
      </c>
      <c r="T104" s="2">
        <v>0</v>
      </c>
      <c r="U104" s="2">
        <v>7.7239612240055502</v>
      </c>
      <c r="V104" s="2">
        <v>3.1984679530951099</v>
      </c>
      <c r="W104" s="7">
        <v>4.2415091851107398</v>
      </c>
      <c r="X104" s="2">
        <v>0.97306500955815201</v>
      </c>
      <c r="Y104" s="7">
        <v>0</v>
      </c>
      <c r="Z104" s="2">
        <v>0</v>
      </c>
      <c r="AA104" s="2">
        <v>720.41078558433799</v>
      </c>
      <c r="AB104" s="2">
        <v>278.522249827633</v>
      </c>
      <c r="AC104" s="2">
        <v>48.958428850198999</v>
      </c>
      <c r="AD104" s="2">
        <v>45.778076803220102</v>
      </c>
      <c r="AE104" s="2">
        <v>0</v>
      </c>
      <c r="AF104" s="2">
        <v>0</v>
      </c>
      <c r="AG104" s="2">
        <v>0</v>
      </c>
      <c r="AH104" s="2">
        <v>0</v>
      </c>
      <c r="AI104" s="2">
        <v>183.78020372450601</v>
      </c>
      <c r="AJ104" s="2">
        <v>86.147590809392</v>
      </c>
    </row>
    <row r="105" spans="1:36" ht="15.75" hidden="1" customHeight="1" x14ac:dyDescent="0.45">
      <c r="A105" s="2" t="s">
        <v>90</v>
      </c>
      <c r="B105" s="2" t="s">
        <v>91</v>
      </c>
      <c r="C105" s="2">
        <v>3</v>
      </c>
      <c r="D105" s="2" t="s">
        <v>83</v>
      </c>
      <c r="E105" s="2" t="s">
        <v>84</v>
      </c>
      <c r="H105" s="2">
        <v>0.05</v>
      </c>
      <c r="I105" s="2">
        <v>0</v>
      </c>
      <c r="J105" s="2">
        <v>0</v>
      </c>
      <c r="K105" s="2">
        <v>10.125</v>
      </c>
      <c r="L105" s="2">
        <v>0.17677669529663601</v>
      </c>
      <c r="M105" s="2">
        <v>6.3030303029874997</v>
      </c>
      <c r="N105" s="2">
        <v>6.0854038137873303</v>
      </c>
      <c r="O105" s="2">
        <v>0</v>
      </c>
      <c r="P105" s="2">
        <v>0</v>
      </c>
      <c r="Q105" s="2">
        <v>24.616522366649999</v>
      </c>
      <c r="R105" s="2">
        <v>7.1562675465489596</v>
      </c>
      <c r="S105" s="2">
        <v>0</v>
      </c>
      <c r="T105" s="2">
        <v>0</v>
      </c>
      <c r="U105" s="2">
        <v>10.30591630594</v>
      </c>
      <c r="V105" s="2">
        <v>2.4529360778148299</v>
      </c>
      <c r="W105" s="7">
        <v>3.9443395538920099</v>
      </c>
      <c r="X105" s="2">
        <v>0.52537070237461503</v>
      </c>
      <c r="Y105" s="7">
        <v>0</v>
      </c>
      <c r="Z105" s="2">
        <v>0</v>
      </c>
      <c r="AA105" s="2">
        <v>879.54638453325902</v>
      </c>
      <c r="AB105" s="2">
        <v>260.868426823091</v>
      </c>
      <c r="AC105" s="2">
        <v>34.690895291571998</v>
      </c>
      <c r="AD105" s="2">
        <v>32.722313589391597</v>
      </c>
      <c r="AE105" s="2">
        <v>0</v>
      </c>
      <c r="AF105" s="2">
        <v>0</v>
      </c>
      <c r="AG105" s="2">
        <v>0</v>
      </c>
      <c r="AH105" s="2">
        <v>0</v>
      </c>
      <c r="AI105" s="2">
        <v>252.44508709952399</v>
      </c>
      <c r="AJ105" s="2">
        <v>80.506827894175402</v>
      </c>
    </row>
    <row r="106" spans="1:36" ht="15.75" customHeight="1" x14ac:dyDescent="0.45">
      <c r="A106" s="2" t="s">
        <v>90</v>
      </c>
      <c r="B106" s="2" t="s">
        <v>91</v>
      </c>
      <c r="C106" s="2">
        <v>3.0000000000000001E-3</v>
      </c>
      <c r="D106" s="2" t="s">
        <v>85</v>
      </c>
      <c r="E106" s="2" t="s">
        <v>84</v>
      </c>
      <c r="F106" s="2" t="s">
        <v>86</v>
      </c>
      <c r="G106" s="2">
        <v>3539</v>
      </c>
      <c r="H106" s="2">
        <v>0.1</v>
      </c>
      <c r="I106" s="2">
        <v>0</v>
      </c>
      <c r="J106" s="2">
        <v>0</v>
      </c>
      <c r="K106" s="2">
        <v>113.2</v>
      </c>
      <c r="L106" s="2">
        <v>12.301219451745199</v>
      </c>
      <c r="M106" s="2">
        <v>0.34474336803177702</v>
      </c>
      <c r="N106" s="2">
        <v>0.223190593950581</v>
      </c>
      <c r="O106" s="2">
        <v>0</v>
      </c>
      <c r="P106" s="2">
        <v>0</v>
      </c>
      <c r="Q106" s="2">
        <v>2.8443563664577698</v>
      </c>
      <c r="R106" s="2">
        <v>0.60590467358387501</v>
      </c>
      <c r="S106" s="2">
        <v>0</v>
      </c>
      <c r="T106" s="2">
        <v>0</v>
      </c>
      <c r="U106" s="2">
        <v>1.3023160873120001</v>
      </c>
      <c r="V106" s="2">
        <v>0.479302029016553</v>
      </c>
      <c r="W106" s="7">
        <v>73.525863483866004</v>
      </c>
      <c r="X106" s="2">
        <v>10.6706257708767</v>
      </c>
      <c r="Y106" s="7">
        <v>0</v>
      </c>
      <c r="Z106" s="2">
        <v>0</v>
      </c>
      <c r="AA106" s="2">
        <v>39.5865691455339</v>
      </c>
      <c r="AB106" s="2">
        <v>17.5068739263323</v>
      </c>
      <c r="AC106" s="2">
        <v>191.75867474473401</v>
      </c>
      <c r="AD106" s="2">
        <v>203.35296967964101</v>
      </c>
      <c r="AE106" s="2">
        <v>0</v>
      </c>
      <c r="AF106" s="2">
        <v>0</v>
      </c>
      <c r="AG106" s="2">
        <v>0</v>
      </c>
      <c r="AH106" s="2">
        <v>0</v>
      </c>
      <c r="AI106" s="2">
        <v>356.466535648601</v>
      </c>
      <c r="AJ106" s="2">
        <v>184.63096453546001</v>
      </c>
    </row>
    <row r="107" spans="1:36" ht="15.75" customHeight="1" x14ac:dyDescent="0.45">
      <c r="A107" s="2" t="s">
        <v>90</v>
      </c>
      <c r="B107" s="2" t="s">
        <v>91</v>
      </c>
      <c r="C107" s="2">
        <v>0.01</v>
      </c>
      <c r="D107" s="2" t="s">
        <v>85</v>
      </c>
      <c r="E107" s="2" t="s">
        <v>84</v>
      </c>
      <c r="F107" s="2" t="s">
        <v>86</v>
      </c>
      <c r="G107" s="2">
        <v>3539</v>
      </c>
      <c r="H107" s="2">
        <v>0.1</v>
      </c>
      <c r="I107" s="2">
        <v>0</v>
      </c>
      <c r="J107" s="2">
        <v>0</v>
      </c>
      <c r="K107" s="2">
        <v>93.949999999999903</v>
      </c>
      <c r="L107" s="2">
        <v>6.7199330353804498</v>
      </c>
      <c r="M107" s="2">
        <v>0.26016218998999902</v>
      </c>
      <c r="N107" s="2">
        <v>0.26037341151390903</v>
      </c>
      <c r="O107" s="2">
        <v>0</v>
      </c>
      <c r="P107" s="2">
        <v>0</v>
      </c>
      <c r="Q107" s="2">
        <v>3.8486054092673299</v>
      </c>
      <c r="R107" s="2">
        <v>1.3742059246893901</v>
      </c>
      <c r="S107" s="2">
        <v>0</v>
      </c>
      <c r="T107" s="2">
        <v>0</v>
      </c>
      <c r="U107" s="2">
        <v>1.3260217854416601</v>
      </c>
      <c r="V107" s="2">
        <v>0.57970408395751805</v>
      </c>
      <c r="W107" s="7">
        <v>60.7768119591139</v>
      </c>
      <c r="X107" s="2">
        <v>3.1529010188834699</v>
      </c>
      <c r="Y107" s="7">
        <v>0</v>
      </c>
      <c r="Z107" s="2">
        <v>0</v>
      </c>
      <c r="AA107" s="2">
        <v>55.051354374381297</v>
      </c>
      <c r="AB107" s="2">
        <v>30.067343567913898</v>
      </c>
      <c r="AC107" s="2">
        <v>154.953278266295</v>
      </c>
      <c r="AD107" s="2">
        <v>206.38792376690199</v>
      </c>
      <c r="AE107" s="2">
        <v>0</v>
      </c>
      <c r="AF107" s="2">
        <v>0</v>
      </c>
      <c r="AG107" s="2">
        <v>0</v>
      </c>
      <c r="AH107" s="2">
        <v>0</v>
      </c>
      <c r="AI107" s="2">
        <v>365.290410257107</v>
      </c>
      <c r="AJ107" s="2">
        <v>208.37939989656499</v>
      </c>
    </row>
    <row r="108" spans="1:36" ht="15.75" customHeight="1" x14ac:dyDescent="0.45">
      <c r="A108" s="2" t="s">
        <v>90</v>
      </c>
      <c r="B108" s="2" t="s">
        <v>91</v>
      </c>
      <c r="C108" s="2">
        <v>0.03</v>
      </c>
      <c r="D108" s="2" t="s">
        <v>85</v>
      </c>
      <c r="E108" s="2" t="s">
        <v>84</v>
      </c>
      <c r="F108" s="2" t="s">
        <v>86</v>
      </c>
      <c r="G108" s="2">
        <v>3539</v>
      </c>
      <c r="H108" s="2">
        <v>0.1</v>
      </c>
      <c r="I108" s="2">
        <v>0.38986354775555498</v>
      </c>
      <c r="J108" s="2">
        <v>0.67526347273167697</v>
      </c>
      <c r="K108" s="2">
        <v>85.1388888888888</v>
      </c>
      <c r="L108" s="2">
        <v>16.8334020900685</v>
      </c>
      <c r="M108" s="2">
        <v>0.16439909297499999</v>
      </c>
      <c r="N108" s="2">
        <v>0.14262750142586</v>
      </c>
      <c r="O108" s="2">
        <v>0.37743167442499997</v>
      </c>
      <c r="P108" s="2">
        <v>0.45120980325943</v>
      </c>
      <c r="Q108" s="2">
        <v>4.6463966016680498</v>
      </c>
      <c r="R108" s="2">
        <v>1.91727901065636</v>
      </c>
      <c r="S108" s="2">
        <v>0</v>
      </c>
      <c r="T108" s="2">
        <v>0</v>
      </c>
      <c r="U108" s="2">
        <v>1.75884719560861</v>
      </c>
      <c r="V108" s="2">
        <v>1.0887999037431799</v>
      </c>
      <c r="W108" s="7">
        <v>55.243669077197303</v>
      </c>
      <c r="X108" s="2">
        <v>11.902258047675801</v>
      </c>
      <c r="Y108" s="7">
        <v>8.5913382825811002</v>
      </c>
      <c r="Z108" s="2">
        <v>14.880634410441999</v>
      </c>
      <c r="AA108" s="2">
        <v>57.687917424131101</v>
      </c>
      <c r="AB108" s="2">
        <v>9.2605841355365701</v>
      </c>
      <c r="AC108" s="2">
        <v>94.417277350850895</v>
      </c>
      <c r="AD108" s="2">
        <v>89.479471929028307</v>
      </c>
      <c r="AE108" s="2">
        <v>103.803579760224</v>
      </c>
      <c r="AF108" s="2">
        <v>96.049977388782906</v>
      </c>
      <c r="AG108" s="2">
        <v>0</v>
      </c>
      <c r="AH108" s="2">
        <v>0</v>
      </c>
      <c r="AI108" s="2">
        <v>419.59751269326102</v>
      </c>
      <c r="AJ108" s="2">
        <v>168.65646710806701</v>
      </c>
    </row>
    <row r="109" spans="1:36" ht="15.75" customHeight="1" x14ac:dyDescent="0.45">
      <c r="A109" s="2" t="s">
        <v>90</v>
      </c>
      <c r="B109" s="2" t="s">
        <v>91</v>
      </c>
      <c r="C109" s="2">
        <v>0.1</v>
      </c>
      <c r="D109" s="2" t="s">
        <v>85</v>
      </c>
      <c r="E109" s="2" t="s">
        <v>84</v>
      </c>
      <c r="F109" s="2" t="s">
        <v>86</v>
      </c>
      <c r="G109" s="2">
        <v>3539</v>
      </c>
      <c r="H109" s="2">
        <v>0.1</v>
      </c>
      <c r="I109" s="2">
        <v>5.3937432578333298E-2</v>
      </c>
      <c r="J109" s="2">
        <v>9.3422373655494106E-2</v>
      </c>
      <c r="K109" s="2">
        <v>91.1666666666666</v>
      </c>
      <c r="L109" s="2">
        <v>3.7527767497326399</v>
      </c>
      <c r="M109" s="2">
        <v>0.100303621774444</v>
      </c>
      <c r="N109" s="2">
        <v>8.7129465842867904E-2</v>
      </c>
      <c r="O109" s="2">
        <v>0</v>
      </c>
      <c r="P109" s="2">
        <v>0</v>
      </c>
      <c r="Q109" s="2">
        <v>2.6021490358611099</v>
      </c>
      <c r="R109" s="2">
        <v>0.33675173724865798</v>
      </c>
      <c r="S109" s="2">
        <v>5.2410901467777701E-2</v>
      </c>
      <c r="T109" s="2">
        <v>9.0778344212677303E-2</v>
      </c>
      <c r="U109" s="2">
        <v>1.0766892935500001</v>
      </c>
      <c r="V109" s="2">
        <v>0.66997682013679705</v>
      </c>
      <c r="W109" s="7">
        <v>59.036961352932302</v>
      </c>
      <c r="X109" s="2">
        <v>2.9648886083907202</v>
      </c>
      <c r="Y109" s="7">
        <v>1.2992935255893401</v>
      </c>
      <c r="Z109" s="2">
        <v>2.2504424002660302</v>
      </c>
      <c r="AA109" s="2">
        <v>34.549105232639299</v>
      </c>
      <c r="AB109" s="2">
        <v>9.6323028846037602</v>
      </c>
      <c r="AC109" s="2">
        <v>35.575116295512302</v>
      </c>
      <c r="AD109" s="2">
        <v>32.895929463322901</v>
      </c>
      <c r="AE109" s="2">
        <v>0</v>
      </c>
      <c r="AF109" s="2">
        <v>0</v>
      </c>
      <c r="AG109" s="2">
        <v>0</v>
      </c>
      <c r="AH109" s="2">
        <v>0</v>
      </c>
      <c r="AI109" s="2">
        <v>263.75998342933099</v>
      </c>
      <c r="AJ109" s="2">
        <v>152.716997735722</v>
      </c>
    </row>
    <row r="110" spans="1:36" ht="15.75" customHeight="1" x14ac:dyDescent="0.45">
      <c r="A110" s="2" t="s">
        <v>90</v>
      </c>
      <c r="B110" s="2" t="s">
        <v>91</v>
      </c>
      <c r="C110" s="2">
        <v>0.3</v>
      </c>
      <c r="D110" s="2" t="s">
        <v>85</v>
      </c>
      <c r="E110" s="2" t="s">
        <v>84</v>
      </c>
      <c r="F110" s="2" t="s">
        <v>86</v>
      </c>
      <c r="G110" s="2">
        <v>3539</v>
      </c>
      <c r="H110" s="2">
        <v>0.1</v>
      </c>
      <c r="I110" s="2">
        <v>0</v>
      </c>
      <c r="J110" s="2">
        <v>0</v>
      </c>
      <c r="K110" s="2">
        <v>62.2777777777777</v>
      </c>
      <c r="L110" s="2">
        <v>2.2750661366048401</v>
      </c>
      <c r="M110" s="2">
        <v>0.323050668794444</v>
      </c>
      <c r="N110" s="2">
        <v>0.41555600363196998</v>
      </c>
      <c r="O110" s="2">
        <v>0.71593291404444404</v>
      </c>
      <c r="P110" s="2">
        <v>0.58640936680841405</v>
      </c>
      <c r="Q110" s="2">
        <v>3.9272399822111099</v>
      </c>
      <c r="R110" s="2">
        <v>1.04936319511216</v>
      </c>
      <c r="S110" s="2">
        <v>0</v>
      </c>
      <c r="T110" s="2">
        <v>0</v>
      </c>
      <c r="U110" s="2">
        <v>0.97958521781666597</v>
      </c>
      <c r="V110" s="2">
        <v>0.22023472774687</v>
      </c>
      <c r="W110" s="7">
        <v>40.335877996154302</v>
      </c>
      <c r="X110" s="2">
        <v>2.0849030502774299</v>
      </c>
      <c r="Y110" s="7">
        <v>0</v>
      </c>
      <c r="Z110" s="2">
        <v>0</v>
      </c>
      <c r="AA110" s="2">
        <v>49.910147034789603</v>
      </c>
      <c r="AB110" s="2">
        <v>3.7085957286837101</v>
      </c>
      <c r="AC110" s="2">
        <v>214.498300789235</v>
      </c>
      <c r="AD110" s="2">
        <v>327.83299893764303</v>
      </c>
      <c r="AE110" s="2">
        <v>203.07285917707401</v>
      </c>
      <c r="AF110" s="2">
        <v>84.131830065349007</v>
      </c>
      <c r="AG110" s="2">
        <v>0</v>
      </c>
      <c r="AH110" s="2">
        <v>0</v>
      </c>
      <c r="AI110" s="2">
        <v>257.58000510720598</v>
      </c>
      <c r="AJ110" s="2">
        <v>92.943037075175695</v>
      </c>
    </row>
    <row r="111" spans="1:36" ht="15.75" customHeight="1" x14ac:dyDescent="0.45">
      <c r="A111" s="2" t="s">
        <v>90</v>
      </c>
      <c r="B111" s="2" t="s">
        <v>91</v>
      </c>
      <c r="C111" s="2">
        <v>1</v>
      </c>
      <c r="D111" s="2" t="s">
        <v>85</v>
      </c>
      <c r="E111" s="2" t="s">
        <v>84</v>
      </c>
      <c r="F111" s="2" t="s">
        <v>86</v>
      </c>
      <c r="G111" s="2">
        <v>3539</v>
      </c>
      <c r="H111" s="2">
        <v>0.1</v>
      </c>
      <c r="I111" s="2">
        <v>0</v>
      </c>
      <c r="J111" s="2">
        <v>0</v>
      </c>
      <c r="K111" s="2">
        <v>54.9444444444444</v>
      </c>
      <c r="L111" s="2">
        <v>6.3120989054824701</v>
      </c>
      <c r="M111" s="2">
        <v>0.25489234506111103</v>
      </c>
      <c r="N111" s="2">
        <v>0.24425504905186701</v>
      </c>
      <c r="O111" s="2">
        <v>0</v>
      </c>
      <c r="P111" s="2">
        <v>0</v>
      </c>
      <c r="Q111" s="2">
        <v>5.53375517223333</v>
      </c>
      <c r="R111" s="2">
        <v>2.3914580397176399</v>
      </c>
      <c r="S111" s="2">
        <v>0</v>
      </c>
      <c r="T111" s="2">
        <v>0</v>
      </c>
      <c r="U111" s="2">
        <v>1.5054590377666599</v>
      </c>
      <c r="V111" s="2">
        <v>1.36034352449545</v>
      </c>
      <c r="W111" s="7">
        <v>35.695050312337699</v>
      </c>
      <c r="X111" s="2">
        <v>5.5854785673046896</v>
      </c>
      <c r="Y111" s="7">
        <v>0</v>
      </c>
      <c r="Z111" s="2">
        <v>0</v>
      </c>
      <c r="AA111" s="2">
        <v>67.940840343887203</v>
      </c>
      <c r="AB111" s="2">
        <v>10.494173734691699</v>
      </c>
      <c r="AC111" s="2">
        <v>136.19340324995699</v>
      </c>
      <c r="AD111" s="2">
        <v>117.99414387503499</v>
      </c>
      <c r="AE111" s="2">
        <v>0</v>
      </c>
      <c r="AF111" s="2">
        <v>0</v>
      </c>
      <c r="AG111" s="2">
        <v>0</v>
      </c>
      <c r="AH111" s="2">
        <v>0</v>
      </c>
      <c r="AI111" s="2">
        <v>422.01290272300503</v>
      </c>
      <c r="AJ111" s="2">
        <v>424.07096370000102</v>
      </c>
    </row>
    <row r="112" spans="1:36" ht="15.75" customHeight="1" x14ac:dyDescent="0.45">
      <c r="A112" s="2" t="s">
        <v>90</v>
      </c>
      <c r="B112" s="2" t="s">
        <v>91</v>
      </c>
      <c r="C112" s="2">
        <v>3</v>
      </c>
      <c r="D112" s="2" t="s">
        <v>85</v>
      </c>
      <c r="E112" s="2" t="s">
        <v>84</v>
      </c>
      <c r="F112" s="2" t="s">
        <v>86</v>
      </c>
      <c r="G112" s="2">
        <v>3539</v>
      </c>
      <c r="H112" s="2">
        <v>0.1</v>
      </c>
      <c r="I112" s="2">
        <v>0</v>
      </c>
      <c r="J112" s="2">
        <v>0</v>
      </c>
      <c r="K112" s="2">
        <v>39.6111111111111</v>
      </c>
      <c r="L112" s="2">
        <v>5.9262442044156796</v>
      </c>
      <c r="M112" s="2">
        <v>0.26543209876666601</v>
      </c>
      <c r="N112" s="2">
        <v>0.238833853361446</v>
      </c>
      <c r="O112" s="2">
        <v>0</v>
      </c>
      <c r="P112" s="2">
        <v>0</v>
      </c>
      <c r="Q112" s="2">
        <v>7.9070478833944398</v>
      </c>
      <c r="R112" s="2">
        <v>3.1059974967961699</v>
      </c>
      <c r="S112" s="2">
        <v>0</v>
      </c>
      <c r="T112" s="2">
        <v>0</v>
      </c>
      <c r="U112" s="2">
        <v>1.4346090171777699</v>
      </c>
      <c r="V112" s="2">
        <v>0.407372412314843</v>
      </c>
      <c r="W112" s="7">
        <v>25.7287633781423</v>
      </c>
      <c r="X112" s="2">
        <v>4.6963626623428798</v>
      </c>
      <c r="Y112" s="7">
        <v>0</v>
      </c>
      <c r="Z112" s="2">
        <v>0</v>
      </c>
      <c r="AA112" s="2">
        <v>107.95405345522801</v>
      </c>
      <c r="AB112" s="2">
        <v>64.596250602458795</v>
      </c>
      <c r="AC112" s="2">
        <v>161.20618433036199</v>
      </c>
      <c r="AD112" s="2">
        <v>174.22888183376801</v>
      </c>
      <c r="AE112" s="2">
        <v>0</v>
      </c>
      <c r="AF112" s="2">
        <v>0</v>
      </c>
      <c r="AG112" s="2">
        <v>0</v>
      </c>
      <c r="AH112" s="2">
        <v>0</v>
      </c>
      <c r="AI112" s="2">
        <v>390.13846872855999</v>
      </c>
      <c r="AJ112" s="2">
        <v>175.75330357566801</v>
      </c>
    </row>
    <row r="113" spans="1:36" ht="15.75" customHeight="1" x14ac:dyDescent="0.45">
      <c r="A113" s="2" t="s">
        <v>90</v>
      </c>
      <c r="B113" s="2" t="s">
        <v>91</v>
      </c>
      <c r="C113" s="2">
        <v>10</v>
      </c>
      <c r="D113" s="2" t="s">
        <v>85</v>
      </c>
      <c r="E113" s="2" t="s">
        <v>84</v>
      </c>
      <c r="F113" s="2" t="s">
        <v>86</v>
      </c>
      <c r="G113" s="2">
        <v>3539</v>
      </c>
      <c r="H113" s="2">
        <v>0.1</v>
      </c>
      <c r="I113" s="2">
        <v>0</v>
      </c>
      <c r="J113" s="2">
        <v>0</v>
      </c>
      <c r="K113" s="2">
        <v>21.1666666666666</v>
      </c>
      <c r="L113" s="2">
        <v>5.1961524227066302</v>
      </c>
      <c r="M113" s="2">
        <v>0.29239766081666602</v>
      </c>
      <c r="N113" s="2">
        <v>0.50644760454875803</v>
      </c>
      <c r="O113" s="2">
        <v>0</v>
      </c>
      <c r="P113" s="2">
        <v>0</v>
      </c>
      <c r="Q113" s="2">
        <v>17.683098535122198</v>
      </c>
      <c r="R113" s="2">
        <v>4.1754824623534201</v>
      </c>
      <c r="S113" s="2">
        <v>0</v>
      </c>
      <c r="T113" s="2">
        <v>0</v>
      </c>
      <c r="U113" s="2">
        <v>2.3457716339666601</v>
      </c>
      <c r="V113" s="2">
        <v>0.76413686569348604</v>
      </c>
      <c r="W113" s="7">
        <v>13.617767757087099</v>
      </c>
      <c r="X113" s="2">
        <v>2.8809618363542402</v>
      </c>
      <c r="Y113" s="7">
        <v>0</v>
      </c>
      <c r="Z113" s="2">
        <v>0</v>
      </c>
      <c r="AA113" s="2">
        <v>248.16105350912099</v>
      </c>
      <c r="AB113" s="2">
        <v>116.89863299003299</v>
      </c>
      <c r="AC113" s="2">
        <v>218.554863507416</v>
      </c>
      <c r="AD113" s="2">
        <v>378.54812783612601</v>
      </c>
      <c r="AE113" s="2">
        <v>0</v>
      </c>
      <c r="AF113" s="2">
        <v>0</v>
      </c>
      <c r="AG113" s="2">
        <v>0</v>
      </c>
      <c r="AH113" s="2">
        <v>0</v>
      </c>
      <c r="AI113" s="2">
        <v>585.03959118108696</v>
      </c>
      <c r="AJ113" s="2">
        <v>87.023797118034196</v>
      </c>
    </row>
    <row r="114" spans="1:36" ht="15.75" customHeight="1" x14ac:dyDescent="0.45">
      <c r="A114" s="2" t="s">
        <v>90</v>
      </c>
      <c r="B114" s="2" t="s">
        <v>91</v>
      </c>
      <c r="C114" s="2">
        <v>3.0000000000000001E-3</v>
      </c>
      <c r="D114" s="2" t="s">
        <v>85</v>
      </c>
      <c r="E114" s="2" t="s">
        <v>84</v>
      </c>
      <c r="F114" s="2" t="s">
        <v>86</v>
      </c>
      <c r="G114" s="2">
        <v>10867</v>
      </c>
      <c r="H114" s="2">
        <v>10</v>
      </c>
      <c r="I114" s="2">
        <v>0</v>
      </c>
      <c r="J114" s="2">
        <v>0</v>
      </c>
      <c r="K114" s="2">
        <v>144.06878306878301</v>
      </c>
      <c r="L114" s="2">
        <v>21.5366488683371</v>
      </c>
      <c r="M114" s="2">
        <v>7.3450337677989405E-2</v>
      </c>
      <c r="N114" s="2">
        <v>2.9243770893645701E-2</v>
      </c>
      <c r="O114" s="2">
        <v>0.55411779544015805</v>
      </c>
      <c r="P114" s="2">
        <v>0.20633783626174901</v>
      </c>
      <c r="Q114" s="2">
        <v>0.81659152954703595</v>
      </c>
      <c r="R114" s="2">
        <v>0.57397379214558097</v>
      </c>
      <c r="S114" s="2">
        <v>0</v>
      </c>
      <c r="T114" s="2">
        <v>0</v>
      </c>
      <c r="U114" s="2">
        <v>0.24516781484629599</v>
      </c>
      <c r="V114" s="2">
        <v>0.14215696930090099</v>
      </c>
      <c r="W114" s="7">
        <v>94.547789162483099</v>
      </c>
      <c r="X114" s="2">
        <v>14.5851871524409</v>
      </c>
      <c r="Y114" s="7">
        <v>0</v>
      </c>
      <c r="Z114" s="2">
        <v>0</v>
      </c>
      <c r="AA114" s="2">
        <v>43.232926226039801</v>
      </c>
      <c r="AB114" s="2">
        <v>38.608400948864499</v>
      </c>
      <c r="AC114" s="2">
        <v>65.638868077125395</v>
      </c>
      <c r="AD114" s="2">
        <v>48.437567673032099</v>
      </c>
      <c r="AE114" s="2">
        <v>47.988980364458001</v>
      </c>
      <c r="AF114" s="2">
        <v>10.0649697236829</v>
      </c>
      <c r="AG114" s="2">
        <v>0</v>
      </c>
      <c r="AH114" s="2">
        <v>0</v>
      </c>
      <c r="AI114" s="2">
        <v>129.156944870584</v>
      </c>
      <c r="AJ114" s="2">
        <v>100.82366988220301</v>
      </c>
    </row>
    <row r="115" spans="1:36" ht="15.75" customHeight="1" x14ac:dyDescent="0.45">
      <c r="A115" s="2" t="s">
        <v>90</v>
      </c>
      <c r="B115" s="2" t="s">
        <v>91</v>
      </c>
      <c r="C115" s="2">
        <v>0.01</v>
      </c>
      <c r="D115" s="2" t="s">
        <v>85</v>
      </c>
      <c r="E115" s="2" t="s">
        <v>84</v>
      </c>
      <c r="F115" s="2" t="s">
        <v>86</v>
      </c>
      <c r="G115" s="2">
        <v>10867</v>
      </c>
      <c r="H115" s="2">
        <v>10</v>
      </c>
      <c r="I115" s="2">
        <v>0</v>
      </c>
      <c r="J115" s="2">
        <v>0</v>
      </c>
      <c r="K115" s="2">
        <v>132.444444444444</v>
      </c>
      <c r="L115" s="2">
        <v>11.8155921388895</v>
      </c>
      <c r="M115" s="2">
        <v>5.2785656233749902E-2</v>
      </c>
      <c r="N115" s="2">
        <v>4.6250867084656998E-2</v>
      </c>
      <c r="O115" s="2">
        <v>0.45150777603448999</v>
      </c>
      <c r="P115" s="2">
        <v>0.232658228228556</v>
      </c>
      <c r="Q115" s="2">
        <v>0.62073896393398098</v>
      </c>
      <c r="R115" s="2">
        <v>0.15971120852579401</v>
      </c>
      <c r="S115" s="2">
        <v>0</v>
      </c>
      <c r="T115" s="2">
        <v>0</v>
      </c>
      <c r="U115" s="2">
        <v>0.177364179069953</v>
      </c>
      <c r="V115" s="2">
        <v>7.1374117831822306E-2</v>
      </c>
      <c r="W115" s="7">
        <v>87.143412747741195</v>
      </c>
      <c r="X115" s="2">
        <v>11.7952965092956</v>
      </c>
      <c r="Y115" s="7">
        <v>0</v>
      </c>
      <c r="Z115" s="2">
        <v>0</v>
      </c>
      <c r="AA115" s="2">
        <v>33.165057659518602</v>
      </c>
      <c r="AB115" s="2">
        <v>18.171843079395</v>
      </c>
      <c r="AC115" s="2">
        <v>44.786475831685898</v>
      </c>
      <c r="AD115" s="2">
        <v>61.088460058477899</v>
      </c>
      <c r="AE115" s="2">
        <v>46.579872468423602</v>
      </c>
      <c r="AF115" s="2">
        <v>39.301359338435603</v>
      </c>
      <c r="AG115" s="2">
        <v>0</v>
      </c>
      <c r="AH115" s="2">
        <v>0</v>
      </c>
      <c r="AI115" s="2">
        <v>77.277956650880597</v>
      </c>
      <c r="AJ115" s="2">
        <v>8.7414721209730395</v>
      </c>
    </row>
    <row r="116" spans="1:36" ht="15.75" customHeight="1" x14ac:dyDescent="0.45">
      <c r="A116" s="2" t="s">
        <v>90</v>
      </c>
      <c r="B116" s="2" t="s">
        <v>91</v>
      </c>
      <c r="C116" s="2">
        <v>0.03</v>
      </c>
      <c r="D116" s="2" t="s">
        <v>85</v>
      </c>
      <c r="E116" s="2" t="s">
        <v>84</v>
      </c>
      <c r="F116" s="2" t="s">
        <v>86</v>
      </c>
      <c r="G116" s="2">
        <v>10867</v>
      </c>
      <c r="H116" s="2">
        <v>10</v>
      </c>
      <c r="I116" s="2">
        <v>0.80727262300740699</v>
      </c>
      <c r="J116" s="2">
        <v>1.39823719860822</v>
      </c>
      <c r="K116" s="2">
        <v>138.14814814814801</v>
      </c>
      <c r="L116" s="2">
        <v>12.9625925873013</v>
      </c>
      <c r="M116" s="2">
        <v>7.4191103006666606E-2</v>
      </c>
      <c r="N116" s="2">
        <v>9.6099118714453105E-2</v>
      </c>
      <c r="O116" s="2">
        <v>5.7898531134444403E-2</v>
      </c>
      <c r="P116" s="2">
        <v>5.0469620668960997E-2</v>
      </c>
      <c r="Q116" s="2">
        <v>1.2743908436774001</v>
      </c>
      <c r="R116" s="2">
        <v>1.37432689293701</v>
      </c>
      <c r="S116" s="2">
        <v>0</v>
      </c>
      <c r="T116" s="2">
        <v>0</v>
      </c>
      <c r="U116" s="2">
        <v>0.160040232248888</v>
      </c>
      <c r="V116" s="2">
        <v>0.14033928896872</v>
      </c>
      <c r="W116" s="7">
        <v>90.902640117948295</v>
      </c>
      <c r="X116" s="2">
        <v>12.717775616447501</v>
      </c>
      <c r="Y116" s="7">
        <v>410.37400994397399</v>
      </c>
      <c r="Z116" s="2">
        <v>710.788635328738</v>
      </c>
      <c r="AA116" s="2">
        <v>74.109981375487607</v>
      </c>
      <c r="AB116" s="2">
        <v>93.370686456605895</v>
      </c>
      <c r="AC116" s="2">
        <v>84.090099512104302</v>
      </c>
      <c r="AD116" s="2">
        <v>136.20722428815299</v>
      </c>
      <c r="AE116" s="2">
        <v>6.1151304095572403</v>
      </c>
      <c r="AF116" s="2">
        <v>5.9524545939873397</v>
      </c>
      <c r="AG116" s="2">
        <v>0</v>
      </c>
      <c r="AH116" s="2">
        <v>0</v>
      </c>
      <c r="AI116" s="2">
        <v>67.788115197747402</v>
      </c>
      <c r="AJ116" s="2">
        <v>43.692173910562303</v>
      </c>
    </row>
    <row r="117" spans="1:36" ht="15.75" customHeight="1" x14ac:dyDescent="0.45">
      <c r="A117" s="2" t="s">
        <v>90</v>
      </c>
      <c r="B117" s="2" t="s">
        <v>91</v>
      </c>
      <c r="C117" s="2">
        <v>0.1</v>
      </c>
      <c r="D117" s="2" t="s">
        <v>85</v>
      </c>
      <c r="E117" s="2" t="s">
        <v>84</v>
      </c>
      <c r="F117" s="2" t="s">
        <v>86</v>
      </c>
      <c r="G117" s="2">
        <v>10867</v>
      </c>
      <c r="H117" s="2">
        <v>10</v>
      </c>
      <c r="I117" s="2">
        <v>0</v>
      </c>
      <c r="J117" s="2">
        <v>0</v>
      </c>
      <c r="K117" s="2">
        <v>121.666666666666</v>
      </c>
      <c r="L117" s="2">
        <v>12.5791322395955</v>
      </c>
      <c r="M117" s="2">
        <v>0.13505624803046201</v>
      </c>
      <c r="N117" s="2">
        <v>5.6427132074752299E-2</v>
      </c>
      <c r="O117" s="2">
        <v>0</v>
      </c>
      <c r="P117" s="2">
        <v>0</v>
      </c>
      <c r="Q117" s="2">
        <v>0.56022169128569399</v>
      </c>
      <c r="R117" s="2">
        <v>0.32914805918483703</v>
      </c>
      <c r="S117" s="2">
        <v>0</v>
      </c>
      <c r="T117" s="2">
        <v>0</v>
      </c>
      <c r="U117" s="2">
        <v>0.13058402035689801</v>
      </c>
      <c r="V117" s="2">
        <v>0.116413564948755</v>
      </c>
      <c r="W117" s="7">
        <v>79.683439133455295</v>
      </c>
      <c r="X117" s="2">
        <v>6.4495720769621201</v>
      </c>
      <c r="Y117" s="7">
        <v>0</v>
      </c>
      <c r="Z117" s="2">
        <v>0</v>
      </c>
      <c r="AA117" s="2">
        <v>26.8958898288504</v>
      </c>
      <c r="AB117" s="2">
        <v>19.268205862473302</v>
      </c>
      <c r="AC117" s="2">
        <v>110.63740033537999</v>
      </c>
      <c r="AD117" s="2">
        <v>56.704694888491403</v>
      </c>
      <c r="AE117" s="2">
        <v>0</v>
      </c>
      <c r="AF117" s="2">
        <v>0</v>
      </c>
      <c r="AG117" s="2">
        <v>0</v>
      </c>
      <c r="AH117" s="2">
        <v>0</v>
      </c>
      <c r="AI117" s="2">
        <v>78.314126500916004</v>
      </c>
      <c r="AJ117" s="2">
        <v>89.412468348882598</v>
      </c>
    </row>
    <row r="118" spans="1:36" ht="15.75" customHeight="1" x14ac:dyDescent="0.45">
      <c r="A118" s="2" t="s">
        <v>90</v>
      </c>
      <c r="B118" s="2" t="s">
        <v>91</v>
      </c>
      <c r="C118" s="2">
        <v>0.3</v>
      </c>
      <c r="D118" s="2" t="s">
        <v>85</v>
      </c>
      <c r="E118" s="2" t="s">
        <v>84</v>
      </c>
      <c r="F118" s="2" t="s">
        <v>86</v>
      </c>
      <c r="G118" s="2">
        <v>10867</v>
      </c>
      <c r="H118" s="2">
        <v>10</v>
      </c>
      <c r="I118" s="2">
        <v>0</v>
      </c>
      <c r="J118" s="2">
        <v>0</v>
      </c>
      <c r="K118" s="2">
        <v>121.25462962962899</v>
      </c>
      <c r="L118" s="2">
        <v>3.4312115132354002</v>
      </c>
      <c r="M118" s="2">
        <v>0.32778971815305502</v>
      </c>
      <c r="N118" s="2">
        <v>9.75727211036609E-2</v>
      </c>
      <c r="O118" s="2">
        <v>0</v>
      </c>
      <c r="P118" s="2">
        <v>0</v>
      </c>
      <c r="Q118" s="2">
        <v>0.47143648606865701</v>
      </c>
      <c r="R118" s="2">
        <v>0.29643136530756198</v>
      </c>
      <c r="S118" s="2">
        <v>0</v>
      </c>
      <c r="T118" s="2">
        <v>0</v>
      </c>
      <c r="U118" s="2">
        <v>0</v>
      </c>
      <c r="V118" s="2">
        <v>0</v>
      </c>
      <c r="W118" s="7">
        <v>79.630896882195003</v>
      </c>
      <c r="X118" s="2">
        <v>5.7803957622375499</v>
      </c>
      <c r="Y118" s="7">
        <v>0</v>
      </c>
      <c r="Z118" s="2">
        <v>0</v>
      </c>
      <c r="AA118" s="2">
        <v>20.4087961018753</v>
      </c>
      <c r="AB118" s="2">
        <v>5.3093190051896499</v>
      </c>
      <c r="AC118" s="2">
        <v>281.48714576415898</v>
      </c>
      <c r="AD118" s="2">
        <v>142.96357646065701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</row>
    <row r="119" spans="1:36" ht="15.75" customHeight="1" x14ac:dyDescent="0.45">
      <c r="A119" s="2" t="s">
        <v>90</v>
      </c>
      <c r="B119" s="2" t="s">
        <v>91</v>
      </c>
      <c r="C119" s="2">
        <v>10</v>
      </c>
      <c r="D119" s="2" t="s">
        <v>85</v>
      </c>
      <c r="E119" s="2" t="s">
        <v>84</v>
      </c>
      <c r="F119" s="2" t="s">
        <v>86</v>
      </c>
      <c r="G119" s="2">
        <v>10867</v>
      </c>
      <c r="H119" s="2">
        <v>10</v>
      </c>
      <c r="I119" s="2">
        <v>0</v>
      </c>
      <c r="J119" s="2">
        <v>0</v>
      </c>
      <c r="K119" s="2">
        <v>65.699074074074005</v>
      </c>
      <c r="L119" s="2">
        <v>6.9167270932953802</v>
      </c>
      <c r="M119" s="2">
        <v>0.125750750754166</v>
      </c>
      <c r="N119" s="2">
        <v>0.217806689396147</v>
      </c>
      <c r="O119" s="2">
        <v>0</v>
      </c>
      <c r="P119" s="2">
        <v>0</v>
      </c>
      <c r="Q119" s="2">
        <v>5.2324062675935101</v>
      </c>
      <c r="R119" s="2">
        <v>4.3801705159373903</v>
      </c>
      <c r="S119" s="2">
        <v>0</v>
      </c>
      <c r="T119" s="2">
        <v>0</v>
      </c>
      <c r="U119" s="2">
        <v>2.1946199217375</v>
      </c>
      <c r="V119" s="2">
        <v>0.636266553783014</v>
      </c>
      <c r="W119" s="7">
        <v>43.162248075895</v>
      </c>
      <c r="X119" s="2">
        <v>5.6298627184166801</v>
      </c>
      <c r="Y119" s="7">
        <v>0</v>
      </c>
      <c r="Z119" s="2">
        <v>0</v>
      </c>
      <c r="AA119" s="2">
        <v>296.68776201600002</v>
      </c>
      <c r="AB119" s="2">
        <v>311.41675480686899</v>
      </c>
      <c r="AC119" s="2">
        <v>166.84032773490301</v>
      </c>
      <c r="AD119" s="2">
        <v>288.97592438829599</v>
      </c>
      <c r="AE119" s="2">
        <v>0</v>
      </c>
      <c r="AF119" s="2">
        <v>0</v>
      </c>
      <c r="AG119" s="2">
        <v>0</v>
      </c>
      <c r="AH119" s="2">
        <v>0</v>
      </c>
      <c r="AI119" s="2">
        <v>1124.19198768722</v>
      </c>
      <c r="AJ119" s="2">
        <v>692.09279314231196</v>
      </c>
    </row>
    <row r="120" spans="1:36" ht="15.75" customHeight="1" x14ac:dyDescent="0.45">
      <c r="A120" s="2" t="s">
        <v>90</v>
      </c>
      <c r="B120" s="2" t="s">
        <v>91</v>
      </c>
      <c r="C120" s="2">
        <v>1</v>
      </c>
      <c r="D120" s="2" t="s">
        <v>85</v>
      </c>
      <c r="E120" s="2" t="s">
        <v>84</v>
      </c>
      <c r="F120" s="2" t="s">
        <v>86</v>
      </c>
      <c r="G120" s="2">
        <v>10867</v>
      </c>
      <c r="H120" s="2">
        <v>10</v>
      </c>
      <c r="I120" s="2">
        <v>0</v>
      </c>
      <c r="J120" s="2">
        <v>0</v>
      </c>
      <c r="K120" s="2">
        <v>120.06984126984101</v>
      </c>
      <c r="L120" s="2">
        <v>11.9013950794637</v>
      </c>
      <c r="M120" s="2">
        <v>0.29893369883470799</v>
      </c>
      <c r="N120" s="2">
        <v>0.131629832582454</v>
      </c>
      <c r="O120" s="2">
        <v>0</v>
      </c>
      <c r="P120" s="2">
        <v>0</v>
      </c>
      <c r="Q120" s="2">
        <v>0.93706604794470805</v>
      </c>
      <c r="R120" s="2">
        <v>0.21646561236380901</v>
      </c>
      <c r="S120" s="2">
        <v>0</v>
      </c>
      <c r="T120" s="2">
        <v>0</v>
      </c>
      <c r="U120" s="2">
        <v>0.26125807999362899</v>
      </c>
      <c r="V120" s="2">
        <v>0.24205804524802901</v>
      </c>
      <c r="W120" s="7">
        <v>78.555354544585995</v>
      </c>
      <c r="X120" s="2">
        <v>4.4515584689378001</v>
      </c>
      <c r="Y120" s="7">
        <v>0</v>
      </c>
      <c r="Z120" s="2">
        <v>0</v>
      </c>
      <c r="AA120" s="2">
        <v>48.0599771665416</v>
      </c>
      <c r="AB120" s="2">
        <v>23.2655185489741</v>
      </c>
      <c r="AC120" s="2">
        <v>263.29088622094901</v>
      </c>
      <c r="AD120" s="2">
        <v>201.70281594032099</v>
      </c>
      <c r="AE120" s="2">
        <v>0</v>
      </c>
      <c r="AF120" s="2">
        <v>0</v>
      </c>
      <c r="AG120" s="2">
        <v>0</v>
      </c>
      <c r="AH120" s="2">
        <v>0</v>
      </c>
      <c r="AI120" s="2">
        <v>92.573591256754398</v>
      </c>
      <c r="AJ120" s="2">
        <v>85.361282805876201</v>
      </c>
    </row>
    <row r="121" spans="1:36" ht="15.75" customHeight="1" x14ac:dyDescent="0.45">
      <c r="A121" s="2" t="s">
        <v>90</v>
      </c>
      <c r="B121" s="2" t="s">
        <v>91</v>
      </c>
      <c r="C121" s="2">
        <v>3</v>
      </c>
      <c r="D121" s="2" t="s">
        <v>85</v>
      </c>
      <c r="E121" s="2" t="s">
        <v>84</v>
      </c>
      <c r="F121" s="2" t="s">
        <v>86</v>
      </c>
      <c r="G121" s="2">
        <v>10867</v>
      </c>
      <c r="H121" s="2">
        <v>10</v>
      </c>
      <c r="I121" s="2">
        <v>0</v>
      </c>
      <c r="J121" s="2">
        <v>0</v>
      </c>
      <c r="K121" s="2">
        <v>105.96825396825299</v>
      </c>
      <c r="L121" s="2">
        <v>3.0163324629147001</v>
      </c>
      <c r="M121" s="2">
        <v>0.18278472484661301</v>
      </c>
      <c r="N121" s="2">
        <v>9.6630803409102003E-2</v>
      </c>
      <c r="O121" s="2">
        <v>0</v>
      </c>
      <c r="P121" s="2">
        <v>0</v>
      </c>
      <c r="Q121" s="2">
        <v>0.69328537427010495</v>
      </c>
      <c r="R121" s="2">
        <v>0.23623298382742999</v>
      </c>
      <c r="S121" s="2">
        <v>0</v>
      </c>
      <c r="T121" s="2">
        <v>0</v>
      </c>
      <c r="U121" s="2">
        <v>0.83019508955735399</v>
      </c>
      <c r="V121" s="2">
        <v>0.107391288365733</v>
      </c>
      <c r="W121" s="7">
        <v>69.559181325216002</v>
      </c>
      <c r="X121" s="2">
        <v>4.36673970768042</v>
      </c>
      <c r="Y121" s="7">
        <v>0</v>
      </c>
      <c r="Z121" s="2">
        <v>0</v>
      </c>
      <c r="AA121" s="2">
        <v>36.546459094484497</v>
      </c>
      <c r="AB121" s="2">
        <v>22.172913046886801</v>
      </c>
      <c r="AC121" s="2">
        <v>140.038157378752</v>
      </c>
      <c r="AD121" s="2">
        <v>57.332422215968897</v>
      </c>
      <c r="AE121" s="2">
        <v>0</v>
      </c>
      <c r="AF121" s="2">
        <v>0</v>
      </c>
      <c r="AG121" s="2">
        <v>0</v>
      </c>
      <c r="AH121" s="2">
        <v>0</v>
      </c>
      <c r="AI121" s="2">
        <v>417.50710921198402</v>
      </c>
      <c r="AJ121" s="2">
        <v>223.708996261105</v>
      </c>
    </row>
    <row r="122" spans="1:36" ht="15.75" hidden="1" customHeight="1" x14ac:dyDescent="0.45">
      <c r="A122" s="2" t="s">
        <v>92</v>
      </c>
      <c r="B122" s="2" t="s">
        <v>82</v>
      </c>
      <c r="C122" s="2">
        <v>3.0000000000000001E-3</v>
      </c>
      <c r="D122" s="2" t="s">
        <v>83</v>
      </c>
      <c r="E122" s="2" t="s">
        <v>84</v>
      </c>
      <c r="H122" s="2">
        <v>0.7</v>
      </c>
      <c r="I122" s="2">
        <v>36.189055087222201</v>
      </c>
      <c r="J122" s="2">
        <v>1.76320323955652</v>
      </c>
      <c r="K122" s="2">
        <v>249.722222222222</v>
      </c>
      <c r="L122" s="2">
        <v>13.587507879312501</v>
      </c>
      <c r="M122" s="2">
        <v>34.3810141033333</v>
      </c>
      <c r="N122" s="2">
        <v>2.3217831613944999</v>
      </c>
      <c r="O122" s="2">
        <v>2.8947489126666599</v>
      </c>
      <c r="P122" s="2">
        <v>0.60836631058512203</v>
      </c>
      <c r="Q122" s="2">
        <v>3.1988861182777701</v>
      </c>
      <c r="R122" s="2">
        <v>1.16355477511219</v>
      </c>
      <c r="S122" s="2">
        <v>0.40112801472222198</v>
      </c>
      <c r="T122" s="2">
        <v>0.17427539014428001</v>
      </c>
      <c r="U122" s="2">
        <v>3.3186272568333299</v>
      </c>
      <c r="V122" s="2">
        <v>0.84928999129251304</v>
      </c>
      <c r="W122" s="7">
        <v>89.541832669322702</v>
      </c>
      <c r="X122" s="2">
        <v>4.8720147774427298</v>
      </c>
      <c r="Y122" s="7">
        <v>90.653451762449507</v>
      </c>
      <c r="Z122" s="2">
        <v>4.4168177212498998</v>
      </c>
      <c r="AA122" s="2">
        <v>72.251842784598395</v>
      </c>
      <c r="AB122" s="2">
        <v>26.280703211759199</v>
      </c>
      <c r="AC122" s="2">
        <v>101.671041877948</v>
      </c>
      <c r="AD122" s="2">
        <v>6.8659438701887998</v>
      </c>
      <c r="AE122" s="2">
        <v>77.496970691827897</v>
      </c>
      <c r="AF122" s="2">
        <v>16.2869207533025</v>
      </c>
      <c r="AG122" s="2">
        <v>85.292176945952605</v>
      </c>
      <c r="AH122" s="2">
        <v>37.056318352145801</v>
      </c>
      <c r="AI122" s="2">
        <v>98.564647213708795</v>
      </c>
      <c r="AJ122" s="2">
        <v>25.224275549932401</v>
      </c>
    </row>
    <row r="123" spans="1:36" ht="15.75" hidden="1" customHeight="1" x14ac:dyDescent="0.45">
      <c r="A123" s="2" t="s">
        <v>92</v>
      </c>
      <c r="B123" s="2" t="s">
        <v>82</v>
      </c>
      <c r="C123" s="2">
        <v>0.01</v>
      </c>
      <c r="D123" s="2" t="s">
        <v>83</v>
      </c>
      <c r="E123" s="2" t="s">
        <v>84</v>
      </c>
      <c r="H123" s="2">
        <v>0.7</v>
      </c>
      <c r="I123" s="2">
        <v>27.645247214444399</v>
      </c>
      <c r="J123" s="2">
        <v>4.1570597131570404</v>
      </c>
      <c r="K123" s="2">
        <v>209.111111111111</v>
      </c>
      <c r="L123" s="2">
        <v>8.3438822121578902</v>
      </c>
      <c r="M123" s="2">
        <v>37.9853350177777</v>
      </c>
      <c r="N123" s="2">
        <v>1.13634161557904</v>
      </c>
      <c r="O123" s="2">
        <v>2.8677814418333298</v>
      </c>
      <c r="P123" s="2">
        <v>0.51167238590258801</v>
      </c>
      <c r="Q123" s="2">
        <v>3.2556268071666601</v>
      </c>
      <c r="R123" s="2">
        <v>0.47786290281655802</v>
      </c>
      <c r="S123" s="2">
        <v>0.42327566322222199</v>
      </c>
      <c r="T123" s="2">
        <v>0.170395306476054</v>
      </c>
      <c r="U123" s="2">
        <v>4.5298117968333296</v>
      </c>
      <c r="V123" s="2">
        <v>0.66080181935169902</v>
      </c>
      <c r="W123" s="7">
        <v>74.980079681274901</v>
      </c>
      <c r="X123" s="2">
        <v>2.9918302752757402</v>
      </c>
      <c r="Y123" s="7">
        <v>69.251244023238101</v>
      </c>
      <c r="Z123" s="2">
        <v>10.413419506865299</v>
      </c>
      <c r="AA123" s="2">
        <v>73.533419927862596</v>
      </c>
      <c r="AB123" s="2">
        <v>10.793280551507101</v>
      </c>
      <c r="AC123" s="2">
        <v>112.32968799968999</v>
      </c>
      <c r="AD123" s="2">
        <v>3.3603731302966802</v>
      </c>
      <c r="AE123" s="2">
        <v>76.775009181570894</v>
      </c>
      <c r="AF123" s="2">
        <v>13.6982726621293</v>
      </c>
      <c r="AG123" s="2">
        <v>90.001449510988706</v>
      </c>
      <c r="AH123" s="2">
        <v>36.231292997024099</v>
      </c>
      <c r="AI123" s="2">
        <v>134.537345458136</v>
      </c>
      <c r="AJ123" s="2">
        <v>19.6260963229496</v>
      </c>
    </row>
    <row r="124" spans="1:36" ht="15.75" hidden="1" customHeight="1" x14ac:dyDescent="0.45">
      <c r="A124" s="2" t="s">
        <v>92</v>
      </c>
      <c r="B124" s="2" t="s">
        <v>82</v>
      </c>
      <c r="C124" s="2">
        <v>0.03</v>
      </c>
      <c r="D124" s="2" t="s">
        <v>83</v>
      </c>
      <c r="E124" s="2" t="s">
        <v>84</v>
      </c>
      <c r="H124" s="2">
        <v>0.7</v>
      </c>
      <c r="I124" s="2">
        <v>39.081357752833298</v>
      </c>
      <c r="J124" s="2">
        <v>26.4221981016887</v>
      </c>
      <c r="K124" s="2">
        <v>276.5</v>
      </c>
      <c r="L124" s="2">
        <v>110.624113304669</v>
      </c>
      <c r="M124" s="2">
        <v>35.521987220555502</v>
      </c>
      <c r="N124" s="2">
        <v>2.6353528370422499</v>
      </c>
      <c r="O124" s="2">
        <v>3.3460985140555501</v>
      </c>
      <c r="P124" s="2">
        <v>1.2730511511303599</v>
      </c>
      <c r="Q124" s="2">
        <v>5.54265798072222</v>
      </c>
      <c r="R124" s="2">
        <v>2.5587255631968602</v>
      </c>
      <c r="S124" s="2">
        <v>0.64894262933333302</v>
      </c>
      <c r="T124" s="2">
        <v>0.19416701503255299</v>
      </c>
      <c r="U124" s="2">
        <v>3.8654917308333299</v>
      </c>
      <c r="V124" s="2">
        <v>0.45800873446974799</v>
      </c>
      <c r="W124" s="7">
        <v>99.143426294820699</v>
      </c>
      <c r="X124" s="2">
        <v>39.666016722789998</v>
      </c>
      <c r="Y124" s="7">
        <v>97.898659451554394</v>
      </c>
      <c r="Z124" s="2">
        <v>66.187510430883194</v>
      </c>
      <c r="AA124" s="2">
        <v>125.18959357251001</v>
      </c>
      <c r="AB124" s="2">
        <v>57.792816088296703</v>
      </c>
      <c r="AC124" s="2">
        <v>105.045111218488</v>
      </c>
      <c r="AD124" s="2">
        <v>7.7932276183824598</v>
      </c>
      <c r="AE124" s="2">
        <v>89.580307756934701</v>
      </c>
      <c r="AF124" s="2">
        <v>34.081576925946102</v>
      </c>
      <c r="AG124" s="2">
        <v>137.98520057792399</v>
      </c>
      <c r="AH124" s="2">
        <v>41.285890776519899</v>
      </c>
      <c r="AI124" s="2">
        <v>114.806755706771</v>
      </c>
      <c r="AJ124" s="2">
        <v>13.603055070693401</v>
      </c>
    </row>
    <row r="125" spans="1:36" ht="15.75" hidden="1" customHeight="1" x14ac:dyDescent="0.45">
      <c r="A125" s="2" t="s">
        <v>92</v>
      </c>
      <c r="B125" s="2" t="s">
        <v>82</v>
      </c>
      <c r="C125" s="2">
        <v>0.1</v>
      </c>
      <c r="D125" s="2" t="s">
        <v>83</v>
      </c>
      <c r="E125" s="2" t="s">
        <v>84</v>
      </c>
      <c r="H125" s="2">
        <v>0.7</v>
      </c>
      <c r="I125" s="2">
        <v>11.9059935302777</v>
      </c>
      <c r="J125" s="2">
        <v>2.2663047387178401</v>
      </c>
      <c r="K125" s="2">
        <v>131.5</v>
      </c>
      <c r="L125" s="2">
        <v>7.9284999281778799</v>
      </c>
      <c r="M125" s="2">
        <v>32.292462594444402</v>
      </c>
      <c r="N125" s="2">
        <v>1.8819650565683601</v>
      </c>
      <c r="O125" s="2">
        <v>2.3908587295000001</v>
      </c>
      <c r="P125" s="2">
        <v>0.79416866393438801</v>
      </c>
      <c r="Q125" s="2">
        <v>4.6462572817222201</v>
      </c>
      <c r="R125" s="2">
        <v>0.173946385340635</v>
      </c>
      <c r="S125" s="2">
        <v>0.36347925055555502</v>
      </c>
      <c r="T125" s="2">
        <v>0.32546627044930099</v>
      </c>
      <c r="U125" s="2">
        <v>6.7287371315555502</v>
      </c>
      <c r="V125" s="2">
        <v>0.45429561272824598</v>
      </c>
      <c r="W125" s="7">
        <v>47.151394422310702</v>
      </c>
      <c r="X125" s="2">
        <v>2.8428884204621898</v>
      </c>
      <c r="Y125" s="7">
        <v>29.8244706190785</v>
      </c>
      <c r="Z125" s="2">
        <v>5.6770851522705099</v>
      </c>
      <c r="AA125" s="2">
        <v>104.942982726914</v>
      </c>
      <c r="AB125" s="2">
        <v>3.9288509880892999</v>
      </c>
      <c r="AC125" s="2">
        <v>95.494807305975698</v>
      </c>
      <c r="AD125" s="2">
        <v>5.5653200776485097</v>
      </c>
      <c r="AE125" s="2">
        <v>64.007039808394595</v>
      </c>
      <c r="AF125" s="2">
        <v>21.261141304513</v>
      </c>
      <c r="AG125" s="2">
        <v>77.286889513402002</v>
      </c>
      <c r="AH125" s="2">
        <v>69.204158548548193</v>
      </c>
      <c r="AI125" s="2">
        <v>199.84636725921499</v>
      </c>
      <c r="AJ125" s="2">
        <v>13.492773768760699</v>
      </c>
    </row>
    <row r="126" spans="1:36" ht="15.75" hidden="1" customHeight="1" x14ac:dyDescent="0.45">
      <c r="A126" s="2" t="s">
        <v>92</v>
      </c>
      <c r="B126" s="2" t="s">
        <v>82</v>
      </c>
      <c r="C126" s="2">
        <v>0.3</v>
      </c>
      <c r="D126" s="2" t="s">
        <v>83</v>
      </c>
      <c r="E126" s="2" t="s">
        <v>84</v>
      </c>
      <c r="H126" s="2">
        <v>0.7</v>
      </c>
      <c r="I126" s="2">
        <v>6.6454470419444398</v>
      </c>
      <c r="J126" s="2">
        <v>4.2685698888237802</v>
      </c>
      <c r="K126" s="2">
        <v>129.666666666666</v>
      </c>
      <c r="L126" s="2">
        <v>13.093679560934699</v>
      </c>
      <c r="M126" s="2">
        <v>33.257776573333302</v>
      </c>
      <c r="N126" s="2">
        <v>1.3110311433697299</v>
      </c>
      <c r="O126" s="2">
        <v>3.15138918027777</v>
      </c>
      <c r="P126" s="2">
        <v>0.39633202385574301</v>
      </c>
      <c r="Q126" s="2">
        <v>6.5928663032222197</v>
      </c>
      <c r="R126" s="2">
        <v>1.79543787911458</v>
      </c>
      <c r="S126" s="2">
        <v>0.128862603722222</v>
      </c>
      <c r="T126" s="2">
        <v>0.126181048248244</v>
      </c>
      <c r="U126" s="2">
        <v>6.6503049722222203</v>
      </c>
      <c r="V126" s="2">
        <v>0.59965473817595805</v>
      </c>
      <c r="W126" s="7">
        <v>46.494023904382402</v>
      </c>
      <c r="X126" s="2">
        <v>4.6949448624865804</v>
      </c>
      <c r="Y126" s="7">
        <v>16.6468207419301</v>
      </c>
      <c r="Z126" s="2">
        <v>10.6927520925452</v>
      </c>
      <c r="AA126" s="2">
        <v>148.910189993492</v>
      </c>
      <c r="AB126" s="2">
        <v>40.552770737940698</v>
      </c>
      <c r="AC126" s="2">
        <v>98.3494199616119</v>
      </c>
      <c r="AD126" s="2">
        <v>3.8769624968076699</v>
      </c>
      <c r="AE126" s="2">
        <v>84.367633363250903</v>
      </c>
      <c r="AF126" s="2">
        <v>10.6104301836275</v>
      </c>
      <c r="AG126" s="2">
        <v>27.400160534793599</v>
      </c>
      <c r="AH126" s="2">
        <v>26.829979207181001</v>
      </c>
      <c r="AI126" s="2">
        <v>197.51689862154799</v>
      </c>
      <c r="AJ126" s="2">
        <v>17.810001890583099</v>
      </c>
    </row>
    <row r="127" spans="1:36" ht="15.75" hidden="1" customHeight="1" x14ac:dyDescent="0.45">
      <c r="A127" s="2" t="s">
        <v>92</v>
      </c>
      <c r="B127" s="2" t="s">
        <v>82</v>
      </c>
      <c r="C127" s="2">
        <v>1</v>
      </c>
      <c r="D127" s="2" t="s">
        <v>83</v>
      </c>
      <c r="E127" s="2" t="s">
        <v>84</v>
      </c>
      <c r="H127" s="2">
        <v>0.7</v>
      </c>
      <c r="I127" s="2">
        <v>12.248900702055501</v>
      </c>
      <c r="J127" s="2">
        <v>1.66959536486798</v>
      </c>
      <c r="K127" s="2">
        <v>114.555555555555</v>
      </c>
      <c r="L127" s="2">
        <v>16.272278175997201</v>
      </c>
      <c r="M127" s="2">
        <v>35.867751503333302</v>
      </c>
      <c r="N127" s="2">
        <v>1.7676001555863501</v>
      </c>
      <c r="O127" s="2">
        <v>2.4351657212222202</v>
      </c>
      <c r="P127" s="2">
        <v>1.5878189931611699</v>
      </c>
      <c r="Q127" s="2">
        <v>4.0656501975555503</v>
      </c>
      <c r="R127" s="2">
        <v>0.94193165919925803</v>
      </c>
      <c r="S127" s="2">
        <v>0.155718147277777</v>
      </c>
      <c r="T127" s="2">
        <v>0.13593910520525801</v>
      </c>
      <c r="U127" s="2">
        <v>6.0792161928888797</v>
      </c>
      <c r="V127" s="2">
        <v>1.7468343273743601</v>
      </c>
      <c r="W127" s="7">
        <v>41.075697211155301</v>
      </c>
      <c r="X127" s="2">
        <v>5.8346814176882598</v>
      </c>
      <c r="Y127" s="7">
        <v>30.683451840910099</v>
      </c>
      <c r="Z127" s="2">
        <v>4.1823303346019101</v>
      </c>
      <c r="AA127" s="2">
        <v>91.829064252248401</v>
      </c>
      <c r="AB127" s="2">
        <v>21.274998745794999</v>
      </c>
      <c r="AC127" s="2">
        <v>106.067600397211</v>
      </c>
      <c r="AD127" s="2">
        <v>5.2271218324727897</v>
      </c>
      <c r="AE127" s="2">
        <v>65.193207501183196</v>
      </c>
      <c r="AF127" s="2">
        <v>42.508405975557899</v>
      </c>
      <c r="AG127" s="2">
        <v>33.110476665434298</v>
      </c>
      <c r="AH127" s="2">
        <v>28.904842817000599</v>
      </c>
      <c r="AI127" s="2">
        <v>180.555317911695</v>
      </c>
      <c r="AJ127" s="2">
        <v>51.881725753901797</v>
      </c>
    </row>
    <row r="128" spans="1:36" ht="15.75" hidden="1" customHeight="1" x14ac:dyDescent="0.45">
      <c r="A128" s="2" t="s">
        <v>92</v>
      </c>
      <c r="B128" s="2" t="s">
        <v>82</v>
      </c>
      <c r="C128" s="2">
        <v>3</v>
      </c>
      <c r="D128" s="2" t="s">
        <v>83</v>
      </c>
      <c r="E128" s="2" t="s">
        <v>84</v>
      </c>
      <c r="H128" s="2">
        <v>0.7</v>
      </c>
      <c r="I128" s="2">
        <v>8.2878639977222193</v>
      </c>
      <c r="J128" s="2">
        <v>2.4373147398035702</v>
      </c>
      <c r="K128" s="2">
        <v>120.5</v>
      </c>
      <c r="L128" s="2">
        <v>4.12647280104704</v>
      </c>
      <c r="M128" s="2">
        <v>31.5052122344444</v>
      </c>
      <c r="N128" s="2">
        <v>2.67633469370787</v>
      </c>
      <c r="O128" s="2">
        <v>1.8485828635555499</v>
      </c>
      <c r="P128" s="2">
        <v>0.23247876281232999</v>
      </c>
      <c r="Q128" s="2">
        <v>6.33826576205555</v>
      </c>
      <c r="R128" s="2">
        <v>1.05315967548397</v>
      </c>
      <c r="S128" s="2">
        <v>0.51947066361111105</v>
      </c>
      <c r="T128" s="2">
        <v>0.23313337081615901</v>
      </c>
      <c r="U128" s="2">
        <v>5.7009767716111099</v>
      </c>
      <c r="V128" s="2">
        <v>0.36660449262089401</v>
      </c>
      <c r="W128" s="7">
        <v>43.207171314740997</v>
      </c>
      <c r="X128" s="2">
        <v>1.4796117613316</v>
      </c>
      <c r="Y128" s="7">
        <v>20.7610692603171</v>
      </c>
      <c r="Z128" s="2">
        <v>6.1054645848629701</v>
      </c>
      <c r="AA128" s="2">
        <v>143.15963883503099</v>
      </c>
      <c r="AB128" s="2">
        <v>23.787257341037801</v>
      </c>
      <c r="AC128" s="2">
        <v>93.166761830661201</v>
      </c>
      <c r="AD128" s="2">
        <v>7.9144185772285898</v>
      </c>
      <c r="AE128" s="2">
        <v>49.4894639640466</v>
      </c>
      <c r="AF128" s="2">
        <v>6.2238212748969302</v>
      </c>
      <c r="AG128" s="2">
        <v>110.455470904051</v>
      </c>
      <c r="AH128" s="2">
        <v>49.5713387892593</v>
      </c>
      <c r="AI128" s="2">
        <v>169.321445519489</v>
      </c>
      <c r="AJ128" s="2">
        <v>10.888310040766299</v>
      </c>
    </row>
    <row r="129" spans="1:36" ht="15.75" hidden="1" customHeight="1" x14ac:dyDescent="0.45">
      <c r="A129" s="2" t="s">
        <v>92</v>
      </c>
      <c r="B129" s="2" t="s">
        <v>82</v>
      </c>
      <c r="C129" s="2">
        <v>10</v>
      </c>
      <c r="D129" s="2" t="s">
        <v>83</v>
      </c>
      <c r="E129" s="2" t="s">
        <v>84</v>
      </c>
      <c r="H129" s="2">
        <v>0.7</v>
      </c>
      <c r="I129" s="2">
        <v>9.5196397552222205</v>
      </c>
      <c r="J129" s="2">
        <v>0.92024606600358305</v>
      </c>
      <c r="K129" s="2">
        <v>113.333333333333</v>
      </c>
      <c r="L129" s="2">
        <v>18.744628860319001</v>
      </c>
      <c r="M129" s="2">
        <v>26.515449634444401</v>
      </c>
      <c r="N129" s="2">
        <v>0.90937270372678503</v>
      </c>
      <c r="O129" s="2">
        <v>2.1363942345</v>
      </c>
      <c r="P129" s="2">
        <v>0.28663294020702901</v>
      </c>
      <c r="Q129" s="2">
        <v>6.0518102633333299</v>
      </c>
      <c r="R129" s="2">
        <v>3.6236516520327999</v>
      </c>
      <c r="S129" s="2">
        <v>0.29548463461111102</v>
      </c>
      <c r="T129" s="2">
        <v>0.14263798283586901</v>
      </c>
      <c r="U129" s="2">
        <v>5.64942549155555</v>
      </c>
      <c r="V129" s="2">
        <v>1.49050464273768</v>
      </c>
      <c r="W129" s="7">
        <v>40.637450199203201</v>
      </c>
      <c r="X129" s="2">
        <v>6.7211816630626098</v>
      </c>
      <c r="Y129" s="7">
        <v>23.8466630661114</v>
      </c>
      <c r="Z129" s="2">
        <v>2.3052130582844401</v>
      </c>
      <c r="AA129" s="2">
        <v>136.68959367143299</v>
      </c>
      <c r="AB129" s="2">
        <v>81.845836265587806</v>
      </c>
      <c r="AC129" s="2">
        <v>78.411107423817</v>
      </c>
      <c r="AD129" s="2">
        <v>2.6891839189323199</v>
      </c>
      <c r="AE129" s="2">
        <v>57.194625983888002</v>
      </c>
      <c r="AF129" s="2">
        <v>7.6736135798643899</v>
      </c>
      <c r="AG129" s="2">
        <v>62.829138866088897</v>
      </c>
      <c r="AH129" s="2">
        <v>30.3292306314619</v>
      </c>
      <c r="AI129" s="2">
        <v>167.790350479626</v>
      </c>
      <c r="AJ129" s="2">
        <v>44.268624618607703</v>
      </c>
    </row>
    <row r="130" spans="1:36" ht="15.75" hidden="1" customHeight="1" x14ac:dyDescent="0.45">
      <c r="A130" s="2" t="s">
        <v>92</v>
      </c>
      <c r="B130" s="2" t="s">
        <v>82</v>
      </c>
      <c r="C130" s="2">
        <v>3.0000000000000001E-3</v>
      </c>
      <c r="D130" s="2" t="s">
        <v>83</v>
      </c>
      <c r="E130" s="2" t="s">
        <v>84</v>
      </c>
      <c r="H130" s="2">
        <v>0.1</v>
      </c>
      <c r="I130" s="2">
        <v>11.0062085347666</v>
      </c>
      <c r="J130" s="2">
        <v>9.5525568970266708</v>
      </c>
      <c r="K130" s="2">
        <v>193.13333333333301</v>
      </c>
      <c r="L130" s="2">
        <v>53.935640659338901</v>
      </c>
      <c r="M130" s="2">
        <v>13.6776431028833</v>
      </c>
      <c r="N130" s="2">
        <v>2.4915515828599002</v>
      </c>
      <c r="O130" s="2">
        <v>1.09680848831033</v>
      </c>
      <c r="P130" s="2">
        <v>0.41699745045529102</v>
      </c>
      <c r="Q130" s="2">
        <v>4.9467379285233299</v>
      </c>
      <c r="R130" s="2">
        <v>0.93287187540104599</v>
      </c>
      <c r="S130" s="2">
        <v>0.37100230695777697</v>
      </c>
      <c r="T130" s="2">
        <v>0.113476982479027</v>
      </c>
      <c r="U130" s="2">
        <v>4.7662075518508802</v>
      </c>
      <c r="V130" s="2">
        <v>1.3698886734497999</v>
      </c>
      <c r="W130" s="7">
        <v>83.635532533307696</v>
      </c>
      <c r="X130" s="2">
        <v>24.157461423289298</v>
      </c>
      <c r="Y130" s="7">
        <v>31.980527602589898</v>
      </c>
      <c r="Z130" s="2">
        <v>27.9027969603321</v>
      </c>
      <c r="AA130" s="2">
        <v>111.64912937221899</v>
      </c>
      <c r="AB130" s="2">
        <v>38.4435128614805</v>
      </c>
      <c r="AC130" s="2">
        <v>88.828287341916806</v>
      </c>
      <c r="AD130" s="2">
        <v>8.8416550959996894</v>
      </c>
      <c r="AE130" s="2">
        <v>61.203154418335899</v>
      </c>
      <c r="AF130" s="2">
        <v>3.5795097045747002</v>
      </c>
      <c r="AG130" s="2">
        <v>58.198829514215802</v>
      </c>
      <c r="AH130" s="2">
        <v>41.548315861451599</v>
      </c>
      <c r="AI130" s="2">
        <v>141.629690284378</v>
      </c>
      <c r="AJ130" s="2">
        <v>10.392461834171099</v>
      </c>
    </row>
    <row r="131" spans="1:36" ht="15.75" hidden="1" customHeight="1" x14ac:dyDescent="0.45">
      <c r="A131" s="2" t="s">
        <v>92</v>
      </c>
      <c r="B131" s="2" t="s">
        <v>82</v>
      </c>
      <c r="C131" s="2">
        <v>0.01</v>
      </c>
      <c r="D131" s="2" t="s">
        <v>83</v>
      </c>
      <c r="E131" s="2" t="s">
        <v>84</v>
      </c>
      <c r="H131" s="2">
        <v>0.1</v>
      </c>
      <c r="I131" s="2">
        <v>5.7350653371</v>
      </c>
      <c r="J131" s="2">
        <v>5.9496192015414398</v>
      </c>
      <c r="K131" s="2">
        <v>134.055555555555</v>
      </c>
      <c r="L131" s="2">
        <v>16.5867528579397</v>
      </c>
      <c r="M131" s="2">
        <v>11.678857531811101</v>
      </c>
      <c r="N131" s="2">
        <v>1.1844022567875201</v>
      </c>
      <c r="O131" s="2">
        <v>1.02925078150833</v>
      </c>
      <c r="P131" s="2">
        <v>0.59833686143459297</v>
      </c>
      <c r="Q131" s="2">
        <v>7.3788485763722198</v>
      </c>
      <c r="R131" s="2">
        <v>1.5997486779735399</v>
      </c>
      <c r="S131" s="2">
        <v>0.44773912087999901</v>
      </c>
      <c r="T131" s="2">
        <v>0.19936999552228901</v>
      </c>
      <c r="U131" s="2">
        <v>7.5239087792222197</v>
      </c>
      <c r="V131" s="2">
        <v>0.24345259456137999</v>
      </c>
      <c r="W131" s="7">
        <v>57.910051215728998</v>
      </c>
      <c r="X131" s="2">
        <v>6.9604246849109996</v>
      </c>
      <c r="Y131" s="7">
        <v>16.437424439090201</v>
      </c>
      <c r="Z131" s="2">
        <v>16.680179537376699</v>
      </c>
      <c r="AA131" s="2">
        <v>168.242346577642</v>
      </c>
      <c r="AB131" s="2">
        <v>63.163806171500603</v>
      </c>
      <c r="AC131" s="2">
        <v>76.499532481632798</v>
      </c>
      <c r="AD131" s="2">
        <v>9.1372398537773591</v>
      </c>
      <c r="AE131" s="2">
        <v>58.315117035614598</v>
      </c>
      <c r="AF131" s="2">
        <v>36.756534456857899</v>
      </c>
      <c r="AG131" s="2">
        <v>73.665008885469703</v>
      </c>
      <c r="AH131" s="2">
        <v>66.881266464542094</v>
      </c>
      <c r="AI131" s="2">
        <v>235.78528859071</v>
      </c>
      <c r="AJ131" s="2">
        <v>66.287271318211793</v>
      </c>
    </row>
    <row r="132" spans="1:36" ht="15.75" hidden="1" customHeight="1" x14ac:dyDescent="0.45">
      <c r="A132" s="2" t="s">
        <v>92</v>
      </c>
      <c r="B132" s="2" t="s">
        <v>82</v>
      </c>
      <c r="C132" s="2">
        <v>0.03</v>
      </c>
      <c r="D132" s="2" t="s">
        <v>83</v>
      </c>
      <c r="E132" s="2" t="s">
        <v>84</v>
      </c>
      <c r="H132" s="2">
        <v>0.1</v>
      </c>
      <c r="I132" s="2">
        <v>10.410490619888799</v>
      </c>
      <c r="J132" s="2">
        <v>4.6252444653988896</v>
      </c>
      <c r="K132" s="2">
        <v>145.5</v>
      </c>
      <c r="L132" s="2">
        <v>51.4028209342639</v>
      </c>
      <c r="M132" s="2">
        <v>11.9814777123333</v>
      </c>
      <c r="N132" s="2">
        <v>2.1086200576557399</v>
      </c>
      <c r="O132" s="2">
        <v>0.91889204785944401</v>
      </c>
      <c r="P132" s="2">
        <v>0.27312687526535001</v>
      </c>
      <c r="Q132" s="2">
        <v>5.9950219227949999</v>
      </c>
      <c r="R132" s="2">
        <v>3.1443528495038202</v>
      </c>
      <c r="S132" s="2">
        <v>0.216366897332222</v>
      </c>
      <c r="T132" s="2">
        <v>7.4589906317120494E-2</v>
      </c>
      <c r="U132" s="2">
        <v>7.5553893899055504</v>
      </c>
      <c r="V132" s="2">
        <v>2.6820317624663801</v>
      </c>
      <c r="W132" s="7">
        <v>63.291292380810802</v>
      </c>
      <c r="X132" s="2">
        <v>24.017914013387198</v>
      </c>
      <c r="Y132" s="7">
        <v>31.2829213539782</v>
      </c>
      <c r="Z132" s="2">
        <v>14.164096215255</v>
      </c>
      <c r="AA132" s="2">
        <v>125.90685012873899</v>
      </c>
      <c r="AB132" s="2">
        <v>51.619583067579804</v>
      </c>
      <c r="AC132" s="2">
        <v>77.870279444255701</v>
      </c>
      <c r="AD132" s="2">
        <v>8.2312776580299101</v>
      </c>
      <c r="AE132" s="2">
        <v>56.731643054685001</v>
      </c>
      <c r="AF132" s="2">
        <v>31.087922155082001</v>
      </c>
      <c r="AG132" s="2">
        <v>28.319495650165798</v>
      </c>
      <c r="AH132" s="2">
        <v>5.5576302944728599</v>
      </c>
      <c r="AI132" s="2">
        <v>225.53686465418099</v>
      </c>
      <c r="AJ132" s="2">
        <v>52.708006104900399</v>
      </c>
    </row>
    <row r="133" spans="1:36" ht="15.75" hidden="1" customHeight="1" x14ac:dyDescent="0.45">
      <c r="A133" s="2" t="s">
        <v>92</v>
      </c>
      <c r="B133" s="2" t="s">
        <v>82</v>
      </c>
      <c r="C133" s="2">
        <v>0.1</v>
      </c>
      <c r="D133" s="2" t="s">
        <v>83</v>
      </c>
      <c r="E133" s="2" t="s">
        <v>84</v>
      </c>
      <c r="H133" s="2">
        <v>0.1</v>
      </c>
      <c r="I133" s="2">
        <v>8.1286692743333298</v>
      </c>
      <c r="J133" s="2">
        <v>1.27358239353217</v>
      </c>
      <c r="K133" s="2">
        <v>94.6666666666666</v>
      </c>
      <c r="L133" s="2">
        <v>6.0987248211773899</v>
      </c>
      <c r="M133" s="2">
        <v>9.0499753442666595</v>
      </c>
      <c r="N133" s="2">
        <v>1.1248511925250799</v>
      </c>
      <c r="O133" s="2">
        <v>0.24787374111888799</v>
      </c>
      <c r="P133" s="2">
        <v>0.334144912357767</v>
      </c>
      <c r="Q133" s="2">
        <v>9.6393005778444394</v>
      </c>
      <c r="R133" s="2">
        <v>3.3960355422235602</v>
      </c>
      <c r="S133" s="2">
        <v>0.48341621815555502</v>
      </c>
      <c r="T133" s="2">
        <v>0.393416910539098</v>
      </c>
      <c r="U133" s="2">
        <v>8.34324863603889</v>
      </c>
      <c r="V133" s="2">
        <v>1.79518578134427</v>
      </c>
      <c r="W133" s="7">
        <v>40.911460122882701</v>
      </c>
      <c r="X133" s="2">
        <v>2.6422116645651901</v>
      </c>
      <c r="Y133" s="7">
        <v>24.1664330570506</v>
      </c>
      <c r="Z133" s="2">
        <v>2.3431092354465801</v>
      </c>
      <c r="AA133" s="2">
        <v>212.633485759184</v>
      </c>
      <c r="AB133" s="2">
        <v>88.956705910075499</v>
      </c>
      <c r="AC133" s="2">
        <v>58.999744607884097</v>
      </c>
      <c r="AD133" s="2">
        <v>3.8877032919780001</v>
      </c>
      <c r="AE133" s="2">
        <v>16.6117389620408</v>
      </c>
      <c r="AF133" s="2">
        <v>20.809430751943601</v>
      </c>
      <c r="AG133" s="2">
        <v>71.641754914003997</v>
      </c>
      <c r="AH133" s="2">
        <v>52.916718766711099</v>
      </c>
      <c r="AI133" s="2">
        <v>261.106069957785</v>
      </c>
      <c r="AJ133" s="2">
        <v>87.582973185830596</v>
      </c>
    </row>
    <row r="134" spans="1:36" ht="15.75" hidden="1" customHeight="1" x14ac:dyDescent="0.45">
      <c r="A134" s="2" t="s">
        <v>92</v>
      </c>
      <c r="B134" s="2" t="s">
        <v>82</v>
      </c>
      <c r="C134" s="2">
        <v>0.3</v>
      </c>
      <c r="D134" s="2" t="s">
        <v>83</v>
      </c>
      <c r="E134" s="2" t="s">
        <v>84</v>
      </c>
      <c r="H134" s="2">
        <v>0.1</v>
      </c>
      <c r="I134" s="2">
        <v>10.0825469952555</v>
      </c>
      <c r="J134" s="2">
        <v>2.47660905869833</v>
      </c>
      <c r="K134" s="2">
        <v>128.5</v>
      </c>
      <c r="L134" s="2">
        <v>62.908222391388897</v>
      </c>
      <c r="M134" s="2">
        <v>11.6103227876277</v>
      </c>
      <c r="N134" s="2">
        <v>0.90179762170471001</v>
      </c>
      <c r="O134" s="2">
        <v>0.80627827923666595</v>
      </c>
      <c r="P134" s="2">
        <v>0.53234313124702304</v>
      </c>
      <c r="Q134" s="2">
        <v>7.1989482406388801</v>
      </c>
      <c r="R134" s="2">
        <v>1.71773620868623</v>
      </c>
      <c r="S134" s="2">
        <v>0.50174960902277699</v>
      </c>
      <c r="T134" s="2">
        <v>0.27777771789802802</v>
      </c>
      <c r="U134" s="2">
        <v>6.99868370552222</v>
      </c>
      <c r="V134" s="2">
        <v>0.90990524280783502</v>
      </c>
      <c r="W134" s="7">
        <v>55.902892378433599</v>
      </c>
      <c r="X134" s="2">
        <v>28.711823867265</v>
      </c>
      <c r="Y134" s="7">
        <v>30.118018812945699</v>
      </c>
      <c r="Z134" s="2">
        <v>7.3797215763469497</v>
      </c>
      <c r="AA134" s="2">
        <v>157.90908697825799</v>
      </c>
      <c r="AB134" s="2">
        <v>43.686654535105298</v>
      </c>
      <c r="AC134" s="2">
        <v>75.883031886146995</v>
      </c>
      <c r="AD134" s="2">
        <v>4.1612487247464802</v>
      </c>
      <c r="AE134" s="2">
        <v>52.341132390445203</v>
      </c>
      <c r="AF134" s="2">
        <v>49.968320107140897</v>
      </c>
      <c r="AG134" s="2">
        <v>63.759741543768499</v>
      </c>
      <c r="AH134" s="2">
        <v>18.006553702926599</v>
      </c>
      <c r="AI134" s="2">
        <v>213.825190889787</v>
      </c>
      <c r="AJ134" s="2">
        <v>26.558444944400399</v>
      </c>
    </row>
    <row r="135" spans="1:36" ht="15.75" hidden="1" customHeight="1" x14ac:dyDescent="0.45">
      <c r="A135" s="2" t="s">
        <v>92</v>
      </c>
      <c r="B135" s="2" t="s">
        <v>82</v>
      </c>
      <c r="C135" s="2">
        <v>1</v>
      </c>
      <c r="D135" s="2" t="s">
        <v>83</v>
      </c>
      <c r="E135" s="2" t="s">
        <v>84</v>
      </c>
      <c r="H135" s="2">
        <v>0.1</v>
      </c>
      <c r="I135" s="2">
        <v>5.6004069672266601</v>
      </c>
      <c r="J135" s="2">
        <v>1.9317627657537</v>
      </c>
      <c r="K135" s="2">
        <v>89.911111111111097</v>
      </c>
      <c r="L135" s="2">
        <v>16.916176785463001</v>
      </c>
      <c r="M135" s="2">
        <v>11.0911405676577</v>
      </c>
      <c r="N135" s="2">
        <v>1.4322998978821599</v>
      </c>
      <c r="O135" s="2">
        <v>0.29779562184833303</v>
      </c>
      <c r="P135" s="2">
        <v>0.18212984535576801</v>
      </c>
      <c r="Q135" s="2">
        <v>6.52416949840444</v>
      </c>
      <c r="R135" s="2">
        <v>1.4461924913520301</v>
      </c>
      <c r="S135" s="2">
        <v>0.14663023679444401</v>
      </c>
      <c r="T135" s="2">
        <v>0.25397102005383299</v>
      </c>
      <c r="U135" s="2">
        <v>8.0420540690633295</v>
      </c>
      <c r="V135" s="2">
        <v>1.1620589127449701</v>
      </c>
      <c r="W135" s="7">
        <v>38.912558019377798</v>
      </c>
      <c r="X135" s="2">
        <v>7.7236903874575003</v>
      </c>
      <c r="Y135" s="7">
        <v>16.614934967657899</v>
      </c>
      <c r="Z135" s="2">
        <v>5.0507363264020002</v>
      </c>
      <c r="AA135" s="2">
        <v>143.03130746512699</v>
      </c>
      <c r="AB135" s="2">
        <v>36.4443753446144</v>
      </c>
      <c r="AC135" s="2">
        <v>72.231105004822496</v>
      </c>
      <c r="AD135" s="2">
        <v>3.4623366173455699</v>
      </c>
      <c r="AE135" s="2">
        <v>16.515686953842501</v>
      </c>
      <c r="AF135" s="2">
        <v>7.6616908407881201</v>
      </c>
      <c r="AG135" s="2">
        <v>13.6667413272822</v>
      </c>
      <c r="AH135" s="2">
        <v>23.671490352754098</v>
      </c>
      <c r="AI135" s="2">
        <v>249.60933897095299</v>
      </c>
      <c r="AJ135" s="2">
        <v>63.767260775689998</v>
      </c>
    </row>
    <row r="136" spans="1:36" ht="15.75" hidden="1" customHeight="1" x14ac:dyDescent="0.45">
      <c r="A136" s="2" t="s">
        <v>92</v>
      </c>
      <c r="B136" s="2" t="s">
        <v>82</v>
      </c>
      <c r="C136" s="2">
        <v>3</v>
      </c>
      <c r="D136" s="2" t="s">
        <v>83</v>
      </c>
      <c r="E136" s="2" t="s">
        <v>84</v>
      </c>
      <c r="H136" s="2">
        <v>0.1</v>
      </c>
      <c r="I136" s="2">
        <v>7.7958187695555496</v>
      </c>
      <c r="J136" s="2">
        <v>2.11614086819886</v>
      </c>
      <c r="K136" s="2">
        <v>85.0555555555555</v>
      </c>
      <c r="L136" s="2">
        <v>14.126741125072501</v>
      </c>
      <c r="M136" s="2">
        <v>11.5640597867277</v>
      </c>
      <c r="N136" s="2">
        <v>3.64969113502704</v>
      </c>
      <c r="O136" s="2">
        <v>1.80202543266444</v>
      </c>
      <c r="P136" s="2">
        <v>2.5922454837109998</v>
      </c>
      <c r="Q136" s="2">
        <v>5.6015840843666602</v>
      </c>
      <c r="R136" s="2">
        <v>0.513621591832223</v>
      </c>
      <c r="S136" s="2">
        <v>0.38299788155999998</v>
      </c>
      <c r="T136" s="2">
        <v>0.367797525730366</v>
      </c>
      <c r="U136" s="2">
        <v>8.4645571247944407</v>
      </c>
      <c r="V136" s="2">
        <v>1.17487977136508</v>
      </c>
      <c r="W136" s="7">
        <v>36.798717549947</v>
      </c>
      <c r="X136" s="2">
        <v>6.5579005671458104</v>
      </c>
      <c r="Y136" s="7">
        <v>23.184978293991101</v>
      </c>
      <c r="Z136" s="2">
        <v>5.5141728683780196</v>
      </c>
      <c r="AA136" s="2">
        <v>125.59775153686</v>
      </c>
      <c r="AB136" s="2">
        <v>33.588528843167097</v>
      </c>
      <c r="AC136" s="2">
        <v>74.624357081613695</v>
      </c>
      <c r="AD136" s="2">
        <v>17.284834171859</v>
      </c>
      <c r="AE136" s="2">
        <v>73.932833821116304</v>
      </c>
      <c r="AF136" s="2">
        <v>88.348440894501906</v>
      </c>
      <c r="AG136" s="2">
        <v>72.297563530610404</v>
      </c>
      <c r="AH136" s="2">
        <v>93.351965615303101</v>
      </c>
      <c r="AI136" s="2">
        <v>258.24271034378501</v>
      </c>
      <c r="AJ136" s="2">
        <v>30.060775857824598</v>
      </c>
    </row>
    <row r="137" spans="1:36" ht="15.75" hidden="1" customHeight="1" x14ac:dyDescent="0.45">
      <c r="A137" s="2" t="s">
        <v>92</v>
      </c>
      <c r="B137" s="2" t="s">
        <v>82</v>
      </c>
      <c r="C137" s="2">
        <v>10</v>
      </c>
      <c r="D137" s="2" t="s">
        <v>83</v>
      </c>
      <c r="E137" s="2" t="s">
        <v>84</v>
      </c>
      <c r="H137" s="2">
        <v>0.1</v>
      </c>
      <c r="I137" s="2">
        <v>6.7460527965311101</v>
      </c>
      <c r="J137" s="2">
        <v>2.2478951635676898</v>
      </c>
      <c r="K137" s="2">
        <v>60.1666666666666</v>
      </c>
      <c r="L137" s="2">
        <v>8.2209083034256594</v>
      </c>
      <c r="M137" s="2">
        <v>11.1323144897622</v>
      </c>
      <c r="N137" s="2">
        <v>0.95064798179444199</v>
      </c>
      <c r="O137" s="2">
        <v>0.64836668868555503</v>
      </c>
      <c r="P137" s="2">
        <v>0.91002236340279596</v>
      </c>
      <c r="Q137" s="2">
        <v>4.8723499884122203</v>
      </c>
      <c r="R137" s="2">
        <v>0.57465375182230205</v>
      </c>
      <c r="S137" s="2">
        <v>0.53781291625555505</v>
      </c>
      <c r="T137" s="2">
        <v>0.24445724844574099</v>
      </c>
      <c r="U137" s="2">
        <v>5.9891452398322196</v>
      </c>
      <c r="V137" s="2">
        <v>0.617773968033276</v>
      </c>
      <c r="W137" s="7">
        <v>26.053352198362798</v>
      </c>
      <c r="X137" s="2">
        <v>4.1283175287374601</v>
      </c>
      <c r="Y137" s="7">
        <v>20.3381875400929</v>
      </c>
      <c r="Z137" s="2">
        <v>7.7211376664847799</v>
      </c>
      <c r="AA137" s="2">
        <v>106.466430873051</v>
      </c>
      <c r="AB137" s="2">
        <v>10.247861757283101</v>
      </c>
      <c r="AC137" s="2">
        <v>72.970745276379603</v>
      </c>
      <c r="AD137" s="2">
        <v>8.3244816921417097</v>
      </c>
      <c r="AE137" s="2">
        <v>26.073482137198798</v>
      </c>
      <c r="AF137" s="2">
        <v>32.085077815334202</v>
      </c>
      <c r="AG137" s="2">
        <v>74.466370205605301</v>
      </c>
      <c r="AH137" s="2">
        <v>37.064529597642903</v>
      </c>
      <c r="AI137" s="2">
        <v>190.33966785394</v>
      </c>
      <c r="AJ137" s="2">
        <v>69.799346310543498</v>
      </c>
    </row>
    <row r="138" spans="1:36" ht="15.75" hidden="1" customHeight="1" x14ac:dyDescent="0.45">
      <c r="A138" s="2" t="s">
        <v>92</v>
      </c>
      <c r="B138" s="2" t="s">
        <v>82</v>
      </c>
      <c r="C138" s="2">
        <v>3.0000000000000001E-3</v>
      </c>
      <c r="D138" s="2" t="s">
        <v>83</v>
      </c>
      <c r="E138" s="2" t="s">
        <v>84</v>
      </c>
      <c r="H138" s="2">
        <v>0.05</v>
      </c>
      <c r="I138" s="2">
        <v>2.5421865408234199</v>
      </c>
      <c r="J138" s="2">
        <v>2.0163845394125</v>
      </c>
      <c r="K138" s="2">
        <v>194.47685185185099</v>
      </c>
      <c r="L138" s="2">
        <v>15.154122899185699</v>
      </c>
      <c r="M138" s="2">
        <v>16.975727281660099</v>
      </c>
      <c r="N138" s="2">
        <v>1.8054691036519299</v>
      </c>
      <c r="O138" s="2">
        <v>21.693675962242501</v>
      </c>
      <c r="P138" s="2">
        <v>3.8426099872832502</v>
      </c>
      <c r="Q138" s="2">
        <v>4.21499619839138</v>
      </c>
      <c r="R138" s="2">
        <v>0.84910696501772398</v>
      </c>
      <c r="S138" s="2">
        <v>0.189812728076203</v>
      </c>
      <c r="T138" s="2">
        <v>7.3593922463733003E-2</v>
      </c>
      <c r="U138" s="2">
        <v>7.4432597872861104</v>
      </c>
      <c r="V138" s="2">
        <v>1.18458993289945</v>
      </c>
      <c r="W138" s="7">
        <v>76.460248091195496</v>
      </c>
      <c r="X138" s="2">
        <v>10.6587575434481</v>
      </c>
      <c r="Y138" s="7">
        <v>121.327691790103</v>
      </c>
      <c r="Z138" s="2">
        <v>76.965308017577996</v>
      </c>
      <c r="AA138" s="2">
        <v>147.693027674371</v>
      </c>
      <c r="AB138" s="2">
        <v>25.833147130986902</v>
      </c>
      <c r="AC138" s="2">
        <v>93.9425692779418</v>
      </c>
      <c r="AD138" s="2">
        <v>10.208159445263499</v>
      </c>
      <c r="AE138" s="2">
        <v>67.370611890289396</v>
      </c>
      <c r="AF138" s="2">
        <v>13.1219241312014</v>
      </c>
      <c r="AG138" s="2">
        <v>39.507627524713598</v>
      </c>
      <c r="AH138" s="2">
        <v>1.8413362305244301</v>
      </c>
      <c r="AI138" s="2">
        <v>173.22390886106001</v>
      </c>
      <c r="AJ138" s="2">
        <v>27.8950654207542</v>
      </c>
    </row>
    <row r="139" spans="1:36" ht="15.75" hidden="1" customHeight="1" x14ac:dyDescent="0.45">
      <c r="A139" s="2" t="s">
        <v>92</v>
      </c>
      <c r="B139" s="2" t="s">
        <v>82</v>
      </c>
      <c r="C139" s="2">
        <v>0.01</v>
      </c>
      <c r="D139" s="2" t="s">
        <v>83</v>
      </c>
      <c r="E139" s="2" t="s">
        <v>84</v>
      </c>
      <c r="H139" s="2">
        <v>0.05</v>
      </c>
      <c r="I139" s="2">
        <v>1.7693173943603699</v>
      </c>
      <c r="J139" s="2">
        <v>0.40985921480371601</v>
      </c>
      <c r="K139" s="2">
        <v>146.555555555555</v>
      </c>
      <c r="L139" s="2">
        <v>9.1577397610364208</v>
      </c>
      <c r="M139" s="2">
        <v>15.453803837407399</v>
      </c>
      <c r="N139" s="2">
        <v>1.06126946829604</v>
      </c>
      <c r="O139" s="2">
        <v>15.925005988314799</v>
      </c>
      <c r="P139" s="2">
        <v>2.4228703513182999</v>
      </c>
      <c r="Q139" s="2">
        <v>4.4190274220900001</v>
      </c>
      <c r="R139" s="2">
        <v>0.87646695322966905</v>
      </c>
      <c r="S139" s="2">
        <v>0.31745400436518501</v>
      </c>
      <c r="T139" s="2">
        <v>8.0382435685027398E-2</v>
      </c>
      <c r="U139" s="2">
        <v>8.3887292102185107</v>
      </c>
      <c r="V139" s="2">
        <v>0.63160168727851196</v>
      </c>
      <c r="W139" s="7">
        <v>57.518134903956998</v>
      </c>
      <c r="X139" s="2">
        <v>6.2354313616345802</v>
      </c>
      <c r="Y139" s="7">
        <v>93.2780437254887</v>
      </c>
      <c r="Z139" s="2">
        <v>21.949972620191399</v>
      </c>
      <c r="AA139" s="2">
        <v>155.13163016471299</v>
      </c>
      <c r="AB139" s="2">
        <v>29.841810759429301</v>
      </c>
      <c r="AC139" s="2">
        <v>85.457942600568202</v>
      </c>
      <c r="AD139" s="2">
        <v>4.9391991050152999</v>
      </c>
      <c r="AE139" s="2">
        <v>49.188258427100898</v>
      </c>
      <c r="AF139" s="2">
        <v>5.0663439004963804</v>
      </c>
      <c r="AG139" s="2">
        <v>76.841963983964305</v>
      </c>
      <c r="AH139" s="2">
        <v>47.497657298157201</v>
      </c>
      <c r="AI139" s="2">
        <v>194.76092225190899</v>
      </c>
      <c r="AJ139" s="2">
        <v>3.0129274302184501</v>
      </c>
    </row>
    <row r="140" spans="1:36" ht="15.75" hidden="1" customHeight="1" x14ac:dyDescent="0.45">
      <c r="A140" s="2" t="s">
        <v>92</v>
      </c>
      <c r="B140" s="2" t="s">
        <v>82</v>
      </c>
      <c r="C140" s="2">
        <v>0.03</v>
      </c>
      <c r="D140" s="2" t="s">
        <v>83</v>
      </c>
      <c r="E140" s="2" t="s">
        <v>84</v>
      </c>
      <c r="H140" s="2">
        <v>0.05</v>
      </c>
      <c r="I140" s="2">
        <v>1.1658432410044399</v>
      </c>
      <c r="J140" s="2">
        <v>0.51904430442954796</v>
      </c>
      <c r="K140" s="2">
        <v>106.444444444444</v>
      </c>
      <c r="L140" s="2">
        <v>13.695543115720801</v>
      </c>
      <c r="M140" s="2">
        <v>13.771125818973999</v>
      </c>
      <c r="N140" s="2">
        <v>1.1655517566226301</v>
      </c>
      <c r="O140" s="2">
        <v>6.0946648576036999</v>
      </c>
      <c r="P140" s="2">
        <v>5.28120792789107</v>
      </c>
      <c r="Q140" s="2">
        <v>6.5892536665296202</v>
      </c>
      <c r="R140" s="2">
        <v>0.50680175279607897</v>
      </c>
      <c r="S140" s="2">
        <v>0.10136448795036999</v>
      </c>
      <c r="T140" s="2">
        <v>0.121704126280388</v>
      </c>
      <c r="U140" s="2">
        <v>9.4794451988444397</v>
      </c>
      <c r="V140" s="2">
        <v>1.1030404457026499</v>
      </c>
      <c r="W140" s="7">
        <v>41.657517124597099</v>
      </c>
      <c r="X140" s="2">
        <v>5.2680268039060598</v>
      </c>
      <c r="Y140" s="7">
        <v>62.583023597728697</v>
      </c>
      <c r="Z140" s="2">
        <v>27.321116685775898</v>
      </c>
      <c r="AA140" s="2">
        <v>231.80795480012799</v>
      </c>
      <c r="AB140" s="2">
        <v>21.7575550355571</v>
      </c>
      <c r="AC140" s="2">
        <v>76.072549775205303</v>
      </c>
      <c r="AD140" s="2">
        <v>4.1423876726691198</v>
      </c>
      <c r="AE140" s="2">
        <v>19.722045002542998</v>
      </c>
      <c r="AF140" s="2">
        <v>17.096877961374702</v>
      </c>
      <c r="AG140" s="2">
        <v>31.5140618101948</v>
      </c>
      <c r="AH140" s="2">
        <v>43.415617165274597</v>
      </c>
      <c r="AI140" s="2">
        <v>220.60041897959101</v>
      </c>
      <c r="AJ140" s="2">
        <v>26.309506943062001</v>
      </c>
    </row>
    <row r="141" spans="1:36" ht="15.75" hidden="1" customHeight="1" x14ac:dyDescent="0.45">
      <c r="A141" s="2" t="s">
        <v>92</v>
      </c>
      <c r="B141" s="2" t="s">
        <v>82</v>
      </c>
      <c r="C141" s="2">
        <v>0.1</v>
      </c>
      <c r="D141" s="2" t="s">
        <v>83</v>
      </c>
      <c r="E141" s="2" t="s">
        <v>84</v>
      </c>
      <c r="H141" s="2">
        <v>0.05</v>
      </c>
      <c r="I141" s="2">
        <v>3.4133613574025898</v>
      </c>
      <c r="J141" s="2">
        <v>3.8714206302234899</v>
      </c>
      <c r="K141" s="2">
        <v>93.740740740740705</v>
      </c>
      <c r="L141" s="2">
        <v>7.1122684243436796</v>
      </c>
      <c r="M141" s="2">
        <v>11.523050080648099</v>
      </c>
      <c r="N141" s="2">
        <v>1.4561666028251401</v>
      </c>
      <c r="O141" s="2">
        <v>7.0952595492296204</v>
      </c>
      <c r="P141" s="2">
        <v>0.538450658996804</v>
      </c>
      <c r="Q141" s="2">
        <v>7.3980879129444403</v>
      </c>
      <c r="R141" s="2">
        <v>3.4637652687611098</v>
      </c>
      <c r="S141" s="2">
        <v>0.26641614170370298</v>
      </c>
      <c r="T141" s="2">
        <v>0.172085952547925</v>
      </c>
      <c r="U141" s="2">
        <v>10.7149400084592</v>
      </c>
      <c r="V141" s="2">
        <v>1.41025794094587</v>
      </c>
      <c r="W141" s="7">
        <v>36.889452174755903</v>
      </c>
      <c r="X141" s="2">
        <v>5.4262072099758898</v>
      </c>
      <c r="Y141" s="7">
        <v>244.30676871630399</v>
      </c>
      <c r="Z141" s="2">
        <v>335.92989491692299</v>
      </c>
      <c r="AA141" s="2">
        <v>261.184136377595</v>
      </c>
      <c r="AB141" s="2">
        <v>125.419766774233</v>
      </c>
      <c r="AC141" s="2">
        <v>63.589366450959098</v>
      </c>
      <c r="AD141" s="2">
        <v>6.0621274322725096</v>
      </c>
      <c r="AE141" s="2">
        <v>22.038253438199501</v>
      </c>
      <c r="AF141" s="2">
        <v>2.2453531606084698</v>
      </c>
      <c r="AG141" s="2">
        <v>54.799166023659701</v>
      </c>
      <c r="AH141" s="2">
        <v>30.0276582339478</v>
      </c>
      <c r="AI141" s="2">
        <v>251.605606728195</v>
      </c>
      <c r="AJ141" s="2">
        <v>55.365133028931503</v>
      </c>
    </row>
    <row r="142" spans="1:36" ht="15.75" hidden="1" customHeight="1" x14ac:dyDescent="0.45">
      <c r="A142" s="2" t="s">
        <v>92</v>
      </c>
      <c r="B142" s="2" t="s">
        <v>82</v>
      </c>
      <c r="C142" s="2">
        <v>0.3</v>
      </c>
      <c r="D142" s="2" t="s">
        <v>83</v>
      </c>
      <c r="E142" s="2" t="s">
        <v>84</v>
      </c>
      <c r="H142" s="2">
        <v>0.05</v>
      </c>
      <c r="I142" s="2">
        <v>2.5596591589670301</v>
      </c>
      <c r="J142" s="2">
        <v>3.1672287763584399</v>
      </c>
      <c r="K142" s="2">
        <v>93.990740740740705</v>
      </c>
      <c r="L142" s="2">
        <v>9.7008627803473804</v>
      </c>
      <c r="M142" s="2">
        <v>12.370006151511101</v>
      </c>
      <c r="N142" s="2">
        <v>1.65499600705281</v>
      </c>
      <c r="O142" s="2">
        <v>7.7082944621361102</v>
      </c>
      <c r="P142" s="2">
        <v>0.64571747355515396</v>
      </c>
      <c r="Q142" s="2">
        <v>6.1082967502666596</v>
      </c>
      <c r="R142" s="2">
        <v>0.71039151703715697</v>
      </c>
      <c r="S142" s="2">
        <v>0.41396799087814801</v>
      </c>
      <c r="T142" s="2">
        <v>0.137650966948863</v>
      </c>
      <c r="U142" s="2">
        <v>10.2649197644157</v>
      </c>
      <c r="V142" s="2">
        <v>0.33664000009107398</v>
      </c>
      <c r="W142" s="7">
        <v>37.068642025946701</v>
      </c>
      <c r="X142" s="2">
        <v>6.4805184897164798</v>
      </c>
      <c r="Y142" s="7">
        <v>113.583141936207</v>
      </c>
      <c r="Z142" s="2">
        <v>136.100726892306</v>
      </c>
      <c r="AA142" s="2">
        <v>214.345265113316</v>
      </c>
      <c r="AB142" s="2">
        <v>19.697811949991198</v>
      </c>
      <c r="AC142" s="2">
        <v>68.231466599353496</v>
      </c>
      <c r="AD142" s="2">
        <v>6.7112666502192697</v>
      </c>
      <c r="AE142" s="2">
        <v>23.869953512621699</v>
      </c>
      <c r="AF142" s="2">
        <v>1.14423207748213</v>
      </c>
      <c r="AG142" s="2">
        <v>95.369383834903601</v>
      </c>
      <c r="AH142" s="2">
        <v>40.469626278426098</v>
      </c>
      <c r="AI142" s="2">
        <v>239.41993682135401</v>
      </c>
      <c r="AJ142" s="2">
        <v>22.908655783403798</v>
      </c>
    </row>
    <row r="143" spans="1:36" ht="15.75" hidden="1" customHeight="1" x14ac:dyDescent="0.45">
      <c r="A143" s="2" t="s">
        <v>92</v>
      </c>
      <c r="B143" s="2" t="s">
        <v>82</v>
      </c>
      <c r="C143" s="2">
        <v>10</v>
      </c>
      <c r="D143" s="2" t="s">
        <v>83</v>
      </c>
      <c r="E143" s="2" t="s">
        <v>84</v>
      </c>
      <c r="H143" s="2">
        <v>0.05</v>
      </c>
      <c r="I143" s="2">
        <v>2.93813512230231</v>
      </c>
      <c r="J143" s="2">
        <v>4.1859374157128801</v>
      </c>
      <c r="K143" s="2">
        <v>76.1944444444444</v>
      </c>
      <c r="L143" s="2">
        <v>8.8051174093586706</v>
      </c>
      <c r="M143" s="2">
        <v>8.9613613495430506</v>
      </c>
      <c r="N143" s="2">
        <v>0.616608174929825</v>
      </c>
      <c r="O143" s="2">
        <v>3.6337839654217499</v>
      </c>
      <c r="P143" s="2">
        <v>1.9933668716062301</v>
      </c>
      <c r="Q143" s="2">
        <v>8.1883991120851807</v>
      </c>
      <c r="R143" s="2">
        <v>2.1405328804952202</v>
      </c>
      <c r="S143" s="2">
        <v>0.28440574086388798</v>
      </c>
      <c r="T143" s="2">
        <v>0.27116875835668602</v>
      </c>
      <c r="U143" s="2">
        <v>10.025972721615201</v>
      </c>
      <c r="V143" s="2">
        <v>1.66930421780192</v>
      </c>
      <c r="W143" s="7">
        <v>29.7826964939227</v>
      </c>
      <c r="X143" s="2">
        <v>2.8889813002469</v>
      </c>
      <c r="Y143" s="7">
        <v>131.46074455072301</v>
      </c>
      <c r="Z143" s="2">
        <v>166.83500926656299</v>
      </c>
      <c r="AA143" s="2">
        <v>289.20189411191001</v>
      </c>
      <c r="AB143" s="2">
        <v>82.152591886733305</v>
      </c>
      <c r="AC143" s="2">
        <v>49.610071158604399</v>
      </c>
      <c r="AD143" s="2">
        <v>4.0266923451942898</v>
      </c>
      <c r="AE143" s="2">
        <v>11.0208125021394</v>
      </c>
      <c r="AF143" s="2">
        <v>5.3780861651318101</v>
      </c>
      <c r="AG143" s="2">
        <v>78.133939334660198</v>
      </c>
      <c r="AH143" s="2">
        <v>95.906761314372204</v>
      </c>
      <c r="AI143" s="2">
        <v>232.48928054695801</v>
      </c>
      <c r="AJ143" s="2">
        <v>32.0595567661993</v>
      </c>
    </row>
    <row r="144" spans="1:36" ht="15.75" hidden="1" customHeight="1" x14ac:dyDescent="0.45">
      <c r="A144" s="2" t="s">
        <v>92</v>
      </c>
      <c r="B144" s="2" t="s">
        <v>82</v>
      </c>
      <c r="C144" s="2">
        <v>1</v>
      </c>
      <c r="D144" s="2" t="s">
        <v>83</v>
      </c>
      <c r="E144" s="2" t="s">
        <v>84</v>
      </c>
      <c r="H144" s="2">
        <v>0.05</v>
      </c>
      <c r="I144" s="2">
        <v>2.4284436879684002</v>
      </c>
      <c r="J144" s="2">
        <v>1.5127394811756401</v>
      </c>
      <c r="K144" s="2">
        <v>94.362962962962897</v>
      </c>
      <c r="L144" s="2">
        <v>6.6228311924821002</v>
      </c>
      <c r="M144" s="2">
        <v>12.178882973359199</v>
      </c>
      <c r="N144" s="2">
        <v>1.1648155084990399</v>
      </c>
      <c r="O144" s="2">
        <v>4.2187404171295197</v>
      </c>
      <c r="P144" s="2">
        <v>3.6658826532408102</v>
      </c>
      <c r="Q144" s="2">
        <v>8.2177493813057101</v>
      </c>
      <c r="R144" s="2">
        <v>1.1099345795490201</v>
      </c>
      <c r="S144" s="2">
        <v>0.10454296661199999</v>
      </c>
      <c r="T144" s="2">
        <v>9.6592114990937006E-2</v>
      </c>
      <c r="U144" s="2">
        <v>10.389452373182801</v>
      </c>
      <c r="V144" s="2">
        <v>0.832655536447369</v>
      </c>
      <c r="W144" s="7">
        <v>37.046691971539602</v>
      </c>
      <c r="X144" s="2">
        <v>4.1858338570048899</v>
      </c>
      <c r="Y144" s="7">
        <v>112.58961755740199</v>
      </c>
      <c r="Z144" s="2">
        <v>50.5025079280977</v>
      </c>
      <c r="AA144" s="2">
        <v>288.33206570362</v>
      </c>
      <c r="AB144" s="2">
        <v>33.1710974705422</v>
      </c>
      <c r="AC144" s="2">
        <v>67.336634600986102</v>
      </c>
      <c r="AD144" s="2">
        <v>5.7414087079405496</v>
      </c>
      <c r="AE144" s="2">
        <v>13.646020232661099</v>
      </c>
      <c r="AF144" s="2">
        <v>11.8481256443507</v>
      </c>
      <c r="AG144" s="2">
        <v>19.1109849267987</v>
      </c>
      <c r="AH144" s="2">
        <v>18.987181629587901</v>
      </c>
      <c r="AI144" s="2">
        <v>241.18164365337</v>
      </c>
      <c r="AJ144" s="2">
        <v>5.3284809403799898</v>
      </c>
    </row>
    <row r="145" spans="1:36" ht="15.75" hidden="1" customHeight="1" x14ac:dyDescent="0.45">
      <c r="A145" s="2" t="s">
        <v>92</v>
      </c>
      <c r="B145" s="2" t="s">
        <v>82</v>
      </c>
      <c r="C145" s="2">
        <v>3</v>
      </c>
      <c r="D145" s="2" t="s">
        <v>83</v>
      </c>
      <c r="E145" s="2" t="s">
        <v>84</v>
      </c>
      <c r="H145" s="2">
        <v>0.05</v>
      </c>
      <c r="I145" s="2">
        <v>2.0037367497564502</v>
      </c>
      <c r="J145" s="2">
        <v>1.3496134318012001</v>
      </c>
      <c r="K145" s="2">
        <v>102.156084656084</v>
      </c>
      <c r="L145" s="2">
        <v>14.884353755890601</v>
      </c>
      <c r="M145" s="2">
        <v>11.0301644099904</v>
      </c>
      <c r="N145" s="2">
        <v>2.5816574222186799</v>
      </c>
      <c r="O145" s="2">
        <v>6.6362592937150797</v>
      </c>
      <c r="P145" s="2">
        <v>0.54034784090493104</v>
      </c>
      <c r="Q145" s="2">
        <v>7.1478112008658696</v>
      </c>
      <c r="R145" s="2">
        <v>0.86291497584465404</v>
      </c>
      <c r="S145" s="2">
        <v>0.44491898882261899</v>
      </c>
      <c r="T145" s="2">
        <v>0.41540053552881601</v>
      </c>
      <c r="U145" s="2">
        <v>11.077293865066601</v>
      </c>
      <c r="V145" s="2">
        <v>0.86057967778705202</v>
      </c>
      <c r="W145" s="7">
        <v>40.408373485732099</v>
      </c>
      <c r="X145" s="2">
        <v>8.9945289368594796</v>
      </c>
      <c r="Y145" s="7">
        <v>94.488686909702494</v>
      </c>
      <c r="Z145" s="2">
        <v>42.924223446160603</v>
      </c>
      <c r="AA145" s="2">
        <v>250.783547940446</v>
      </c>
      <c r="AB145" s="2">
        <v>24.109437434631399</v>
      </c>
      <c r="AC145" s="2">
        <v>61.224335446384998</v>
      </c>
      <c r="AD145" s="2">
        <v>15.278470916570701</v>
      </c>
      <c r="AE145" s="2">
        <v>20.6068709110715</v>
      </c>
      <c r="AF145" s="2">
        <v>2.1143959468523601</v>
      </c>
      <c r="AG145" s="2">
        <v>81.501445845215599</v>
      </c>
      <c r="AH145" s="2">
        <v>81.997830030311206</v>
      </c>
      <c r="AI145" s="2">
        <v>259.53442987621003</v>
      </c>
      <c r="AJ145" s="2">
        <v>43.3255316797283</v>
      </c>
    </row>
    <row r="146" spans="1:36" ht="15.75" customHeight="1" x14ac:dyDescent="0.45">
      <c r="A146" s="2" t="s">
        <v>92</v>
      </c>
      <c r="B146" s="2" t="s">
        <v>82</v>
      </c>
      <c r="C146" s="2">
        <v>3.0000000000000001E-3</v>
      </c>
      <c r="D146" s="2" t="s">
        <v>85</v>
      </c>
      <c r="E146" s="2" t="s">
        <v>84</v>
      </c>
      <c r="F146" s="2" t="s">
        <v>86</v>
      </c>
      <c r="G146" s="2">
        <v>3539</v>
      </c>
      <c r="H146" s="2">
        <v>50</v>
      </c>
      <c r="I146" s="2">
        <v>3.8218344936666599</v>
      </c>
      <c r="J146" s="2">
        <v>0.71884008128672705</v>
      </c>
      <c r="K146" s="2">
        <v>144.333333333333</v>
      </c>
      <c r="L146" s="2">
        <v>12.748638271508399</v>
      </c>
      <c r="M146" s="2">
        <v>0.24977294294388799</v>
      </c>
      <c r="N146" s="2">
        <v>0.10867652589364001</v>
      </c>
      <c r="O146" s="2">
        <v>7.4217143266111105E-2</v>
      </c>
      <c r="P146" s="2">
        <v>7.3125046676010802E-2</v>
      </c>
      <c r="Q146" s="2">
        <v>7.7264585682777698</v>
      </c>
      <c r="R146" s="2">
        <v>4.6623565402083003</v>
      </c>
      <c r="S146" s="2">
        <v>0</v>
      </c>
      <c r="T146" s="2">
        <v>0</v>
      </c>
      <c r="U146" s="2">
        <v>0.75239498170166597</v>
      </c>
      <c r="V146" s="2">
        <v>0.35541698372370401</v>
      </c>
      <c r="W146" s="7">
        <v>93.681175140925106</v>
      </c>
      <c r="X146" s="2">
        <v>11.8663399090163</v>
      </c>
      <c r="Y146" s="7">
        <v>91.6736022097339</v>
      </c>
      <c r="Z146" s="2">
        <v>16.222834315270099</v>
      </c>
      <c r="AA146" s="2">
        <v>94.680219055075398</v>
      </c>
      <c r="AB146" s="2">
        <v>43.774541115603697</v>
      </c>
      <c r="AC146" s="2">
        <v>113.76757929115399</v>
      </c>
      <c r="AD146" s="2">
        <v>54.3974508557977</v>
      </c>
      <c r="AE146" s="2">
        <v>29.597198670288002</v>
      </c>
      <c r="AF146" s="2">
        <v>26.812715960460402</v>
      </c>
      <c r="AG146" s="2">
        <v>0</v>
      </c>
      <c r="AH146" s="2">
        <v>0</v>
      </c>
      <c r="AI146" s="2">
        <v>200.030922098292</v>
      </c>
      <c r="AJ146" s="2">
        <v>120.41339895622301</v>
      </c>
    </row>
    <row r="147" spans="1:36" ht="15.75" customHeight="1" x14ac:dyDescent="0.45">
      <c r="A147" s="2" t="s">
        <v>92</v>
      </c>
      <c r="B147" s="2" t="s">
        <v>82</v>
      </c>
      <c r="C147" s="2">
        <v>0.01</v>
      </c>
      <c r="D147" s="2" t="s">
        <v>85</v>
      </c>
      <c r="E147" s="2" t="s">
        <v>84</v>
      </c>
      <c r="F147" s="2" t="s">
        <v>86</v>
      </c>
      <c r="G147" s="2">
        <v>3539</v>
      </c>
      <c r="H147" s="2">
        <v>50</v>
      </c>
      <c r="I147" s="2">
        <v>4.0682672240777702</v>
      </c>
      <c r="J147" s="2">
        <v>0.565498069631999</v>
      </c>
      <c r="K147" s="2">
        <v>159.277777777777</v>
      </c>
      <c r="L147" s="2">
        <v>36.932872038836003</v>
      </c>
      <c r="M147" s="2">
        <v>0.15385446221388799</v>
      </c>
      <c r="N147" s="2">
        <v>5.30397418414357E-2</v>
      </c>
      <c r="O147" s="2">
        <v>0.21198639968722199</v>
      </c>
      <c r="P147" s="2">
        <v>0.215827539521183</v>
      </c>
      <c r="Q147" s="2">
        <v>5.9753446250499902</v>
      </c>
      <c r="R147" s="2">
        <v>2.3641998486648199</v>
      </c>
      <c r="S147" s="2">
        <v>0</v>
      </c>
      <c r="T147" s="2">
        <v>0</v>
      </c>
      <c r="U147" s="2">
        <v>0.48783809515833298</v>
      </c>
      <c r="V147" s="2">
        <v>0.19855387354668599</v>
      </c>
      <c r="W147" s="7">
        <v>103.407260382648</v>
      </c>
      <c r="X147" s="2">
        <v>25.961039461867401</v>
      </c>
      <c r="Y147" s="7">
        <v>97.266323795181904</v>
      </c>
      <c r="Z147" s="2">
        <v>6.8519561697442004</v>
      </c>
      <c r="AA147" s="2">
        <v>77.281489777025996</v>
      </c>
      <c r="AB147" s="2">
        <v>34.4107373015527</v>
      </c>
      <c r="AC147" s="2">
        <v>80.014965389906195</v>
      </c>
      <c r="AD147" s="2">
        <v>63.531534077888097</v>
      </c>
      <c r="AE147" s="2">
        <v>93.081409088612602</v>
      </c>
      <c r="AF147" s="2">
        <v>104.51013390412</v>
      </c>
      <c r="AG147" s="2">
        <v>0</v>
      </c>
      <c r="AH147" s="2">
        <v>0</v>
      </c>
      <c r="AI147" s="2">
        <v>131.029625568694</v>
      </c>
      <c r="AJ147" s="2">
        <v>71.253072821538893</v>
      </c>
    </row>
    <row r="148" spans="1:36" ht="15.75" customHeight="1" x14ac:dyDescent="0.45">
      <c r="A148" s="2" t="s">
        <v>92</v>
      </c>
      <c r="B148" s="2" t="s">
        <v>82</v>
      </c>
      <c r="C148" s="2">
        <v>0.03</v>
      </c>
      <c r="D148" s="2" t="s">
        <v>85</v>
      </c>
      <c r="E148" s="2" t="s">
        <v>84</v>
      </c>
      <c r="F148" s="2" t="s">
        <v>86</v>
      </c>
      <c r="G148" s="2">
        <v>3539</v>
      </c>
      <c r="H148" s="2">
        <v>50</v>
      </c>
      <c r="I148" s="2">
        <v>4.1181902598499898</v>
      </c>
      <c r="J148" s="2">
        <v>0.90353693032154603</v>
      </c>
      <c r="K148" s="2">
        <v>150.444444444444</v>
      </c>
      <c r="L148" s="2">
        <v>23.7313279427411</v>
      </c>
      <c r="M148" s="2">
        <v>0.47019434422999901</v>
      </c>
      <c r="N148" s="2">
        <v>0.33038135491464499</v>
      </c>
      <c r="O148" s="2">
        <v>0.441398313204444</v>
      </c>
      <c r="P148" s="2">
        <v>0.23348198944004001</v>
      </c>
      <c r="Q148" s="2">
        <v>6.3167365348833302</v>
      </c>
      <c r="R148" s="2">
        <v>1.7163434002050799</v>
      </c>
      <c r="S148" s="2">
        <v>0</v>
      </c>
      <c r="T148" s="2">
        <v>0</v>
      </c>
      <c r="U148" s="2">
        <v>0.29459095105388799</v>
      </c>
      <c r="V148" s="2">
        <v>7.4131157024825298E-2</v>
      </c>
      <c r="W148" s="7">
        <v>97.406589411325996</v>
      </c>
      <c r="X148" s="2">
        <v>15.2804485912527</v>
      </c>
      <c r="Y148" s="7">
        <v>98.325413536159004</v>
      </c>
      <c r="Z148" s="2">
        <v>18.304587740698999</v>
      </c>
      <c r="AA148" s="2">
        <v>89.259130627332993</v>
      </c>
      <c r="AB148" s="2">
        <v>46.286504039350703</v>
      </c>
      <c r="AC148" s="2">
        <v>224.17874263273299</v>
      </c>
      <c r="AD148" s="2">
        <v>146.00204235529301</v>
      </c>
      <c r="AE148" s="2">
        <v>169.84317031027501</v>
      </c>
      <c r="AF148" s="2">
        <v>146.04020913985599</v>
      </c>
      <c r="AG148" s="2">
        <v>0</v>
      </c>
      <c r="AH148" s="2">
        <v>0</v>
      </c>
      <c r="AI148" s="2">
        <v>76.871790044189595</v>
      </c>
      <c r="AJ148" s="2">
        <v>27.507250903104001</v>
      </c>
    </row>
    <row r="149" spans="1:36" ht="15.75" customHeight="1" x14ac:dyDescent="0.45">
      <c r="A149" s="2" t="s">
        <v>92</v>
      </c>
      <c r="B149" s="2" t="s">
        <v>82</v>
      </c>
      <c r="C149" s="2">
        <v>0.1</v>
      </c>
      <c r="D149" s="2" t="s">
        <v>85</v>
      </c>
      <c r="E149" s="2" t="s">
        <v>84</v>
      </c>
      <c r="F149" s="2" t="s">
        <v>86</v>
      </c>
      <c r="G149" s="2">
        <v>3539</v>
      </c>
      <c r="H149" s="2">
        <v>50</v>
      </c>
      <c r="I149" s="2">
        <v>5.4817404263555503</v>
      </c>
      <c r="J149" s="2">
        <v>1.37808665794138</v>
      </c>
      <c r="K149" s="2">
        <v>154.444444444444</v>
      </c>
      <c r="L149" s="2">
        <v>6.3472070264836704</v>
      </c>
      <c r="M149" s="2">
        <v>0.27592673150666602</v>
      </c>
      <c r="N149" s="2">
        <v>0.21985737944744099</v>
      </c>
      <c r="O149" s="2">
        <v>0.11146653063555501</v>
      </c>
      <c r="P149" s="2">
        <v>0.118413981367144</v>
      </c>
      <c r="Q149" s="2">
        <v>5.8638609857333304</v>
      </c>
      <c r="R149" s="2">
        <v>0.92020456398844797</v>
      </c>
      <c r="S149" s="2">
        <v>0</v>
      </c>
      <c r="T149" s="2">
        <v>0</v>
      </c>
      <c r="U149" s="2">
        <v>0.59456977707222203</v>
      </c>
      <c r="V149" s="2">
        <v>0.19302591421503701</v>
      </c>
      <c r="W149" s="7">
        <v>99.9368822282769</v>
      </c>
      <c r="X149" s="2">
        <v>1.3710001801878999</v>
      </c>
      <c r="Y149" s="7">
        <v>130.11740968120401</v>
      </c>
      <c r="Z149" s="2">
        <v>22.774834837021199</v>
      </c>
      <c r="AA149" s="2">
        <v>81.135409256109497</v>
      </c>
      <c r="AB149" s="2">
        <v>34.596541386650401</v>
      </c>
      <c r="AC149" s="2">
        <v>103.734453106904</v>
      </c>
      <c r="AD149" s="2">
        <v>42.1812687393397</v>
      </c>
      <c r="AE149" s="2">
        <v>49.301214879277701</v>
      </c>
      <c r="AF149" s="2">
        <v>57.622416323987501</v>
      </c>
      <c r="AG149" s="2">
        <v>0</v>
      </c>
      <c r="AH149" s="2">
        <v>0</v>
      </c>
      <c r="AI149" s="2">
        <v>156.209557763904</v>
      </c>
      <c r="AJ149" s="2">
        <v>69.460946744673507</v>
      </c>
    </row>
    <row r="150" spans="1:36" ht="15.75" customHeight="1" x14ac:dyDescent="0.45">
      <c r="A150" s="2" t="s">
        <v>92</v>
      </c>
      <c r="B150" s="2" t="s">
        <v>82</v>
      </c>
      <c r="C150" s="2">
        <v>0.3</v>
      </c>
      <c r="D150" s="2" t="s">
        <v>85</v>
      </c>
      <c r="E150" s="2" t="s">
        <v>84</v>
      </c>
      <c r="F150" s="2" t="s">
        <v>86</v>
      </c>
      <c r="G150" s="2">
        <v>3539</v>
      </c>
      <c r="H150" s="2">
        <v>50</v>
      </c>
      <c r="I150" s="2">
        <v>4.7925145224833301</v>
      </c>
      <c r="J150" s="2">
        <v>1.29238982798349</v>
      </c>
      <c r="K150" s="2">
        <v>121.166666666666</v>
      </c>
      <c r="L150" s="2">
        <v>14.7507061977836</v>
      </c>
      <c r="M150" s="2">
        <v>0.77023585117055504</v>
      </c>
      <c r="N150" s="2">
        <v>0.41988830083539802</v>
      </c>
      <c r="O150" s="2">
        <v>0.30530923456944398</v>
      </c>
      <c r="P150" s="2">
        <v>0.16467488425141699</v>
      </c>
      <c r="Q150" s="2">
        <v>10.4347740124888</v>
      </c>
      <c r="R150" s="2">
        <v>5.4313937992979202</v>
      </c>
      <c r="S150" s="2">
        <v>0</v>
      </c>
      <c r="T150" s="2">
        <v>0</v>
      </c>
      <c r="U150" s="2">
        <v>0.48500470947277702</v>
      </c>
      <c r="V150" s="2">
        <v>0.30588253170711199</v>
      </c>
      <c r="W150" s="7">
        <v>78.246153402713503</v>
      </c>
      <c r="X150" s="2">
        <v>6.5322293654570496</v>
      </c>
      <c r="Y150" s="7">
        <v>113.647114065089</v>
      </c>
      <c r="Z150" s="2">
        <v>22.183421607261899</v>
      </c>
      <c r="AA150" s="2">
        <v>140.94971437557101</v>
      </c>
      <c r="AB150" s="2">
        <v>89.901900992602407</v>
      </c>
      <c r="AC150" s="2">
        <v>314.85277098084902</v>
      </c>
      <c r="AD150" s="2">
        <v>125.009190637041</v>
      </c>
      <c r="AE150" s="2">
        <v>113.75815934808701</v>
      </c>
      <c r="AF150" s="2">
        <v>72.460276542374501</v>
      </c>
      <c r="AG150" s="2">
        <v>0</v>
      </c>
      <c r="AH150" s="2">
        <v>0</v>
      </c>
      <c r="AI150" s="2">
        <v>138.359207698598</v>
      </c>
      <c r="AJ150" s="2">
        <v>97.8032050313805</v>
      </c>
    </row>
    <row r="151" spans="1:36" ht="15.75" customHeight="1" x14ac:dyDescent="0.45">
      <c r="A151" s="2" t="s">
        <v>92</v>
      </c>
      <c r="B151" s="2" t="s">
        <v>82</v>
      </c>
      <c r="C151" s="2">
        <v>1</v>
      </c>
      <c r="D151" s="2" t="s">
        <v>85</v>
      </c>
      <c r="E151" s="2" t="s">
        <v>84</v>
      </c>
      <c r="F151" s="2" t="s">
        <v>86</v>
      </c>
      <c r="G151" s="2">
        <v>3539</v>
      </c>
      <c r="H151" s="2">
        <v>50</v>
      </c>
      <c r="I151" s="2">
        <v>4.8010860657888799</v>
      </c>
      <c r="J151" s="2">
        <v>1.35925268392286</v>
      </c>
      <c r="K151" s="2">
        <v>120.111111111111</v>
      </c>
      <c r="L151" s="2">
        <v>5.69925271254733</v>
      </c>
      <c r="M151" s="2">
        <v>0.115396553623333</v>
      </c>
      <c r="N151" s="2">
        <v>0.19987269389395901</v>
      </c>
      <c r="O151" s="2">
        <v>0.30019062737333302</v>
      </c>
      <c r="P151" s="2">
        <v>0.123296628124465</v>
      </c>
      <c r="Q151" s="2">
        <v>14.118978244916599</v>
      </c>
      <c r="R151" s="2">
        <v>8.5364917535967493</v>
      </c>
      <c r="S151" s="2">
        <v>0</v>
      </c>
      <c r="T151" s="2">
        <v>0</v>
      </c>
      <c r="U151" s="2">
        <v>0.43405102382611099</v>
      </c>
      <c r="V151" s="2">
        <v>0.31055502220932801</v>
      </c>
      <c r="W151" s="7">
        <v>77.911990461403903</v>
      </c>
      <c r="X151" s="2">
        <v>7.11485312479663</v>
      </c>
      <c r="Y151" s="7">
        <v>115.599794237571</v>
      </c>
      <c r="Z151" s="2">
        <v>33.826517822963098</v>
      </c>
      <c r="AA151" s="2">
        <v>208.165344958297</v>
      </c>
      <c r="AB151" s="2">
        <v>145.44531215345799</v>
      </c>
      <c r="AC151" s="2">
        <v>33.597996981421502</v>
      </c>
      <c r="AD151" s="2">
        <v>58.193437804367903</v>
      </c>
      <c r="AE151" s="2">
        <v>115.908768059567</v>
      </c>
      <c r="AF151" s="2">
        <v>83.114341981052902</v>
      </c>
      <c r="AG151" s="2">
        <v>0</v>
      </c>
      <c r="AH151" s="2">
        <v>0</v>
      </c>
      <c r="AI151" s="2">
        <v>101.477314335261</v>
      </c>
      <c r="AJ151" s="2">
        <v>46.713801897406697</v>
      </c>
    </row>
    <row r="152" spans="1:36" ht="15.75" customHeight="1" x14ac:dyDescent="0.45">
      <c r="A152" s="2" t="s">
        <v>92</v>
      </c>
      <c r="B152" s="2" t="s">
        <v>82</v>
      </c>
      <c r="C152" s="2">
        <v>3</v>
      </c>
      <c r="D152" s="2" t="s">
        <v>85</v>
      </c>
      <c r="E152" s="2" t="s">
        <v>84</v>
      </c>
      <c r="F152" s="2" t="s">
        <v>86</v>
      </c>
      <c r="G152" s="2">
        <v>3539</v>
      </c>
      <c r="H152" s="2">
        <v>50</v>
      </c>
      <c r="I152" s="2">
        <v>4.0500111646455501</v>
      </c>
      <c r="J152" s="2">
        <v>0.57705591961176805</v>
      </c>
      <c r="K152" s="2">
        <v>125.388888888888</v>
      </c>
      <c r="L152" s="2">
        <v>21.950913251903302</v>
      </c>
      <c r="M152" s="2">
        <v>0.45993209416749897</v>
      </c>
      <c r="N152" s="2">
        <v>0.219969145351917</v>
      </c>
      <c r="O152" s="2">
        <v>4.7080979284444401E-2</v>
      </c>
      <c r="P152" s="2">
        <v>8.1546648190755494E-2</v>
      </c>
      <c r="Q152" s="2">
        <v>8.8402992643244396</v>
      </c>
      <c r="R152" s="2">
        <v>3.9554937679934601</v>
      </c>
      <c r="S152" s="2">
        <v>0</v>
      </c>
      <c r="T152" s="2">
        <v>0</v>
      </c>
      <c r="U152" s="2">
        <v>0.377808558414999</v>
      </c>
      <c r="V152" s="2">
        <v>0.14549514559342899</v>
      </c>
      <c r="W152" s="7">
        <v>81.656800876329399</v>
      </c>
      <c r="X152" s="2">
        <v>18.112990331708598</v>
      </c>
      <c r="Y152" s="7">
        <v>96.7413464415379</v>
      </c>
      <c r="Z152" s="2">
        <v>5.7829161915022196</v>
      </c>
      <c r="AA152" s="2">
        <v>129.25372596815001</v>
      </c>
      <c r="AB152" s="2">
        <v>81.664026885331594</v>
      </c>
      <c r="AC152" s="2">
        <v>220.252957934064</v>
      </c>
      <c r="AD152" s="2">
        <v>117.198195755177</v>
      </c>
      <c r="AE152" s="2">
        <v>16.831137917861099</v>
      </c>
      <c r="AF152" s="2">
        <v>29.1523860229345</v>
      </c>
      <c r="AG152" s="2">
        <v>0</v>
      </c>
      <c r="AH152" s="2">
        <v>0</v>
      </c>
      <c r="AI152" s="2">
        <v>101.40484084599299</v>
      </c>
      <c r="AJ152" s="2">
        <v>53.136688938055798</v>
      </c>
    </row>
    <row r="153" spans="1:36" ht="15.75" customHeight="1" x14ac:dyDescent="0.45">
      <c r="A153" s="2" t="s">
        <v>92</v>
      </c>
      <c r="B153" s="2" t="s">
        <v>82</v>
      </c>
      <c r="C153" s="2">
        <v>10</v>
      </c>
      <c r="D153" s="2" t="s">
        <v>85</v>
      </c>
      <c r="E153" s="2" t="s">
        <v>84</v>
      </c>
      <c r="F153" s="2" t="s">
        <v>86</v>
      </c>
      <c r="G153" s="2">
        <v>3539</v>
      </c>
      <c r="H153" s="2">
        <v>50</v>
      </c>
      <c r="I153" s="2">
        <v>4.7300489899499896</v>
      </c>
      <c r="J153" s="2">
        <v>1.16883426574109</v>
      </c>
      <c r="K153" s="2">
        <v>98.8888888888888</v>
      </c>
      <c r="L153" s="2">
        <v>6.1943821621183801</v>
      </c>
      <c r="M153" s="2">
        <v>0.28461556443888802</v>
      </c>
      <c r="N153" s="2">
        <v>0.35599040684564898</v>
      </c>
      <c r="O153" s="2">
        <v>0.33060670963122202</v>
      </c>
      <c r="P153" s="2">
        <v>4.1644981429256302E-2</v>
      </c>
      <c r="Q153" s="2">
        <v>10.132689858302699</v>
      </c>
      <c r="R153" s="2">
        <v>11.2596676326264</v>
      </c>
      <c r="S153" s="2">
        <v>0</v>
      </c>
      <c r="T153" s="2">
        <v>0</v>
      </c>
      <c r="U153" s="2">
        <v>0.50803346083777701</v>
      </c>
      <c r="V153" s="2">
        <v>0.26003656016666499</v>
      </c>
      <c r="W153" s="7">
        <v>64.113604946819294</v>
      </c>
      <c r="X153" s="2">
        <v>5.9221128500914997</v>
      </c>
      <c r="Y153" s="7">
        <v>112.288107979698</v>
      </c>
      <c r="Z153" s="2">
        <v>18.454466781080001</v>
      </c>
      <c r="AA153" s="2">
        <v>159.051498257654</v>
      </c>
      <c r="AB153" s="2">
        <v>195.945275921507</v>
      </c>
      <c r="AC153" s="2">
        <v>186.87043916478899</v>
      </c>
      <c r="AD153" s="2">
        <v>281.87658663804302</v>
      </c>
      <c r="AE153" s="2">
        <v>117.931777025739</v>
      </c>
      <c r="AF153" s="2">
        <v>55.758885695137899</v>
      </c>
      <c r="AG153" s="2">
        <v>0</v>
      </c>
      <c r="AH153" s="2">
        <v>0</v>
      </c>
      <c r="AI153" s="2">
        <v>127.999411094283</v>
      </c>
      <c r="AJ153" s="2">
        <v>68.162083395370701</v>
      </c>
    </row>
    <row r="154" spans="1:36" ht="15.75" customHeight="1" x14ac:dyDescent="0.45">
      <c r="A154" s="2" t="s">
        <v>92</v>
      </c>
      <c r="B154" s="2" t="s">
        <v>82</v>
      </c>
      <c r="C154" s="2">
        <v>3.0000000000000001E-3</v>
      </c>
      <c r="D154" s="2" t="s">
        <v>85</v>
      </c>
      <c r="E154" s="2" t="s">
        <v>84</v>
      </c>
      <c r="F154" s="2" t="s">
        <v>86</v>
      </c>
      <c r="G154" s="2">
        <v>10867</v>
      </c>
      <c r="H154" s="2">
        <v>10</v>
      </c>
      <c r="I154" s="2">
        <v>7.0064363871851804E-2</v>
      </c>
      <c r="J154" s="2">
        <v>6.28662750543557E-2</v>
      </c>
      <c r="K154" s="2">
        <v>161.16203703703701</v>
      </c>
      <c r="L154" s="2">
        <v>5.9282023260795498</v>
      </c>
      <c r="M154" s="2">
        <v>0</v>
      </c>
      <c r="N154" s="2">
        <v>0</v>
      </c>
      <c r="O154" s="2">
        <v>1.0283937623561501</v>
      </c>
      <c r="P154" s="2">
        <v>0.271634631583348</v>
      </c>
      <c r="Q154" s="2">
        <v>3.7477421077417099</v>
      </c>
      <c r="R154" s="2">
        <v>2.7144212813123998</v>
      </c>
      <c r="S154" s="2">
        <v>0</v>
      </c>
      <c r="T154" s="2">
        <v>0</v>
      </c>
      <c r="U154" s="2">
        <v>0.41845209891847202</v>
      </c>
      <c r="V154" s="2">
        <v>9.3502172670989106E-2</v>
      </c>
      <c r="W154" s="7">
        <v>105.87095339728801</v>
      </c>
      <c r="X154" s="2">
        <v>8.7174426128665701</v>
      </c>
      <c r="Y154" s="7">
        <v>21.995851536469601</v>
      </c>
      <c r="Z154" s="2">
        <v>22.552282838798899</v>
      </c>
      <c r="AA154" s="2">
        <v>208.23807242075699</v>
      </c>
      <c r="AB154" s="2">
        <v>182.22342622707001</v>
      </c>
      <c r="AC154" s="2">
        <v>0</v>
      </c>
      <c r="AD154" s="2">
        <v>0</v>
      </c>
      <c r="AE154" s="2">
        <v>94.544160852658493</v>
      </c>
      <c r="AF154" s="2">
        <v>31.423480128675099</v>
      </c>
      <c r="AG154" s="2">
        <v>0</v>
      </c>
      <c r="AH154" s="2">
        <v>0</v>
      </c>
      <c r="AI154" s="2">
        <v>218.56636488781001</v>
      </c>
      <c r="AJ154" s="2">
        <v>145.05656552497601</v>
      </c>
    </row>
    <row r="155" spans="1:36" ht="15.75" customHeight="1" x14ac:dyDescent="0.45">
      <c r="A155" s="2" t="s">
        <v>92</v>
      </c>
      <c r="B155" s="2" t="s">
        <v>82</v>
      </c>
      <c r="C155" s="2">
        <v>0.01</v>
      </c>
      <c r="D155" s="2" t="s">
        <v>85</v>
      </c>
      <c r="E155" s="2" t="s">
        <v>84</v>
      </c>
      <c r="F155" s="2" t="s">
        <v>86</v>
      </c>
      <c r="G155" s="2">
        <v>10867</v>
      </c>
      <c r="H155" s="2">
        <v>10</v>
      </c>
      <c r="I155" s="2">
        <v>7.0643642072222207E-2</v>
      </c>
      <c r="J155" s="2">
        <v>1.1982943104680101E-2</v>
      </c>
      <c r="K155" s="2">
        <v>151.444444444444</v>
      </c>
      <c r="L155" s="2">
        <v>20.303560473503801</v>
      </c>
      <c r="M155" s="2">
        <v>0.13229496028259199</v>
      </c>
      <c r="N155" s="2">
        <v>4.9959895611079601E-2</v>
      </c>
      <c r="O155" s="2">
        <v>1.5285542482773999</v>
      </c>
      <c r="P155" s="2">
        <v>0.283829080367618</v>
      </c>
      <c r="Q155" s="2">
        <v>2.9111354531596199</v>
      </c>
      <c r="R155" s="2">
        <v>2.1815612556059998</v>
      </c>
      <c r="S155" s="2">
        <v>2.15331610681481E-2</v>
      </c>
      <c r="T155" s="2">
        <v>3.7296529017596697E-2</v>
      </c>
      <c r="U155" s="2">
        <v>0.30306470114259199</v>
      </c>
      <c r="V155" s="2">
        <v>0.15063482955020299</v>
      </c>
      <c r="W155" s="7">
        <v>99.304895783466094</v>
      </c>
      <c r="X155" s="2">
        <v>13.107070378141399</v>
      </c>
      <c r="Y155" s="7">
        <v>20.027559949661701</v>
      </c>
      <c r="Z155" s="2">
        <v>7.96963724047911</v>
      </c>
      <c r="AA155" s="2">
        <v>162.05020787480399</v>
      </c>
      <c r="AB155" s="2">
        <v>145.27326419631601</v>
      </c>
      <c r="AC155" s="2">
        <v>121.06949885023199</v>
      </c>
      <c r="AD155" s="2">
        <v>90.914904130439496</v>
      </c>
      <c r="AE155" s="2">
        <v>144.62646417045701</v>
      </c>
      <c r="AF155" s="2">
        <v>64.875999803749295</v>
      </c>
      <c r="AG155" s="2">
        <v>0</v>
      </c>
      <c r="AH155" s="2">
        <v>0</v>
      </c>
      <c r="AI155" s="2">
        <v>146.88642517315</v>
      </c>
      <c r="AJ155" s="2">
        <v>78.543846801606705</v>
      </c>
    </row>
    <row r="156" spans="1:36" ht="15.75" customHeight="1" x14ac:dyDescent="0.45">
      <c r="A156" s="2" t="s">
        <v>92</v>
      </c>
      <c r="B156" s="2" t="s">
        <v>82</v>
      </c>
      <c r="C156" s="2">
        <v>0.03</v>
      </c>
      <c r="D156" s="2" t="s">
        <v>85</v>
      </c>
      <c r="E156" s="2" t="s">
        <v>84</v>
      </c>
      <c r="F156" s="2" t="s">
        <v>86</v>
      </c>
      <c r="G156" s="2">
        <v>10867</v>
      </c>
      <c r="H156" s="2">
        <v>10</v>
      </c>
      <c r="I156" s="2">
        <v>0.168524859192592</v>
      </c>
      <c r="J156" s="2">
        <v>0.13108304681447899</v>
      </c>
      <c r="K156" s="2">
        <v>148.888888888888</v>
      </c>
      <c r="L156" s="2">
        <v>16.1845071474214</v>
      </c>
      <c r="M156" s="2">
        <v>0.343819210836666</v>
      </c>
      <c r="N156" s="2">
        <v>0.25258248227218799</v>
      </c>
      <c r="O156" s="2">
        <v>1.2748014990307399</v>
      </c>
      <c r="P156" s="2">
        <v>8.7609533860039598E-2</v>
      </c>
      <c r="Q156" s="2">
        <v>1.2783872503074001</v>
      </c>
      <c r="R156" s="2">
        <v>0.60446108392875697</v>
      </c>
      <c r="S156" s="2">
        <v>0</v>
      </c>
      <c r="T156" s="2">
        <v>0</v>
      </c>
      <c r="U156" s="2">
        <v>0.25146752367259201</v>
      </c>
      <c r="V156" s="2">
        <v>0.21780010122118301</v>
      </c>
      <c r="W156" s="7">
        <v>98.019625476736195</v>
      </c>
      <c r="X156" s="2">
        <v>15.140894174392001</v>
      </c>
      <c r="Y156" s="7">
        <v>40.741275789760202</v>
      </c>
      <c r="Z156" s="2">
        <v>16.487003520437099</v>
      </c>
      <c r="AA156" s="2">
        <v>72.586783515874799</v>
      </c>
      <c r="AB156" s="2">
        <v>49.118486880926</v>
      </c>
      <c r="AC156" s="2">
        <v>250.24564856676801</v>
      </c>
      <c r="AD156" s="2">
        <v>198.65074586620099</v>
      </c>
      <c r="AE156" s="2">
        <v>120.36889904076401</v>
      </c>
      <c r="AF156" s="2">
        <v>48.699280374002598</v>
      </c>
      <c r="AG156" s="2">
        <v>0</v>
      </c>
      <c r="AH156" s="2">
        <v>0</v>
      </c>
      <c r="AI156" s="2">
        <v>144.34756025741299</v>
      </c>
      <c r="AJ156" s="2">
        <v>149.805805075655</v>
      </c>
    </row>
    <row r="157" spans="1:36" ht="15.75" customHeight="1" x14ac:dyDescent="0.45">
      <c r="A157" s="2" t="s">
        <v>92</v>
      </c>
      <c r="B157" s="2" t="s">
        <v>82</v>
      </c>
      <c r="C157" s="2">
        <v>0.1</v>
      </c>
      <c r="D157" s="2" t="s">
        <v>85</v>
      </c>
      <c r="E157" s="2" t="s">
        <v>84</v>
      </c>
      <c r="F157" s="2" t="s">
        <v>86</v>
      </c>
      <c r="G157" s="2">
        <v>10867</v>
      </c>
      <c r="H157" s="2">
        <v>10</v>
      </c>
      <c r="I157" s="2">
        <v>0.11056944856444401</v>
      </c>
      <c r="J157" s="2">
        <v>0.103892669415698</v>
      </c>
      <c r="K157" s="2">
        <v>161.541666666666</v>
      </c>
      <c r="L157" s="2">
        <v>7.7348393129739899</v>
      </c>
      <c r="M157" s="2">
        <v>3.8092041945555502E-2</v>
      </c>
      <c r="N157" s="2">
        <v>3.3741557034436501E-2</v>
      </c>
      <c r="O157" s="2">
        <v>1.2288310025192499</v>
      </c>
      <c r="P157" s="2">
        <v>0.45216207311655598</v>
      </c>
      <c r="Q157" s="2">
        <v>1.85925052020537</v>
      </c>
      <c r="R157" s="2">
        <v>0.50373680732192205</v>
      </c>
      <c r="S157" s="2">
        <v>0</v>
      </c>
      <c r="T157" s="2">
        <v>0</v>
      </c>
      <c r="U157" s="2">
        <v>0.20476305052546201</v>
      </c>
      <c r="V157" s="2">
        <v>5.4940443390917797E-2</v>
      </c>
      <c r="W157" s="7">
        <v>106.021294162765</v>
      </c>
      <c r="X157" s="2">
        <v>7.4455973011764902</v>
      </c>
      <c r="Y157" s="7">
        <v>23.073742420728301</v>
      </c>
      <c r="Z157" s="2">
        <v>23.838560437049601</v>
      </c>
      <c r="AA157" s="2">
        <v>91.006834115362096</v>
      </c>
      <c r="AB157" s="2">
        <v>33.062655659707403</v>
      </c>
      <c r="AC157" s="2">
        <v>27.952843492811699</v>
      </c>
      <c r="AD157" s="2">
        <v>34.1871253518553</v>
      </c>
      <c r="AE157" s="2">
        <v>123.68941821906201</v>
      </c>
      <c r="AF157" s="2">
        <v>87.637409023814698</v>
      </c>
      <c r="AG157" s="2">
        <v>0</v>
      </c>
      <c r="AH157" s="2">
        <v>0</v>
      </c>
      <c r="AI157" s="2">
        <v>105.86438629496</v>
      </c>
      <c r="AJ157" s="2">
        <v>68.104997877046202</v>
      </c>
    </row>
    <row r="158" spans="1:36" ht="15.75" customHeight="1" x14ac:dyDescent="0.45">
      <c r="A158" s="2" t="s">
        <v>92</v>
      </c>
      <c r="B158" s="2" t="s">
        <v>82</v>
      </c>
      <c r="C158" s="2">
        <v>0.3</v>
      </c>
      <c r="D158" s="2" t="s">
        <v>85</v>
      </c>
      <c r="E158" s="2" t="s">
        <v>84</v>
      </c>
      <c r="F158" s="2" t="s">
        <v>86</v>
      </c>
      <c r="G158" s="2">
        <v>10867</v>
      </c>
      <c r="H158" s="2">
        <v>10</v>
      </c>
      <c r="I158" s="2">
        <v>0.35631170025263798</v>
      </c>
      <c r="J158" s="2">
        <v>0.52360816389537501</v>
      </c>
      <c r="K158" s="2">
        <v>152.12962962962899</v>
      </c>
      <c r="L158" s="2">
        <v>25.9832022739986</v>
      </c>
      <c r="M158" s="2">
        <v>0.19177648839037001</v>
      </c>
      <c r="N158" s="2">
        <v>0.16899854557198199</v>
      </c>
      <c r="O158" s="2">
        <v>1.75334502491694</v>
      </c>
      <c r="P158" s="2">
        <v>0.27053458466696201</v>
      </c>
      <c r="Q158" s="2">
        <v>2.7990231142162001</v>
      </c>
      <c r="R158" s="2">
        <v>0.204795639256036</v>
      </c>
      <c r="S158" s="2">
        <v>4.7780151946666599E-2</v>
      </c>
      <c r="T158" s="2">
        <v>4.3619299151123503E-2</v>
      </c>
      <c r="U158" s="2">
        <v>0.221189242441342</v>
      </c>
      <c r="V158" s="2">
        <v>0.24121501458174499</v>
      </c>
      <c r="W158" s="7">
        <v>100.090806441731</v>
      </c>
      <c r="X158" s="2">
        <v>19.320858837287201</v>
      </c>
      <c r="Y158" s="7">
        <v>80.101197861920696</v>
      </c>
      <c r="Z158" s="2">
        <v>122.501777583698</v>
      </c>
      <c r="AA158" s="2">
        <v>145.24461574666901</v>
      </c>
      <c r="AB158" s="2">
        <v>60.563570156042097</v>
      </c>
      <c r="AC158" s="2">
        <v>164.00463475178501</v>
      </c>
      <c r="AD158" s="2">
        <v>225.37405132482101</v>
      </c>
      <c r="AE158" s="2">
        <v>161.801657631984</v>
      </c>
      <c r="AF158" s="2">
        <v>49.2853633978932</v>
      </c>
      <c r="AG158" s="2">
        <v>142.70833333227699</v>
      </c>
      <c r="AH158" s="2">
        <v>201.820060462166</v>
      </c>
      <c r="AI158" s="2">
        <v>105.65011775742499</v>
      </c>
      <c r="AJ158" s="2">
        <v>92.395676861998595</v>
      </c>
    </row>
    <row r="159" spans="1:36" ht="15.75" customHeight="1" x14ac:dyDescent="0.45">
      <c r="A159" s="2" t="s">
        <v>92</v>
      </c>
      <c r="B159" s="2" t="s">
        <v>82</v>
      </c>
      <c r="C159" s="2">
        <v>10</v>
      </c>
      <c r="D159" s="2" t="s">
        <v>85</v>
      </c>
      <c r="E159" s="2" t="s">
        <v>84</v>
      </c>
      <c r="F159" s="2" t="s">
        <v>86</v>
      </c>
      <c r="G159" s="2">
        <v>10867</v>
      </c>
      <c r="H159" s="2">
        <v>10</v>
      </c>
      <c r="I159" s="2">
        <v>0.37217281831375598</v>
      </c>
      <c r="J159" s="2">
        <v>0.17298112111337699</v>
      </c>
      <c r="K159" s="2">
        <v>125.015873015873</v>
      </c>
      <c r="L159" s="2">
        <v>3.8173530658457602</v>
      </c>
      <c r="M159" s="2">
        <v>0.12783246270148099</v>
      </c>
      <c r="N159" s="2">
        <v>3.7800364294854102E-2</v>
      </c>
      <c r="O159" s="2">
        <v>2.11968595204084</v>
      </c>
      <c r="P159" s="2">
        <v>0.39403007530883</v>
      </c>
      <c r="Q159" s="2">
        <v>2.5362831740249199</v>
      </c>
      <c r="R159" s="2">
        <v>2.0873938464736002</v>
      </c>
      <c r="S159" s="2">
        <v>4.4923629829523803E-2</v>
      </c>
      <c r="T159" s="2">
        <v>7.7810009325152002E-2</v>
      </c>
      <c r="U159" s="2">
        <v>0.41681745706402101</v>
      </c>
      <c r="V159" s="2">
        <v>0.27382095334797701</v>
      </c>
      <c r="W159" s="7">
        <v>82.080539679651693</v>
      </c>
      <c r="X159" s="2">
        <v>5.5514194864033399</v>
      </c>
      <c r="Y159" s="7">
        <v>129.24421312287299</v>
      </c>
      <c r="Z159" s="2">
        <v>128.96015741908701</v>
      </c>
      <c r="AA159" s="2">
        <v>103.374509762123</v>
      </c>
      <c r="AB159" s="2">
        <v>37.557910636023401</v>
      </c>
      <c r="AC159" s="2">
        <v>111.510578342828</v>
      </c>
      <c r="AD159" s="2">
        <v>62.396530991439299</v>
      </c>
      <c r="AE159" s="2">
        <v>203.85631734918601</v>
      </c>
      <c r="AF159" s="2">
        <v>103.846201357551</v>
      </c>
      <c r="AG159" s="2">
        <v>103.22752310649901</v>
      </c>
      <c r="AH159" s="2">
        <v>145.98576318739299</v>
      </c>
      <c r="AI159" s="2">
        <v>183.05876483186199</v>
      </c>
      <c r="AJ159" s="2">
        <v>81.108853724530803</v>
      </c>
    </row>
    <row r="160" spans="1:36" ht="15.75" customHeight="1" x14ac:dyDescent="0.45">
      <c r="A160" s="2" t="s">
        <v>92</v>
      </c>
      <c r="B160" s="2" t="s">
        <v>82</v>
      </c>
      <c r="C160" s="2">
        <v>1</v>
      </c>
      <c r="D160" s="2" t="s">
        <v>85</v>
      </c>
      <c r="E160" s="2" t="s">
        <v>84</v>
      </c>
      <c r="F160" s="2" t="s">
        <v>86</v>
      </c>
      <c r="G160" s="2">
        <v>10867</v>
      </c>
      <c r="H160" s="2">
        <v>10</v>
      </c>
      <c r="I160" s="2">
        <v>0.199018915722222</v>
      </c>
      <c r="J160" s="2">
        <v>0.27651247449495298</v>
      </c>
      <c r="K160" s="2">
        <v>142.99999999999901</v>
      </c>
      <c r="L160" s="2">
        <v>10.948250889108699</v>
      </c>
      <c r="M160" s="2">
        <v>0.25561098228370299</v>
      </c>
      <c r="N160" s="2">
        <v>0.165366928429177</v>
      </c>
      <c r="O160" s="2">
        <v>1.41876232600185</v>
      </c>
      <c r="P160" s="2">
        <v>0.31393364432459903</v>
      </c>
      <c r="Q160" s="2">
        <v>2.2922003379196201</v>
      </c>
      <c r="R160" s="2">
        <v>0.90343983133827099</v>
      </c>
      <c r="S160" s="2">
        <v>0</v>
      </c>
      <c r="T160" s="2">
        <v>0</v>
      </c>
      <c r="U160" s="2">
        <v>8.0604258164074002E-2</v>
      </c>
      <c r="V160" s="2">
        <v>7.5039988744394395E-2</v>
      </c>
      <c r="W160" s="7">
        <v>94.050272808007193</v>
      </c>
      <c r="X160" s="2">
        <v>11.4561213064563</v>
      </c>
      <c r="Y160" s="7">
        <v>35.8713570773862</v>
      </c>
      <c r="Z160" s="2">
        <v>46.648642810345898</v>
      </c>
      <c r="AA160" s="2">
        <v>126.216659231672</v>
      </c>
      <c r="AB160" s="2">
        <v>82.021727643263404</v>
      </c>
      <c r="AC160" s="2">
        <v>193.185042756402</v>
      </c>
      <c r="AD160" s="2">
        <v>136.22675602680201</v>
      </c>
      <c r="AE160" s="2">
        <v>130.32118624293199</v>
      </c>
      <c r="AF160" s="2">
        <v>40.186369845178902</v>
      </c>
      <c r="AG160" s="2">
        <v>0</v>
      </c>
      <c r="AH160" s="2">
        <v>0</v>
      </c>
      <c r="AI160" s="2">
        <v>41.884025671186201</v>
      </c>
      <c r="AJ160" s="2">
        <v>37.787208704638999</v>
      </c>
    </row>
    <row r="161" spans="1:36" ht="15.75" customHeight="1" x14ac:dyDescent="0.45">
      <c r="A161" s="2" t="s">
        <v>92</v>
      </c>
      <c r="B161" s="2" t="s">
        <v>82</v>
      </c>
      <c r="C161" s="2">
        <v>3</v>
      </c>
      <c r="D161" s="2" t="s">
        <v>85</v>
      </c>
      <c r="E161" s="2" t="s">
        <v>84</v>
      </c>
      <c r="F161" s="2" t="s">
        <v>86</v>
      </c>
      <c r="G161" s="2">
        <v>10867</v>
      </c>
      <c r="H161" s="2">
        <v>10</v>
      </c>
      <c r="I161" s="2">
        <v>0.14543724144999901</v>
      </c>
      <c r="J161" s="2">
        <v>0.10687689398037099</v>
      </c>
      <c r="K161" s="2">
        <v>160.37037037037001</v>
      </c>
      <c r="L161" s="2">
        <v>19.154129017948499</v>
      </c>
      <c r="M161" s="2">
        <v>4.6058915730740703E-2</v>
      </c>
      <c r="N161" s="2">
        <v>4.0500367873140701E-2</v>
      </c>
      <c r="O161" s="2">
        <v>1.5826182556092501</v>
      </c>
      <c r="P161" s="2">
        <v>0.52294813513624805</v>
      </c>
      <c r="Q161" s="2">
        <v>2.3651247945922198</v>
      </c>
      <c r="R161" s="2">
        <v>0.78683925368326901</v>
      </c>
      <c r="S161" s="2">
        <v>0</v>
      </c>
      <c r="T161" s="2">
        <v>0</v>
      </c>
      <c r="U161" s="2">
        <v>0.28036227687814802</v>
      </c>
      <c r="V161" s="2">
        <v>0.117596223358401</v>
      </c>
      <c r="W161" s="7">
        <v>105.246604916207</v>
      </c>
      <c r="X161" s="2">
        <v>13.3180877183466</v>
      </c>
      <c r="Y161" s="7">
        <v>38.652313122208199</v>
      </c>
      <c r="Z161" s="2">
        <v>22.961154491884201</v>
      </c>
      <c r="AA161" s="2">
        <v>129.49964472288801</v>
      </c>
      <c r="AB161" s="2">
        <v>74.326435776100496</v>
      </c>
      <c r="AC161" s="2">
        <v>39.387877989230098</v>
      </c>
      <c r="AD161" s="2">
        <v>54.020613440443398</v>
      </c>
      <c r="AE161" s="2">
        <v>157.51703902298701</v>
      </c>
      <c r="AF161" s="2">
        <v>105.545010194467</v>
      </c>
      <c r="AG161" s="2">
        <v>0</v>
      </c>
      <c r="AH161" s="2">
        <v>0</v>
      </c>
      <c r="AI161" s="2">
        <v>123.96499964914101</v>
      </c>
      <c r="AJ161" s="2">
        <v>26.0837584753851</v>
      </c>
    </row>
    <row r="162" spans="1:36" ht="15.75" hidden="1" customHeight="1" x14ac:dyDescent="0.45">
      <c r="A162" s="2" t="s">
        <v>93</v>
      </c>
      <c r="B162" s="2" t="s">
        <v>94</v>
      </c>
      <c r="C162" s="2">
        <v>3.0000000000000001E-3</v>
      </c>
      <c r="D162" s="2" t="s">
        <v>83</v>
      </c>
      <c r="E162" s="2" t="s">
        <v>84</v>
      </c>
      <c r="H162" s="2">
        <v>0.6</v>
      </c>
      <c r="I162" s="2">
        <v>45.617983068111101</v>
      </c>
      <c r="J162" s="2">
        <v>2.4832063266120499</v>
      </c>
      <c r="K162" s="2">
        <v>362.33333333333297</v>
      </c>
      <c r="L162" s="2">
        <v>14.903392604073501</v>
      </c>
      <c r="M162" s="2">
        <v>17.227855532444401</v>
      </c>
      <c r="N162" s="2">
        <v>0.76765214915606195</v>
      </c>
      <c r="O162" s="2">
        <v>4.8384361116277699</v>
      </c>
      <c r="P162" s="2">
        <v>0.59954674733130697</v>
      </c>
      <c r="Q162" s="2">
        <v>3.3426687370999999</v>
      </c>
      <c r="R162" s="2">
        <v>1.2016572808839601</v>
      </c>
      <c r="S162" s="2">
        <v>0.28312636723499901</v>
      </c>
      <c r="T162" s="2">
        <v>6.9400932601749801E-2</v>
      </c>
      <c r="U162" s="2">
        <v>3.2225630079833301</v>
      </c>
      <c r="V162" s="2">
        <v>0.19904981026007201</v>
      </c>
      <c r="W162" s="7">
        <v>101.108441206108</v>
      </c>
      <c r="X162" s="2">
        <v>4.1587639233132796</v>
      </c>
      <c r="Y162" s="7">
        <v>99.303103322988505</v>
      </c>
      <c r="Z162" s="2">
        <v>5.40554574838783</v>
      </c>
      <c r="AA162" s="2">
        <v>75.761561825302294</v>
      </c>
      <c r="AB162" s="2">
        <v>27.235553247641999</v>
      </c>
      <c r="AC162" s="2">
        <v>89.412943998923495</v>
      </c>
      <c r="AD162" s="2">
        <v>3.9841313095458299</v>
      </c>
      <c r="AE162" s="2">
        <v>86.269178498581297</v>
      </c>
      <c r="AF162" s="2">
        <v>10.6899014827267</v>
      </c>
      <c r="AG162" s="2">
        <v>70.155394843779803</v>
      </c>
      <c r="AH162" s="2">
        <v>17.196737544267901</v>
      </c>
      <c r="AI162" s="2">
        <v>95.815419680680506</v>
      </c>
      <c r="AJ162" s="2">
        <v>5.9182833850512901</v>
      </c>
    </row>
    <row r="163" spans="1:36" ht="15.75" hidden="1" customHeight="1" x14ac:dyDescent="0.45">
      <c r="A163" s="2" t="s">
        <v>93</v>
      </c>
      <c r="B163" s="2" t="s">
        <v>94</v>
      </c>
      <c r="C163" s="2">
        <v>0.01</v>
      </c>
      <c r="D163" s="2" t="s">
        <v>83</v>
      </c>
      <c r="E163" s="2" t="s">
        <v>84</v>
      </c>
      <c r="H163" s="2">
        <v>0.6</v>
      </c>
      <c r="I163" s="2">
        <v>45.965783589444399</v>
      </c>
      <c r="J163" s="2">
        <v>2.21961040085852</v>
      </c>
      <c r="K163" s="2">
        <v>318.388888888888</v>
      </c>
      <c r="L163" s="2">
        <v>40.335169838813101</v>
      </c>
      <c r="M163" s="2">
        <v>19.9641166682777</v>
      </c>
      <c r="N163" s="2">
        <v>1.25965825898841</v>
      </c>
      <c r="O163" s="2">
        <v>4.1661453712611101</v>
      </c>
      <c r="P163" s="2">
        <v>0.71271498004276401</v>
      </c>
      <c r="Q163" s="2">
        <v>3.1078147670166598</v>
      </c>
      <c r="R163" s="2">
        <v>0.57078107358994201</v>
      </c>
      <c r="S163" s="2">
        <v>0.32034874234055499</v>
      </c>
      <c r="T163" s="2">
        <v>0.15209446845448199</v>
      </c>
      <c r="U163" s="2">
        <v>3.4480188704222199</v>
      </c>
      <c r="V163" s="2">
        <v>0.22220494322767301</v>
      </c>
      <c r="W163" s="7">
        <v>88.845825904968606</v>
      </c>
      <c r="X163" s="2">
        <v>11.2554539508353</v>
      </c>
      <c r="Y163" s="7">
        <v>100.06020981439499</v>
      </c>
      <c r="Z163" s="2">
        <v>4.8317392867663296</v>
      </c>
      <c r="AA163" s="2">
        <v>70.438598356950195</v>
      </c>
      <c r="AB163" s="2">
        <v>12.9367487467554</v>
      </c>
      <c r="AC163" s="2">
        <v>103.614198661405</v>
      </c>
      <c r="AD163" s="2">
        <v>6.5376536944254102</v>
      </c>
      <c r="AE163" s="2">
        <v>74.282253685364395</v>
      </c>
      <c r="AF163" s="2">
        <v>12.7076878589261</v>
      </c>
      <c r="AG163" s="2">
        <v>79.378663054564498</v>
      </c>
      <c r="AH163" s="2">
        <v>37.687226351202099</v>
      </c>
      <c r="AI163" s="2">
        <v>102.51882564218801</v>
      </c>
      <c r="AJ163" s="2">
        <v>6.6067474360431397</v>
      </c>
    </row>
    <row r="164" spans="1:36" ht="15.75" hidden="1" customHeight="1" x14ac:dyDescent="0.45">
      <c r="A164" s="2" t="s">
        <v>93</v>
      </c>
      <c r="B164" s="2" t="s">
        <v>94</v>
      </c>
      <c r="C164" s="2">
        <v>0.03</v>
      </c>
      <c r="D164" s="2" t="s">
        <v>83</v>
      </c>
      <c r="E164" s="2" t="s">
        <v>84</v>
      </c>
      <c r="H164" s="2">
        <v>0.6</v>
      </c>
      <c r="I164" s="2">
        <v>41.462261993111099</v>
      </c>
      <c r="J164" s="2">
        <v>2.2717378076751502</v>
      </c>
      <c r="K164" s="2">
        <v>349.83333333333297</v>
      </c>
      <c r="L164" s="2">
        <v>20.816659994662899</v>
      </c>
      <c r="M164" s="2">
        <v>18.895551776666601</v>
      </c>
      <c r="N164" s="2">
        <v>1.10096466411495</v>
      </c>
      <c r="O164" s="2">
        <v>4.7612538752888796</v>
      </c>
      <c r="P164" s="2">
        <v>0.57242227678743696</v>
      </c>
      <c r="Q164" s="2">
        <v>2.9477351434666601</v>
      </c>
      <c r="R164" s="2">
        <v>0.41935909599643301</v>
      </c>
      <c r="S164" s="2">
        <v>0.25545118042777698</v>
      </c>
      <c r="T164" s="2">
        <v>0.15521781021587699</v>
      </c>
      <c r="U164" s="2">
        <v>3.2891689554388801</v>
      </c>
      <c r="V164" s="2">
        <v>0.49825940895823101</v>
      </c>
      <c r="W164" s="7">
        <v>97.620339508565195</v>
      </c>
      <c r="X164" s="2">
        <v>5.8088501651644497</v>
      </c>
      <c r="Y164" s="7">
        <v>90.256758624318095</v>
      </c>
      <c r="Z164" s="2">
        <v>4.9452123716535503</v>
      </c>
      <c r="AA164" s="2">
        <v>66.810394891273702</v>
      </c>
      <c r="AB164" s="2">
        <v>9.5047707616700592</v>
      </c>
      <c r="AC164" s="2">
        <v>98.068323689740893</v>
      </c>
      <c r="AD164" s="2">
        <v>5.7140304939239597</v>
      </c>
      <c r="AE164" s="2">
        <v>84.893021415998803</v>
      </c>
      <c r="AF164" s="2">
        <v>10.2062729430411</v>
      </c>
      <c r="AG164" s="2">
        <v>63.297807976130301</v>
      </c>
      <c r="AH164" s="2">
        <v>38.461153826211401</v>
      </c>
      <c r="AI164" s="2">
        <v>97.795792692123101</v>
      </c>
      <c r="AJ164" s="2">
        <v>14.814585241905499</v>
      </c>
    </row>
    <row r="165" spans="1:36" ht="15.75" hidden="1" customHeight="1" x14ac:dyDescent="0.45">
      <c r="A165" s="2" t="s">
        <v>93</v>
      </c>
      <c r="B165" s="2" t="s">
        <v>94</v>
      </c>
      <c r="C165" s="2">
        <v>0.1</v>
      </c>
      <c r="D165" s="2" t="s">
        <v>83</v>
      </c>
      <c r="E165" s="2" t="s">
        <v>84</v>
      </c>
      <c r="H165" s="2">
        <v>0.6</v>
      </c>
      <c r="I165" s="2">
        <v>37.240468061333303</v>
      </c>
      <c r="J165" s="2">
        <v>1.2715953655288501</v>
      </c>
      <c r="K165" s="2">
        <v>278.55555555555497</v>
      </c>
      <c r="L165" s="2">
        <v>30.2146640875904</v>
      </c>
      <c r="M165" s="2">
        <v>20.5394788738888</v>
      </c>
      <c r="N165" s="2">
        <v>1.32830024254544</v>
      </c>
      <c r="O165" s="2">
        <v>3.7103954986111098</v>
      </c>
      <c r="P165" s="2">
        <v>0.71042587181700501</v>
      </c>
      <c r="Q165" s="2">
        <v>2.72018283869444</v>
      </c>
      <c r="R165" s="2">
        <v>0.81980117057770696</v>
      </c>
      <c r="S165" s="2">
        <v>0.27879988304333297</v>
      </c>
      <c r="T165" s="2">
        <v>9.9665248597905098E-2</v>
      </c>
      <c r="U165" s="2">
        <v>3.6012553057777699</v>
      </c>
      <c r="V165" s="2">
        <v>0.49424669287234702</v>
      </c>
      <c r="W165" s="7">
        <v>77.730408495465397</v>
      </c>
      <c r="X165" s="2">
        <v>8.4313456875688306</v>
      </c>
      <c r="Y165" s="7">
        <v>81.066583811246105</v>
      </c>
      <c r="Z165" s="2">
        <v>2.7680611345663699</v>
      </c>
      <c r="AA165" s="2">
        <v>61.652923612367601</v>
      </c>
      <c r="AB165" s="2">
        <v>18.5807873750189</v>
      </c>
      <c r="AC165" s="2">
        <v>106.600340991919</v>
      </c>
      <c r="AD165" s="2">
        <v>6.8939070783826404</v>
      </c>
      <c r="AE165" s="2">
        <v>66.156246395558298</v>
      </c>
      <c r="AF165" s="2">
        <v>12.6668731242526</v>
      </c>
      <c r="AG165" s="2">
        <v>69.083342778421297</v>
      </c>
      <c r="AH165" s="2">
        <v>24.695880273793001</v>
      </c>
      <c r="AI165" s="2">
        <v>107.07495482495101</v>
      </c>
      <c r="AJ165" s="2">
        <v>14.6952764572903</v>
      </c>
    </row>
    <row r="166" spans="1:36" ht="15.75" hidden="1" customHeight="1" x14ac:dyDescent="0.45">
      <c r="A166" s="2" t="s">
        <v>93</v>
      </c>
      <c r="B166" s="2" t="s">
        <v>94</v>
      </c>
      <c r="C166" s="2">
        <v>0.3</v>
      </c>
      <c r="D166" s="2" t="s">
        <v>83</v>
      </c>
      <c r="E166" s="2" t="s">
        <v>84</v>
      </c>
      <c r="H166" s="2">
        <v>0.6</v>
      </c>
      <c r="I166" s="2">
        <v>23.982880593055501</v>
      </c>
      <c r="J166" s="2">
        <v>1.09719764384251</v>
      </c>
      <c r="K166" s="2">
        <v>212.222222222222</v>
      </c>
      <c r="L166" s="2">
        <v>21.967357938878699</v>
      </c>
      <c r="M166" s="2">
        <v>17.4036547175888</v>
      </c>
      <c r="N166" s="2">
        <v>1.18708970704466</v>
      </c>
      <c r="O166" s="2">
        <v>4.2167036553777697</v>
      </c>
      <c r="P166" s="2">
        <v>0.60877862002278504</v>
      </c>
      <c r="Q166" s="2">
        <v>4.99929784946666</v>
      </c>
      <c r="R166" s="2">
        <v>0.68851941085783197</v>
      </c>
      <c r="S166" s="2">
        <v>0.40873528482666599</v>
      </c>
      <c r="T166" s="2">
        <v>0.36785121664168402</v>
      </c>
      <c r="U166" s="2">
        <v>3.70304394033833</v>
      </c>
      <c r="V166" s="2">
        <v>0.21985944831365301</v>
      </c>
      <c r="W166" s="7">
        <v>59.220215487171501</v>
      </c>
      <c r="X166" s="2">
        <v>6.1299502813706903</v>
      </c>
      <c r="Y166" s="7">
        <v>52.206921686108302</v>
      </c>
      <c r="Z166" s="2">
        <v>2.3884249952382701</v>
      </c>
      <c r="AA166" s="2">
        <v>113.309048216984</v>
      </c>
      <c r="AB166" s="2">
        <v>15.6052872768008</v>
      </c>
      <c r="AC166" s="2">
        <v>90.325345584064095</v>
      </c>
      <c r="AD166" s="2">
        <v>6.1610213353479901</v>
      </c>
      <c r="AE166" s="2">
        <v>75.183706455725698</v>
      </c>
      <c r="AF166" s="2">
        <v>10.8545055107066</v>
      </c>
      <c r="AG166" s="2">
        <v>101.279812168814</v>
      </c>
      <c r="AH166" s="2">
        <v>91.149219337251296</v>
      </c>
      <c r="AI166" s="2">
        <v>110.10140324969301</v>
      </c>
      <c r="AJ166" s="2">
        <v>6.5370095972517799</v>
      </c>
    </row>
    <row r="167" spans="1:36" ht="15.75" hidden="1" customHeight="1" x14ac:dyDescent="0.45">
      <c r="A167" s="2" t="s">
        <v>93</v>
      </c>
      <c r="B167" s="2" t="s">
        <v>94</v>
      </c>
      <c r="C167" s="2">
        <v>1</v>
      </c>
      <c r="D167" s="2" t="s">
        <v>83</v>
      </c>
      <c r="E167" s="2" t="s">
        <v>84</v>
      </c>
      <c r="H167" s="2">
        <v>0.6</v>
      </c>
      <c r="I167" s="2">
        <v>17.108926872933299</v>
      </c>
      <c r="J167" s="2">
        <v>1.28764313551603</v>
      </c>
      <c r="K167" s="2">
        <v>153.277777777777</v>
      </c>
      <c r="L167" s="2">
        <v>1.6015039228207399</v>
      </c>
      <c r="M167" s="2">
        <v>15.2328288556944</v>
      </c>
      <c r="N167" s="2">
        <v>1.59223506229295</v>
      </c>
      <c r="O167" s="2">
        <v>4.22191529935</v>
      </c>
      <c r="P167" s="2">
        <v>1.7329054282577101</v>
      </c>
      <c r="Q167" s="2">
        <v>7.3332706382666597</v>
      </c>
      <c r="R167" s="2">
        <v>0.85514428355257799</v>
      </c>
      <c r="S167" s="2">
        <v>0.44985598639777702</v>
      </c>
      <c r="T167" s="2">
        <v>0.244206730330917</v>
      </c>
      <c r="U167" s="2">
        <v>3.66930650809666</v>
      </c>
      <c r="V167" s="2">
        <v>0.26473615538678202</v>
      </c>
      <c r="W167" s="7">
        <v>42.771878148980697</v>
      </c>
      <c r="X167" s="2">
        <v>0.446896684145002</v>
      </c>
      <c r="Y167" s="7">
        <v>37.243416274491203</v>
      </c>
      <c r="Z167" s="2">
        <v>2.8029945808513799</v>
      </c>
      <c r="AA167" s="2">
        <v>166.20852394865699</v>
      </c>
      <c r="AB167" s="2">
        <v>19.3818387651927</v>
      </c>
      <c r="AC167" s="2">
        <v>79.058712261336098</v>
      </c>
      <c r="AD167" s="2">
        <v>8.2637345193550207</v>
      </c>
      <c r="AE167" s="2">
        <v>75.276629919782593</v>
      </c>
      <c r="AF167" s="2">
        <v>30.8976545855909</v>
      </c>
      <c r="AG167" s="2">
        <v>111.469039979518</v>
      </c>
      <c r="AH167" s="2">
        <v>60.511565055520897</v>
      </c>
      <c r="AI167" s="2">
        <v>109.09829913002901</v>
      </c>
      <c r="AJ167" s="2">
        <v>7.8713141590079196</v>
      </c>
    </row>
    <row r="168" spans="1:36" ht="15.75" hidden="1" customHeight="1" x14ac:dyDescent="0.45">
      <c r="A168" s="2" t="s">
        <v>93</v>
      </c>
      <c r="B168" s="2" t="s">
        <v>94</v>
      </c>
      <c r="C168" s="2">
        <v>3</v>
      </c>
      <c r="D168" s="2" t="s">
        <v>83</v>
      </c>
      <c r="E168" s="2" t="s">
        <v>84</v>
      </c>
      <c r="H168" s="2">
        <v>0.6</v>
      </c>
      <c r="I168" s="2">
        <v>15.038131958499999</v>
      </c>
      <c r="J168" s="2">
        <v>0.72675608116951995</v>
      </c>
      <c r="K168" s="2">
        <v>122.055555555555</v>
      </c>
      <c r="L168" s="2">
        <v>5.6723827379617999</v>
      </c>
      <c r="M168" s="2">
        <v>14.583430874277701</v>
      </c>
      <c r="N168" s="2">
        <v>1.2427740063797199</v>
      </c>
      <c r="O168" s="2">
        <v>2.2261109422477698</v>
      </c>
      <c r="P168" s="2">
        <v>0.380223496422049</v>
      </c>
      <c r="Q168" s="2">
        <v>6.9304543627333297</v>
      </c>
      <c r="R168" s="2">
        <v>1.61924075739678</v>
      </c>
      <c r="S168" s="2">
        <v>0.33884489873222201</v>
      </c>
      <c r="T168" s="2">
        <v>0.10804836539493599</v>
      </c>
      <c r="U168" s="2">
        <v>4.1904672581161098</v>
      </c>
      <c r="V168" s="2">
        <v>1.1810555394132001</v>
      </c>
      <c r="W168" s="7">
        <v>34.059375242229201</v>
      </c>
      <c r="X168" s="2">
        <v>1.5828678285917701</v>
      </c>
      <c r="Y168" s="7">
        <v>32.735624664290803</v>
      </c>
      <c r="Z168" s="2">
        <v>1.5820325530664701</v>
      </c>
      <c r="AA168" s="2">
        <v>157.07869608855799</v>
      </c>
      <c r="AB168" s="2">
        <v>36.700079607049602</v>
      </c>
      <c r="AC168" s="2">
        <v>75.688322648068706</v>
      </c>
      <c r="AD168" s="2">
        <v>6.4500240570557503</v>
      </c>
      <c r="AE168" s="2">
        <v>39.691494897058703</v>
      </c>
      <c r="AF168" s="2">
        <v>6.7793741459888999</v>
      </c>
      <c r="AG168" s="2">
        <v>83.961793786689697</v>
      </c>
      <c r="AH168" s="2">
        <v>26.7731183447675</v>
      </c>
      <c r="AI168" s="2">
        <v>124.59380251057</v>
      </c>
      <c r="AJ168" s="2">
        <v>35.115940912474599</v>
      </c>
    </row>
    <row r="169" spans="1:36" ht="15.75" hidden="1" customHeight="1" x14ac:dyDescent="0.45">
      <c r="A169" s="2" t="s">
        <v>93</v>
      </c>
      <c r="B169" s="2" t="s">
        <v>94</v>
      </c>
      <c r="C169" s="2">
        <v>10</v>
      </c>
      <c r="D169" s="2" t="s">
        <v>83</v>
      </c>
      <c r="E169" s="2" t="s">
        <v>84</v>
      </c>
      <c r="H169" s="2">
        <v>0.6</v>
      </c>
      <c r="I169" s="2">
        <v>5.44469104593888</v>
      </c>
      <c r="J169" s="2">
        <v>2.1251087816339398</v>
      </c>
      <c r="K169" s="2">
        <v>56.1666666666666</v>
      </c>
      <c r="L169" s="2">
        <v>7.2629195231669703</v>
      </c>
      <c r="M169" s="2">
        <v>12.8080966327722</v>
      </c>
      <c r="N169" s="2">
        <v>1.95662761605008</v>
      </c>
      <c r="O169" s="2">
        <v>4.84207085448333</v>
      </c>
      <c r="P169" s="2">
        <v>1.3878867140884099</v>
      </c>
      <c r="Q169" s="2">
        <v>6.8885400571000002</v>
      </c>
      <c r="R169" s="2">
        <v>0.32759270430684001</v>
      </c>
      <c r="S169" s="2">
        <v>0.24272994221666599</v>
      </c>
      <c r="T169" s="2">
        <v>0.420420592437524</v>
      </c>
      <c r="U169" s="2">
        <v>6.3831135931555503</v>
      </c>
      <c r="V169" s="2">
        <v>1.00274686302089</v>
      </c>
      <c r="W169" s="7">
        <v>15.6732036276257</v>
      </c>
      <c r="X169" s="2">
        <v>2.0267041534300501</v>
      </c>
      <c r="Y169" s="7">
        <v>11.852227589487001</v>
      </c>
      <c r="Z169" s="2">
        <v>4.62602427205303</v>
      </c>
      <c r="AA169" s="2">
        <v>156.12870866612599</v>
      </c>
      <c r="AB169" s="2">
        <v>7.4248861831259001</v>
      </c>
      <c r="AC169" s="2">
        <v>66.4742994159744</v>
      </c>
      <c r="AD169" s="2">
        <v>10.154939779426501</v>
      </c>
      <c r="AE169" s="2">
        <v>86.333985860498998</v>
      </c>
      <c r="AF169" s="2">
        <v>24.745980707642801</v>
      </c>
      <c r="AG169" s="2">
        <v>60.145634272500899</v>
      </c>
      <c r="AH169" s="2">
        <v>104.175294413427</v>
      </c>
      <c r="AI169" s="2">
        <v>189.78704412683999</v>
      </c>
      <c r="AJ169" s="2">
        <v>29.814346926907302</v>
      </c>
    </row>
    <row r="170" spans="1:36" ht="15.75" hidden="1" customHeight="1" x14ac:dyDescent="0.45">
      <c r="A170" s="2" t="s">
        <v>93</v>
      </c>
      <c r="B170" s="2" t="s">
        <v>94</v>
      </c>
      <c r="C170" s="2">
        <v>3.0000000000000001E-3</v>
      </c>
      <c r="D170" s="2" t="s">
        <v>83</v>
      </c>
      <c r="E170" s="2" t="s">
        <v>84</v>
      </c>
      <c r="H170" s="2">
        <v>0.2</v>
      </c>
      <c r="I170" s="2">
        <v>35.928618385677701</v>
      </c>
      <c r="J170" s="2">
        <v>1.1408977496516499</v>
      </c>
      <c r="K170" s="2">
        <v>236.722222222222</v>
      </c>
      <c r="L170" s="2">
        <v>36.842884633917102</v>
      </c>
      <c r="M170" s="2">
        <v>15.970902058366599</v>
      </c>
      <c r="N170" s="2">
        <v>3.1089837561565501</v>
      </c>
      <c r="O170" s="2">
        <v>3.06772371647999</v>
      </c>
      <c r="P170" s="2">
        <v>0.69227604641942597</v>
      </c>
      <c r="Q170" s="2">
        <v>5.0060743116377697</v>
      </c>
      <c r="R170" s="2">
        <v>1.9046225404433701</v>
      </c>
      <c r="S170" s="2">
        <v>0.94008080296544405</v>
      </c>
      <c r="T170" s="2">
        <v>0.36093587484453998</v>
      </c>
      <c r="U170" s="2">
        <v>4.06056746922666</v>
      </c>
      <c r="V170" s="2">
        <v>0.81142671587363102</v>
      </c>
      <c r="W170" s="7">
        <v>102.471231574444</v>
      </c>
      <c r="X170" s="2">
        <v>17.340380602576701</v>
      </c>
      <c r="Y170" s="7">
        <v>107.610593650488</v>
      </c>
      <c r="Z170" s="2">
        <v>9.4315693627473696</v>
      </c>
      <c r="AA170" s="2">
        <v>105.88958484033699</v>
      </c>
      <c r="AB170" s="2">
        <v>19.928611241910399</v>
      </c>
      <c r="AC170" s="2">
        <v>104.00404488657399</v>
      </c>
      <c r="AD170" s="2">
        <v>17.005426264688101</v>
      </c>
      <c r="AE170" s="2">
        <v>178.65727352474499</v>
      </c>
      <c r="AF170" s="2">
        <v>35.954877153683498</v>
      </c>
      <c r="AG170" s="2">
        <v>119.895159023855</v>
      </c>
      <c r="AH170" s="2">
        <v>4.1975548331503196</v>
      </c>
      <c r="AI170" s="2">
        <v>125.84221715870601</v>
      </c>
      <c r="AJ170" s="2">
        <v>33.323662569307899</v>
      </c>
    </row>
    <row r="171" spans="1:36" ht="15.75" hidden="1" customHeight="1" x14ac:dyDescent="0.45">
      <c r="A171" s="2" t="s">
        <v>93</v>
      </c>
      <c r="B171" s="2" t="s">
        <v>94</v>
      </c>
      <c r="C171" s="2">
        <v>0.01</v>
      </c>
      <c r="D171" s="2" t="s">
        <v>83</v>
      </c>
      <c r="E171" s="2" t="s">
        <v>84</v>
      </c>
      <c r="H171" s="2">
        <v>0.2</v>
      </c>
      <c r="I171" s="2">
        <v>30.8310336364999</v>
      </c>
      <c r="J171" s="2">
        <v>7.7405076942681399</v>
      </c>
      <c r="K171" s="2">
        <v>206.777777777777</v>
      </c>
      <c r="L171" s="2">
        <v>48.192130908287098</v>
      </c>
      <c r="M171" s="2">
        <v>15.7150021030888</v>
      </c>
      <c r="N171" s="2">
        <v>0.76656874214914195</v>
      </c>
      <c r="O171" s="2">
        <v>2.1187866550683299</v>
      </c>
      <c r="P171" s="2">
        <v>0.51811269474848298</v>
      </c>
      <c r="Q171" s="2">
        <v>4.4868064665566596</v>
      </c>
      <c r="R171" s="2">
        <v>0.277836609562431</v>
      </c>
      <c r="S171" s="2">
        <v>0.48738596918611099</v>
      </c>
      <c r="T171" s="2">
        <v>0.228426410950508</v>
      </c>
      <c r="U171" s="2">
        <v>4.2434730333888799</v>
      </c>
      <c r="V171" s="2">
        <v>0.41894890312670102</v>
      </c>
      <c r="W171" s="7">
        <v>89.3914252621815</v>
      </c>
      <c r="X171" s="2">
        <v>21.175486126825799</v>
      </c>
      <c r="Y171" s="7">
        <v>92.111591915184604</v>
      </c>
      <c r="Z171" s="2">
        <v>23.066108994601699</v>
      </c>
      <c r="AA171" s="2">
        <v>98.913796332868003</v>
      </c>
      <c r="AB171" s="2">
        <v>15.7272282878311</v>
      </c>
      <c r="AC171" s="2">
        <v>102.87066072186001</v>
      </c>
      <c r="AD171" s="2">
        <v>6.5324316872639301</v>
      </c>
      <c r="AE171" s="2">
        <v>124.393202459652</v>
      </c>
      <c r="AF171" s="2">
        <v>34.472040616445199</v>
      </c>
      <c r="AG171" s="2">
        <v>79.325355609799601</v>
      </c>
      <c r="AH171" s="2">
        <v>65.197417325853095</v>
      </c>
      <c r="AI171" s="2">
        <v>131.40679284739099</v>
      </c>
      <c r="AJ171" s="2">
        <v>29.118251459367698</v>
      </c>
    </row>
    <row r="172" spans="1:36" ht="15.75" hidden="1" customHeight="1" x14ac:dyDescent="0.45">
      <c r="A172" s="2" t="s">
        <v>93</v>
      </c>
      <c r="B172" s="2" t="s">
        <v>94</v>
      </c>
      <c r="C172" s="2">
        <v>0.03</v>
      </c>
      <c r="D172" s="2" t="s">
        <v>83</v>
      </c>
      <c r="E172" s="2" t="s">
        <v>84</v>
      </c>
      <c r="H172" s="2">
        <v>0.2</v>
      </c>
      <c r="I172" s="2">
        <v>33.768949727777702</v>
      </c>
      <c r="J172" s="2">
        <v>6.5189533784261702</v>
      </c>
      <c r="K172" s="2">
        <v>184.944444444444</v>
      </c>
      <c r="L172" s="2">
        <v>13.368010461683999</v>
      </c>
      <c r="M172" s="2">
        <v>17.334024329777701</v>
      </c>
      <c r="N172" s="2">
        <v>1.0126781023460101</v>
      </c>
      <c r="O172" s="2">
        <v>2.08223608074388</v>
      </c>
      <c r="P172" s="2">
        <v>1.02969598624467</v>
      </c>
      <c r="Q172" s="2">
        <v>3.4005376699638798</v>
      </c>
      <c r="R172" s="2">
        <v>0.573482270377627</v>
      </c>
      <c r="S172" s="2">
        <v>0.48448999645111102</v>
      </c>
      <c r="T172" s="2">
        <v>0.28836681570227801</v>
      </c>
      <c r="U172" s="2">
        <v>4.3646852203444402</v>
      </c>
      <c r="V172" s="2">
        <v>0.567467914005649</v>
      </c>
      <c r="W172" s="7">
        <v>80.021120749821606</v>
      </c>
      <c r="X172" s="2">
        <v>7.3845515614527404</v>
      </c>
      <c r="Y172" s="7">
        <v>100.323654501405</v>
      </c>
      <c r="Z172" s="2">
        <v>13.5962641558526</v>
      </c>
      <c r="AA172" s="2">
        <v>74.6487785608536</v>
      </c>
      <c r="AB172" s="2">
        <v>15.5033289884091</v>
      </c>
      <c r="AC172" s="2">
        <v>113.828796032246</v>
      </c>
      <c r="AD172" s="2">
        <v>13.774242872858199</v>
      </c>
      <c r="AE172" s="2">
        <v>115.06080094252501</v>
      </c>
      <c r="AF172" s="2">
        <v>49.937532668413702</v>
      </c>
      <c r="AG172" s="2">
        <v>82.821432417922793</v>
      </c>
      <c r="AH172" s="2">
        <v>85.612441147526098</v>
      </c>
      <c r="AI172" s="2">
        <v>136.35644514992899</v>
      </c>
      <c r="AJ172" s="2">
        <v>39.407402013383098</v>
      </c>
    </row>
    <row r="173" spans="1:36" ht="15.75" hidden="1" customHeight="1" x14ac:dyDescent="0.45">
      <c r="A173" s="2" t="s">
        <v>93</v>
      </c>
      <c r="B173" s="2" t="s">
        <v>94</v>
      </c>
      <c r="C173" s="2">
        <v>0.1</v>
      </c>
      <c r="D173" s="2" t="s">
        <v>83</v>
      </c>
      <c r="E173" s="2" t="s">
        <v>84</v>
      </c>
      <c r="H173" s="2">
        <v>0.2</v>
      </c>
      <c r="I173" s="2">
        <v>25.965445406966602</v>
      </c>
      <c r="J173" s="2">
        <v>1.91483519755225</v>
      </c>
      <c r="K173" s="2">
        <v>122.51111111111101</v>
      </c>
      <c r="L173" s="2">
        <v>4.27009410946639</v>
      </c>
      <c r="M173" s="2">
        <v>16.752698329244399</v>
      </c>
      <c r="N173" s="2">
        <v>1.62371872377801</v>
      </c>
      <c r="O173" s="2">
        <v>1.60155687227777</v>
      </c>
      <c r="P173" s="2">
        <v>0.70659897762739998</v>
      </c>
      <c r="Q173" s="2">
        <v>4.9014512517044402</v>
      </c>
      <c r="R173" s="2">
        <v>1.99176583561672</v>
      </c>
      <c r="S173" s="2">
        <v>0.34527165904222201</v>
      </c>
      <c r="T173" s="2">
        <v>5.01783425289032E-2</v>
      </c>
      <c r="U173" s="2">
        <v>5.3098764298588801</v>
      </c>
      <c r="V173" s="2">
        <v>1.4006918769138901</v>
      </c>
      <c r="W173" s="7">
        <v>52.9432945762358</v>
      </c>
      <c r="X173" s="2">
        <v>1.74726282102147</v>
      </c>
      <c r="Y173" s="7">
        <v>77.494069865920594</v>
      </c>
      <c r="Z173" s="2">
        <v>2.98389517699073</v>
      </c>
      <c r="AA173" s="2">
        <v>103.20708599946801</v>
      </c>
      <c r="AB173" s="2">
        <v>21.855020909838998</v>
      </c>
      <c r="AC173" s="2">
        <v>109.509733141114</v>
      </c>
      <c r="AD173" s="2">
        <v>9.4209953253120506</v>
      </c>
      <c r="AE173" s="2">
        <v>94.862532551059701</v>
      </c>
      <c r="AF173" s="2">
        <v>48.1809248899362</v>
      </c>
      <c r="AG173" s="2">
        <v>52.299847624174198</v>
      </c>
      <c r="AH173" s="2">
        <v>32.073668847280601</v>
      </c>
      <c r="AI173" s="2">
        <v>158.590925525681</v>
      </c>
      <c r="AJ173" s="2">
        <v>10.1270990153567</v>
      </c>
    </row>
    <row r="174" spans="1:36" ht="15.75" hidden="1" customHeight="1" x14ac:dyDescent="0.45">
      <c r="A174" s="2" t="s">
        <v>93</v>
      </c>
      <c r="B174" s="2" t="s">
        <v>94</v>
      </c>
      <c r="C174" s="2">
        <v>0.3</v>
      </c>
      <c r="D174" s="2" t="s">
        <v>83</v>
      </c>
      <c r="E174" s="2" t="s">
        <v>84</v>
      </c>
      <c r="H174" s="2">
        <v>0.2</v>
      </c>
      <c r="I174" s="2">
        <v>9.0006277891511104</v>
      </c>
      <c r="J174" s="2">
        <v>1.8014133999861599</v>
      </c>
      <c r="K174" s="2">
        <v>84.844444444444406</v>
      </c>
      <c r="L174" s="2">
        <v>10.928064448592499</v>
      </c>
      <c r="M174" s="2">
        <v>9.1170238162944397</v>
      </c>
      <c r="N174" s="2">
        <v>1.1984295180651801</v>
      </c>
      <c r="O174" s="2">
        <v>1.2226401849339901</v>
      </c>
      <c r="P174" s="2">
        <v>0.74750127298607805</v>
      </c>
      <c r="Q174" s="2">
        <v>11.841997257699999</v>
      </c>
      <c r="R174" s="2">
        <v>1.51122882162427</v>
      </c>
      <c r="S174" s="2">
        <v>0.31979700374333297</v>
      </c>
      <c r="T174" s="2">
        <v>0.18932992780694299</v>
      </c>
      <c r="U174" s="2">
        <v>9.0069265303366599</v>
      </c>
      <c r="V174" s="2">
        <v>0.69960089279489501</v>
      </c>
      <c r="W174" s="7">
        <v>36.630641008926197</v>
      </c>
      <c r="X174" s="2">
        <v>4.3541881766567201</v>
      </c>
      <c r="Y174" s="7">
        <v>26.930185209334098</v>
      </c>
      <c r="Z174" s="2">
        <v>5.7061380621217399</v>
      </c>
      <c r="AA174" s="2">
        <v>261.10949585442103</v>
      </c>
      <c r="AB174" s="2">
        <v>53.321591635262898</v>
      </c>
      <c r="AC174" s="2">
        <v>59.384041053856897</v>
      </c>
      <c r="AD174" s="2">
        <v>3.3963671906398001</v>
      </c>
      <c r="AE174" s="2">
        <v>63.507440794796501</v>
      </c>
      <c r="AF174" s="2">
        <v>17.296443585370699</v>
      </c>
      <c r="AG174" s="2">
        <v>45.0048003530773</v>
      </c>
      <c r="AH174" s="2">
        <v>24.916450046433301</v>
      </c>
      <c r="AI174" s="2">
        <v>280.96290095097697</v>
      </c>
      <c r="AJ174" s="2">
        <v>72.578463845879099</v>
      </c>
    </row>
    <row r="175" spans="1:36" ht="15.75" hidden="1" customHeight="1" x14ac:dyDescent="0.45">
      <c r="A175" s="2" t="s">
        <v>93</v>
      </c>
      <c r="B175" s="2" t="s">
        <v>94</v>
      </c>
      <c r="C175" s="2">
        <v>1</v>
      </c>
      <c r="D175" s="2" t="s">
        <v>83</v>
      </c>
      <c r="E175" s="2" t="s">
        <v>84</v>
      </c>
      <c r="H175" s="2">
        <v>0.2</v>
      </c>
      <c r="I175" s="2">
        <v>4.5783020394055498</v>
      </c>
      <c r="J175" s="2">
        <v>2.07997959377008</v>
      </c>
      <c r="K175" s="2">
        <v>63.8333333333333</v>
      </c>
      <c r="L175" s="2">
        <v>5.2387445485006401</v>
      </c>
      <c r="M175" s="2">
        <v>7.0783342119833303</v>
      </c>
      <c r="N175" s="2">
        <v>1.80317624812106</v>
      </c>
      <c r="O175" s="2">
        <v>0.14619883041111101</v>
      </c>
      <c r="P175" s="2">
        <v>0.25322380227919</v>
      </c>
      <c r="Q175" s="2">
        <v>16.12173701375</v>
      </c>
      <c r="R175" s="2">
        <v>2.7917188258847698</v>
      </c>
      <c r="S175" s="2">
        <v>0.56269134172777702</v>
      </c>
      <c r="T175" s="2">
        <v>0.201726364067154</v>
      </c>
      <c r="U175" s="2">
        <v>11.8104720396333</v>
      </c>
      <c r="V175" s="2">
        <v>1.0752793290243301</v>
      </c>
      <c r="W175" s="7">
        <v>27.630072711980301</v>
      </c>
      <c r="X175" s="2">
        <v>2.9101155043467601</v>
      </c>
      <c r="Y175" s="7">
        <v>13.4477905627966</v>
      </c>
      <c r="Z175" s="2">
        <v>5.3282925549322</v>
      </c>
      <c r="AA175" s="2">
        <v>349.945459654601</v>
      </c>
      <c r="AB175" s="2">
        <v>24.738694220276098</v>
      </c>
      <c r="AC175" s="2">
        <v>46.187513774203602</v>
      </c>
      <c r="AD175" s="2">
        <v>11.315181826589299</v>
      </c>
      <c r="AE175" s="2">
        <v>12.482506008043501</v>
      </c>
      <c r="AF175" s="2">
        <v>21.620334611715101</v>
      </c>
      <c r="AG175" s="2">
        <v>90.770704794495202</v>
      </c>
      <c r="AH175" s="2">
        <v>75.3384464297976</v>
      </c>
      <c r="AI175" s="2">
        <v>370.50168045272699</v>
      </c>
      <c r="AJ175" s="2">
        <v>111.47889716082</v>
      </c>
    </row>
    <row r="176" spans="1:36" ht="15.75" hidden="1" customHeight="1" x14ac:dyDescent="0.45">
      <c r="A176" s="2" t="s">
        <v>93</v>
      </c>
      <c r="B176" s="2" t="s">
        <v>94</v>
      </c>
      <c r="C176" s="2">
        <v>3</v>
      </c>
      <c r="D176" s="2" t="s">
        <v>83</v>
      </c>
      <c r="E176" s="2" t="s">
        <v>84</v>
      </c>
      <c r="H176" s="2">
        <v>0.2</v>
      </c>
      <c r="I176" s="2">
        <v>2.49999683361444</v>
      </c>
      <c r="J176" s="2">
        <v>1.12999804833539</v>
      </c>
      <c r="K176" s="2">
        <v>50.377777777777702</v>
      </c>
      <c r="L176" s="2">
        <v>2.4003086221320502</v>
      </c>
      <c r="M176" s="2">
        <v>5.8253397209699997</v>
      </c>
      <c r="N176" s="2">
        <v>2.97500161805708</v>
      </c>
      <c r="O176" s="2">
        <v>0.31746031745777697</v>
      </c>
      <c r="P176" s="2">
        <v>0.29959660457183901</v>
      </c>
      <c r="Q176" s="2">
        <v>16.196553572149998</v>
      </c>
      <c r="R176" s="2">
        <v>1.32589465169091</v>
      </c>
      <c r="S176" s="2">
        <v>0</v>
      </c>
      <c r="T176" s="2">
        <v>0</v>
      </c>
      <c r="U176" s="2">
        <v>10.7722726612544</v>
      </c>
      <c r="V176" s="2">
        <v>2.9067969646947298</v>
      </c>
      <c r="W176" s="7">
        <v>21.7917165744866</v>
      </c>
      <c r="X176" s="2">
        <v>1.5234451926066801</v>
      </c>
      <c r="Y176" s="7">
        <v>7.3863026267692602</v>
      </c>
      <c r="Z176" s="2">
        <v>3.20616968104168</v>
      </c>
      <c r="AA176" s="2">
        <v>355.54630597208399</v>
      </c>
      <c r="AB176" s="2">
        <v>44.380368324584502</v>
      </c>
      <c r="AC176" s="2">
        <v>37.189759430937102</v>
      </c>
      <c r="AD176" s="2">
        <v>15.991993374774299</v>
      </c>
      <c r="AE176" s="2">
        <v>24.5157709836711</v>
      </c>
      <c r="AF176" s="2">
        <v>25.458061108027199</v>
      </c>
      <c r="AG176" s="2">
        <v>0</v>
      </c>
      <c r="AH176" s="2">
        <v>0</v>
      </c>
      <c r="AI176" s="2">
        <v>351.07779578121699</v>
      </c>
      <c r="AJ176" s="2">
        <v>187.84961970267801</v>
      </c>
    </row>
    <row r="177" spans="1:36" ht="15.75" hidden="1" customHeight="1" x14ac:dyDescent="0.45">
      <c r="A177" s="2" t="s">
        <v>93</v>
      </c>
      <c r="B177" s="2" t="s">
        <v>94</v>
      </c>
      <c r="C177" s="2">
        <v>10</v>
      </c>
      <c r="D177" s="2" t="s">
        <v>83</v>
      </c>
      <c r="E177" s="2" t="s">
        <v>84</v>
      </c>
      <c r="H177" s="2">
        <v>0.2</v>
      </c>
      <c r="I177" s="2">
        <v>7.9365079366666605E-2</v>
      </c>
      <c r="J177" s="2">
        <v>0.13746434980980299</v>
      </c>
      <c r="K177" s="2">
        <v>36.5555555555555</v>
      </c>
      <c r="L177" s="2">
        <v>9.5602378708977493</v>
      </c>
      <c r="M177" s="2">
        <v>1.3998465360500001</v>
      </c>
      <c r="N177" s="2">
        <v>1.1193975923488799</v>
      </c>
      <c r="O177" s="2">
        <v>7.9365079366666605E-2</v>
      </c>
      <c r="P177" s="2">
        <v>0.13746434980980299</v>
      </c>
      <c r="Q177" s="2">
        <v>18.754751670655502</v>
      </c>
      <c r="R177" s="2">
        <v>3.4293637335434699</v>
      </c>
      <c r="S177" s="2">
        <v>0</v>
      </c>
      <c r="T177" s="2">
        <v>0</v>
      </c>
      <c r="U177" s="2">
        <v>5.1847007984777704</v>
      </c>
      <c r="V177" s="2">
        <v>1.0115017246011999</v>
      </c>
      <c r="W177" s="7">
        <v>15.8087474869753</v>
      </c>
      <c r="X177" s="2">
        <v>4.2172138452214796</v>
      </c>
      <c r="Y177" s="7">
        <v>0.25173321468665699</v>
      </c>
      <c r="Z177" s="2">
        <v>0.436014717789934</v>
      </c>
      <c r="AA177" s="2">
        <v>411.87473384721602</v>
      </c>
      <c r="AB177" s="2">
        <v>92.812607215361496</v>
      </c>
      <c r="AC177" s="2">
        <v>8.8124795750219498</v>
      </c>
      <c r="AD177" s="2">
        <v>6.3330856147791899</v>
      </c>
      <c r="AE177" s="2">
        <v>5.0501514107752996</v>
      </c>
      <c r="AF177" s="2">
        <v>8.7471188293784792</v>
      </c>
      <c r="AG177" s="2">
        <v>0</v>
      </c>
      <c r="AH177" s="2">
        <v>0</v>
      </c>
      <c r="AI177" s="2">
        <v>167.61435077184501</v>
      </c>
      <c r="AJ177" s="2">
        <v>79.4235103446143</v>
      </c>
    </row>
    <row r="178" spans="1:36" ht="15.75" hidden="1" customHeight="1" x14ac:dyDescent="0.45">
      <c r="A178" s="2" t="s">
        <v>93</v>
      </c>
      <c r="B178" s="2" t="s">
        <v>94</v>
      </c>
      <c r="C178" s="2">
        <v>3.0000000000000001E-3</v>
      </c>
      <c r="D178" s="2" t="s">
        <v>83</v>
      </c>
      <c r="E178" s="2" t="s">
        <v>84</v>
      </c>
      <c r="H178" s="2">
        <v>0.2</v>
      </c>
      <c r="I178" s="2">
        <v>6.7450193576414801</v>
      </c>
      <c r="J178" s="2">
        <v>9.2277984873018504</v>
      </c>
      <c r="K178" s="2">
        <v>224.48148148148101</v>
      </c>
      <c r="L178" s="2">
        <v>21.129037223493601</v>
      </c>
      <c r="M178" s="2">
        <v>15.8640270939259</v>
      </c>
      <c r="N178" s="2">
        <v>1.1038090844867501</v>
      </c>
      <c r="O178" s="2">
        <v>28.289156094888799</v>
      </c>
      <c r="P178" s="2">
        <v>1.5823441921379799</v>
      </c>
      <c r="Q178" s="2">
        <v>3.3381971688370302</v>
      </c>
      <c r="R178" s="2">
        <v>0.32723816760135999</v>
      </c>
      <c r="S178" s="2">
        <v>0.35591669652111102</v>
      </c>
      <c r="T178" s="2">
        <v>0.103401095403369</v>
      </c>
      <c r="U178" s="2">
        <v>6.5416684991777698</v>
      </c>
      <c r="V178" s="2">
        <v>0.82356765748272698</v>
      </c>
      <c r="W178" s="7">
        <v>88.0316927765125</v>
      </c>
      <c r="X178" s="2">
        <v>10.653629719564099</v>
      </c>
      <c r="Y178" s="7">
        <v>297.07556911982402</v>
      </c>
      <c r="Z178" s="2">
        <v>368.67505394370198</v>
      </c>
      <c r="AA178" s="2">
        <v>117.25089157184</v>
      </c>
      <c r="AB178" s="2">
        <v>10.2810507188039</v>
      </c>
      <c r="AC178" s="2">
        <v>87.751782277369301</v>
      </c>
      <c r="AD178" s="2">
        <v>5.78665120762866</v>
      </c>
      <c r="AE178" s="2">
        <v>87.855391450100498</v>
      </c>
      <c r="AF178" s="2">
        <v>7.4995462526661401</v>
      </c>
      <c r="AG178" s="2">
        <v>78.136129427559197</v>
      </c>
      <c r="AH178" s="2">
        <v>19.717705408032799</v>
      </c>
      <c r="AI178" s="2">
        <v>151.534750514953</v>
      </c>
      <c r="AJ178" s="2">
        <v>8.4204526165878697</v>
      </c>
    </row>
    <row r="179" spans="1:36" ht="15.75" hidden="1" customHeight="1" x14ac:dyDescent="0.45">
      <c r="A179" s="2" t="s">
        <v>93</v>
      </c>
      <c r="B179" s="2" t="s">
        <v>94</v>
      </c>
      <c r="C179" s="2">
        <v>0.01</v>
      </c>
      <c r="D179" s="2" t="s">
        <v>83</v>
      </c>
      <c r="E179" s="2" t="s">
        <v>84</v>
      </c>
      <c r="H179" s="2">
        <v>0.2</v>
      </c>
      <c r="I179" s="2">
        <v>2.3931017547677702</v>
      </c>
      <c r="J179" s="2">
        <v>0.56850475076377704</v>
      </c>
      <c r="K179" s="2">
        <v>221.62962962962899</v>
      </c>
      <c r="L179" s="2">
        <v>11.290951984124399</v>
      </c>
      <c r="M179" s="2">
        <v>18.471542196518499</v>
      </c>
      <c r="N179" s="2">
        <v>0.48625930866724298</v>
      </c>
      <c r="O179" s="2">
        <v>28.213317491888802</v>
      </c>
      <c r="P179" s="2">
        <v>2.4428764753905399</v>
      </c>
      <c r="Q179" s="2">
        <v>3.7277668039629601</v>
      </c>
      <c r="R179" s="2">
        <v>0.44728038318016899</v>
      </c>
      <c r="S179" s="2">
        <v>0.230870051148518</v>
      </c>
      <c r="T179" s="2">
        <v>0.13697358155792</v>
      </c>
      <c r="U179" s="2">
        <v>6.3734988003666597</v>
      </c>
      <c r="V179" s="2">
        <v>1.8559528452351499</v>
      </c>
      <c r="W179" s="7">
        <v>86.742182328566898</v>
      </c>
      <c r="X179" s="2">
        <v>3.4934891241039998</v>
      </c>
      <c r="Y179" s="7">
        <v>136.12582735352501</v>
      </c>
      <c r="Z179" s="2">
        <v>73.390169934397406</v>
      </c>
      <c r="AA179" s="2">
        <v>130.78728494654999</v>
      </c>
      <c r="AB179" s="2">
        <v>12.386055054040099</v>
      </c>
      <c r="AC179" s="2">
        <v>102.248286620817</v>
      </c>
      <c r="AD179" s="2">
        <v>5.1205114803088803</v>
      </c>
      <c r="AE179" s="2">
        <v>87.304873160006494</v>
      </c>
      <c r="AF179" s="2">
        <v>1.9667752097673099</v>
      </c>
      <c r="AG179" s="2">
        <v>51.038010055753801</v>
      </c>
      <c r="AH179" s="2">
        <v>27.497537280892999</v>
      </c>
      <c r="AI179" s="2">
        <v>146.35675298540801</v>
      </c>
      <c r="AJ179" s="2">
        <v>34.360591892981603</v>
      </c>
    </row>
    <row r="180" spans="1:36" ht="15.75" hidden="1" customHeight="1" x14ac:dyDescent="0.45">
      <c r="A180" s="2" t="s">
        <v>93</v>
      </c>
      <c r="B180" s="2" t="s">
        <v>94</v>
      </c>
      <c r="C180" s="2">
        <v>0.03</v>
      </c>
      <c r="D180" s="2" t="s">
        <v>83</v>
      </c>
      <c r="E180" s="2" t="s">
        <v>84</v>
      </c>
      <c r="H180" s="2">
        <v>0.2</v>
      </c>
      <c r="I180" s="2">
        <v>1.7108841935262</v>
      </c>
      <c r="J180" s="2">
        <v>1.55880101858091</v>
      </c>
      <c r="K180" s="2">
        <v>150.74074074073999</v>
      </c>
      <c r="L180" s="2">
        <v>109.254281116974</v>
      </c>
      <c r="M180" s="2">
        <v>12.513690792024001</v>
      </c>
      <c r="N180" s="2">
        <v>8.2316162919370708</v>
      </c>
      <c r="O180" s="2">
        <v>19.120020401742501</v>
      </c>
      <c r="P180" s="2">
        <v>16.346447934935401</v>
      </c>
      <c r="Q180" s="2">
        <v>4.3050223710430497</v>
      </c>
      <c r="R180" s="2">
        <v>1.9595235206574999</v>
      </c>
      <c r="S180" s="2">
        <v>0.15730925176643501</v>
      </c>
      <c r="T180" s="2">
        <v>0.13623776677444099</v>
      </c>
      <c r="U180" s="2">
        <v>8.1166800340060092</v>
      </c>
      <c r="V180" s="2">
        <v>3.24073257998139</v>
      </c>
      <c r="W180" s="7">
        <v>61.454910850962698</v>
      </c>
      <c r="X180" s="2">
        <v>46.019264186379402</v>
      </c>
      <c r="Y180" s="7">
        <v>100.100059694376</v>
      </c>
      <c r="Z180" s="2">
        <v>88.310509099936496</v>
      </c>
      <c r="AA180" s="2">
        <v>151.90220068693199</v>
      </c>
      <c r="AB180" s="2">
        <v>71.764993806317094</v>
      </c>
      <c r="AC180" s="2">
        <v>68.115089173922698</v>
      </c>
      <c r="AD180" s="2">
        <v>43.948782108294999</v>
      </c>
      <c r="AE180" s="2">
        <v>61.839007710113002</v>
      </c>
      <c r="AF180" s="2">
        <v>52.979025745426902</v>
      </c>
      <c r="AG180" s="2">
        <v>28.030840173230999</v>
      </c>
      <c r="AH180" s="2">
        <v>24.742843015136</v>
      </c>
      <c r="AI180" s="2">
        <v>193.65384237243501</v>
      </c>
      <c r="AJ180" s="2">
        <v>95.999093270540499</v>
      </c>
    </row>
    <row r="181" spans="1:36" ht="15.75" hidden="1" customHeight="1" x14ac:dyDescent="0.45">
      <c r="A181" s="2" t="s">
        <v>93</v>
      </c>
      <c r="B181" s="2" t="s">
        <v>94</v>
      </c>
      <c r="C181" s="2">
        <v>0.1</v>
      </c>
      <c r="D181" s="2" t="s">
        <v>83</v>
      </c>
      <c r="E181" s="2" t="s">
        <v>84</v>
      </c>
      <c r="H181" s="2">
        <v>0.2</v>
      </c>
      <c r="I181" s="2">
        <v>1.37845997707877</v>
      </c>
      <c r="J181" s="2">
        <v>0.65219040828760999</v>
      </c>
      <c r="K181" s="2">
        <v>150.6</v>
      </c>
      <c r="L181" s="2">
        <v>26.6810794384334</v>
      </c>
      <c r="M181" s="2">
        <v>17.181661187285101</v>
      </c>
      <c r="N181" s="2">
        <v>1.8987238698164399</v>
      </c>
      <c r="O181" s="2">
        <v>21.056991238592499</v>
      </c>
      <c r="P181" s="2">
        <v>1.3708054247236501</v>
      </c>
      <c r="Q181" s="2">
        <v>3.7910995213122902</v>
      </c>
      <c r="R181" s="2">
        <v>0.68158562020383195</v>
      </c>
      <c r="S181" s="2">
        <v>0.39670118044392499</v>
      </c>
      <c r="T181" s="2">
        <v>0.42188141674495799</v>
      </c>
      <c r="U181" s="2">
        <v>6.4088895732462898</v>
      </c>
      <c r="V181" s="2">
        <v>1.0628100223630501</v>
      </c>
      <c r="W181" s="7">
        <v>58.932286076916903</v>
      </c>
      <c r="X181" s="2">
        <v>10.416025714332401</v>
      </c>
      <c r="Y181" s="7">
        <v>70.036930032176997</v>
      </c>
      <c r="Z181" s="2">
        <v>21.0367426812731</v>
      </c>
      <c r="AA181" s="2">
        <v>133.690600644542</v>
      </c>
      <c r="AB181" s="2">
        <v>27.036275759115899</v>
      </c>
      <c r="AC181" s="2">
        <v>94.886590080269301</v>
      </c>
      <c r="AD181" s="2">
        <v>7.8422854178800199</v>
      </c>
      <c r="AE181" s="2">
        <v>65.629246155103203</v>
      </c>
      <c r="AF181" s="2">
        <v>8.7904308427718796</v>
      </c>
      <c r="AG181" s="2">
        <v>86.827859259317194</v>
      </c>
      <c r="AH181" s="2">
        <v>80.818208474745703</v>
      </c>
      <c r="AI181" s="2">
        <v>150.60063730102101</v>
      </c>
      <c r="AJ181" s="2">
        <v>35.357505211833903</v>
      </c>
    </row>
    <row r="182" spans="1:36" ht="15.75" hidden="1" customHeight="1" x14ac:dyDescent="0.45">
      <c r="A182" s="2" t="s">
        <v>93</v>
      </c>
      <c r="B182" s="2" t="s">
        <v>94</v>
      </c>
      <c r="C182" s="2">
        <v>0.3</v>
      </c>
      <c r="D182" s="2" t="s">
        <v>83</v>
      </c>
      <c r="E182" s="2" t="s">
        <v>84</v>
      </c>
      <c r="H182" s="2">
        <v>0.2</v>
      </c>
      <c r="I182" s="2">
        <v>1.6412736950742499</v>
      </c>
      <c r="J182" s="2">
        <v>0.45629155602302601</v>
      </c>
      <c r="K182" s="2">
        <v>113.833333333333</v>
      </c>
      <c r="L182" s="2">
        <v>42.957666499835703</v>
      </c>
      <c r="M182" s="2">
        <v>13.8727776044481</v>
      </c>
      <c r="N182" s="2">
        <v>1.58632206126412</v>
      </c>
      <c r="O182" s="2">
        <v>12.332249009939201</v>
      </c>
      <c r="P182" s="2">
        <v>3.8488376318195199</v>
      </c>
      <c r="Q182" s="2">
        <v>6.3338158783107401</v>
      </c>
      <c r="R182" s="2">
        <v>1.4553020768990199</v>
      </c>
      <c r="S182" s="2">
        <v>0.49125054012481401</v>
      </c>
      <c r="T182" s="2">
        <v>0.29731465091730203</v>
      </c>
      <c r="U182" s="2">
        <v>8.46664511351333</v>
      </c>
      <c r="V182" s="2">
        <v>1.4751158318978199</v>
      </c>
      <c r="W182" s="7">
        <v>45.206863089992098</v>
      </c>
      <c r="X182" s="2">
        <v>19.9860231699496</v>
      </c>
      <c r="Y182" s="7">
        <v>94.281664196961898</v>
      </c>
      <c r="Z182" s="2">
        <v>56.439238810425202</v>
      </c>
      <c r="AA182" s="2">
        <v>222.25422499968101</v>
      </c>
      <c r="AB182" s="2">
        <v>48.933316420828596</v>
      </c>
      <c r="AC182" s="2">
        <v>76.677397392931297</v>
      </c>
      <c r="AD182" s="2">
        <v>7.76058298151509</v>
      </c>
      <c r="AE182" s="2">
        <v>38.847941143377597</v>
      </c>
      <c r="AF182" s="2">
        <v>14.272573023003901</v>
      </c>
      <c r="AG182" s="2">
        <v>95.929559825375506</v>
      </c>
      <c r="AH182" s="2">
        <v>29.545318316941401</v>
      </c>
      <c r="AI182" s="2">
        <v>197.261477129459</v>
      </c>
      <c r="AJ182" s="2">
        <v>36.6550562052769</v>
      </c>
    </row>
    <row r="183" spans="1:36" ht="15.75" hidden="1" customHeight="1" x14ac:dyDescent="0.45">
      <c r="A183" s="2" t="s">
        <v>93</v>
      </c>
      <c r="B183" s="2" t="s">
        <v>94</v>
      </c>
      <c r="C183" s="2">
        <v>10</v>
      </c>
      <c r="D183" s="2" t="s">
        <v>83</v>
      </c>
      <c r="E183" s="2" t="s">
        <v>84</v>
      </c>
      <c r="H183" s="2">
        <v>0.2</v>
      </c>
      <c r="I183" s="2">
        <v>0</v>
      </c>
      <c r="J183" s="2">
        <v>0</v>
      </c>
      <c r="K183" s="2">
        <v>47.185185185185098</v>
      </c>
      <c r="L183" s="2">
        <v>4.2807829751879396</v>
      </c>
      <c r="M183" s="2">
        <v>7.4646739988377702</v>
      </c>
      <c r="N183" s="2">
        <v>1.40839499013852</v>
      </c>
      <c r="O183" s="2">
        <v>0</v>
      </c>
      <c r="P183" s="2">
        <v>0</v>
      </c>
      <c r="Q183" s="2">
        <v>9.5710276328074002</v>
      </c>
      <c r="R183" s="2">
        <v>4.6293300642220396</v>
      </c>
      <c r="S183" s="2">
        <v>0</v>
      </c>
      <c r="T183" s="2">
        <v>0</v>
      </c>
      <c r="U183" s="2">
        <v>10.770292052990699</v>
      </c>
      <c r="V183" s="2">
        <v>1.37571429145338</v>
      </c>
      <c r="W183" s="7">
        <v>18.454090719245599</v>
      </c>
      <c r="X183" s="2">
        <v>1.3188703021066699</v>
      </c>
      <c r="Y183" s="7">
        <v>0</v>
      </c>
      <c r="Z183" s="2">
        <v>0</v>
      </c>
      <c r="AA183" s="2">
        <v>337.79573562228501</v>
      </c>
      <c r="AB183" s="2">
        <v>167.303424071325</v>
      </c>
      <c r="AC183" s="2">
        <v>41.420385304375799</v>
      </c>
      <c r="AD183" s="2">
        <v>8.7734841251034208</v>
      </c>
      <c r="AE183" s="2">
        <v>0</v>
      </c>
      <c r="AF183" s="2">
        <v>0</v>
      </c>
      <c r="AG183" s="2">
        <v>0</v>
      </c>
      <c r="AH183" s="2">
        <v>0</v>
      </c>
      <c r="AI183" s="2">
        <v>249.29199238772199</v>
      </c>
      <c r="AJ183" s="2">
        <v>10.361971690957899</v>
      </c>
    </row>
    <row r="184" spans="1:36" ht="15.75" hidden="1" customHeight="1" x14ac:dyDescent="0.45">
      <c r="A184" s="2" t="s">
        <v>93</v>
      </c>
      <c r="B184" s="2" t="s">
        <v>94</v>
      </c>
      <c r="C184" s="2">
        <v>1</v>
      </c>
      <c r="D184" s="2" t="s">
        <v>83</v>
      </c>
      <c r="E184" s="2" t="s">
        <v>84</v>
      </c>
      <c r="H184" s="2">
        <v>0.2</v>
      </c>
      <c r="I184" s="2">
        <v>0.76013533521535703</v>
      </c>
      <c r="J184" s="2">
        <v>0.28015486496721997</v>
      </c>
      <c r="K184" s="2">
        <v>66.824074074074005</v>
      </c>
      <c r="L184" s="2">
        <v>8.1978021996966195</v>
      </c>
      <c r="M184" s="2">
        <v>8.7355422393503908</v>
      </c>
      <c r="N184" s="2">
        <v>1.1364664582730399</v>
      </c>
      <c r="O184" s="2">
        <v>4.6821091318984696</v>
      </c>
      <c r="P184" s="2">
        <v>0.41062389263008903</v>
      </c>
      <c r="Q184" s="2">
        <v>9.9031334583482096</v>
      </c>
      <c r="R184" s="2">
        <v>1.7431474167057801</v>
      </c>
      <c r="S184" s="2">
        <v>0.36308775107513203</v>
      </c>
      <c r="T184" s="2">
        <v>0.28340570319866398</v>
      </c>
      <c r="U184" s="2">
        <v>13.053227816870301</v>
      </c>
      <c r="V184" s="2">
        <v>0.66115441779567397</v>
      </c>
      <c r="W184" s="7">
        <v>26.381986478546398</v>
      </c>
      <c r="X184" s="2">
        <v>5.2823113553217702</v>
      </c>
      <c r="Y184" s="7">
        <v>38.556076954346501</v>
      </c>
      <c r="Z184" s="2">
        <v>7.1708946852901603</v>
      </c>
      <c r="AA184" s="2">
        <v>348.10521507481599</v>
      </c>
      <c r="AB184" s="2">
        <v>62.391897745578397</v>
      </c>
      <c r="AC184" s="2">
        <v>48.422707082970902</v>
      </c>
      <c r="AD184" s="2">
        <v>7.3410998161958299</v>
      </c>
      <c r="AE184" s="2">
        <v>14.4866139295845</v>
      </c>
      <c r="AF184" s="2">
        <v>0.21767107805288799</v>
      </c>
      <c r="AG184" s="2">
        <v>71.011288646868607</v>
      </c>
      <c r="AH184" s="2">
        <v>33.079475602083797</v>
      </c>
      <c r="AI184" s="2">
        <v>305.13231574878102</v>
      </c>
      <c r="AJ184" s="2">
        <v>41.264734833580398</v>
      </c>
    </row>
    <row r="185" spans="1:36" ht="15.75" hidden="1" customHeight="1" x14ac:dyDescent="0.45">
      <c r="A185" s="2" t="s">
        <v>93</v>
      </c>
      <c r="B185" s="2" t="s">
        <v>94</v>
      </c>
      <c r="C185" s="2">
        <v>3</v>
      </c>
      <c r="D185" s="2" t="s">
        <v>83</v>
      </c>
      <c r="E185" s="2" t="s">
        <v>84</v>
      </c>
      <c r="H185" s="2">
        <v>0.2</v>
      </c>
      <c r="I185" s="2">
        <v>0.37900997720851798</v>
      </c>
      <c r="J185" s="2">
        <v>0.12545420848725999</v>
      </c>
      <c r="K185" s="2">
        <v>74.211111111111094</v>
      </c>
      <c r="L185" s="2">
        <v>16.272687865573101</v>
      </c>
      <c r="M185" s="2">
        <v>8.5301372274359206</v>
      </c>
      <c r="N185" s="2">
        <v>0.37059714485205297</v>
      </c>
      <c r="O185" s="2">
        <v>2.9649566950936999</v>
      </c>
      <c r="P185" s="2">
        <v>1.5911977506982</v>
      </c>
      <c r="Q185" s="2">
        <v>8.3076031257037002</v>
      </c>
      <c r="R185" s="2">
        <v>4.0013644666400303</v>
      </c>
      <c r="S185" s="2">
        <v>0.184251478368888</v>
      </c>
      <c r="T185" s="2">
        <v>0.16477037524788701</v>
      </c>
      <c r="U185" s="2">
        <v>13.053424509903699</v>
      </c>
      <c r="V185" s="2">
        <v>1.8422395556161899</v>
      </c>
      <c r="W185" s="7">
        <v>29.435121340652699</v>
      </c>
      <c r="X185" s="2">
        <v>8.6899273180906</v>
      </c>
      <c r="Y185" s="7">
        <v>22.317607855624701</v>
      </c>
      <c r="Z185" s="2">
        <v>15.037368579097899</v>
      </c>
      <c r="AA185" s="2">
        <v>293.46761833245898</v>
      </c>
      <c r="AB185" s="2">
        <v>146.84576776708599</v>
      </c>
      <c r="AC185" s="2">
        <v>47.257053902378999</v>
      </c>
      <c r="AD185" s="2">
        <v>3.75025895312208</v>
      </c>
      <c r="AE185" s="2">
        <v>9.3616822996295497</v>
      </c>
      <c r="AF185" s="2">
        <v>5.4652343566964996</v>
      </c>
      <c r="AG185" s="2">
        <v>48.613358489226599</v>
      </c>
      <c r="AH185" s="2">
        <v>55.347434387611102</v>
      </c>
      <c r="AI185" s="2">
        <v>302.10533557486201</v>
      </c>
      <c r="AJ185" s="2">
        <v>20.027240716742799</v>
      </c>
    </row>
    <row r="186" spans="1:36" ht="15.75" customHeight="1" x14ac:dyDescent="0.45">
      <c r="A186" s="2" t="s">
        <v>93</v>
      </c>
      <c r="B186" s="2" t="s">
        <v>94</v>
      </c>
      <c r="C186" s="2">
        <v>3.0000000000000001E-3</v>
      </c>
      <c r="D186" s="2" t="s">
        <v>85</v>
      </c>
      <c r="E186" s="2" t="s">
        <v>84</v>
      </c>
      <c r="F186" s="2" t="s">
        <v>86</v>
      </c>
      <c r="G186" s="2">
        <v>3539</v>
      </c>
      <c r="H186" s="2">
        <v>8.4</v>
      </c>
      <c r="I186" s="2">
        <v>3.7103386559444398</v>
      </c>
      <c r="J186" s="2">
        <v>0.46235747536447402</v>
      </c>
      <c r="K186" s="2">
        <v>161.944444444444</v>
      </c>
      <c r="L186" s="2">
        <v>13.4890215992006</v>
      </c>
      <c r="M186" s="2">
        <v>0.28336981851555498</v>
      </c>
      <c r="N186" s="2">
        <v>0.31774842439373202</v>
      </c>
      <c r="O186" s="2">
        <v>0.21489509816499999</v>
      </c>
      <c r="P186" s="2">
        <v>6.5331676473264905E-2</v>
      </c>
      <c r="Q186" s="2">
        <v>7.3560606632222196</v>
      </c>
      <c r="R186" s="2">
        <v>3.0461392111586698</v>
      </c>
      <c r="S186" s="2">
        <v>0</v>
      </c>
      <c r="T186" s="2">
        <v>0</v>
      </c>
      <c r="U186" s="2">
        <v>0.44606745076833298</v>
      </c>
      <c r="V186" s="2">
        <v>0.46084424665666701</v>
      </c>
      <c r="W186" s="7">
        <v>104.770001656605</v>
      </c>
      <c r="X186" s="2">
        <v>7.3696778380251597</v>
      </c>
      <c r="Y186" s="7">
        <v>88.932532082610706</v>
      </c>
      <c r="Z186" s="2">
        <v>8.4723828592683805</v>
      </c>
      <c r="AA186" s="2">
        <v>90.590236363059603</v>
      </c>
      <c r="AB186" s="2">
        <v>6.8694008474120496</v>
      </c>
      <c r="AC186" s="2">
        <v>102.153256977041</v>
      </c>
      <c r="AD186" s="2">
        <v>77.7980662420443</v>
      </c>
      <c r="AE186" s="2">
        <v>69.977289146662798</v>
      </c>
      <c r="AF186" s="2">
        <v>9.9137619429821999</v>
      </c>
      <c r="AG186" s="2">
        <v>0</v>
      </c>
      <c r="AH186" s="2">
        <v>0</v>
      </c>
      <c r="AI186" s="2">
        <v>98.687992195939799</v>
      </c>
      <c r="AJ186" s="2">
        <v>79.1495716803107</v>
      </c>
    </row>
    <row r="187" spans="1:36" ht="15.75" customHeight="1" x14ac:dyDescent="0.45">
      <c r="A187" s="2" t="s">
        <v>93</v>
      </c>
      <c r="B187" s="2" t="s">
        <v>94</v>
      </c>
      <c r="C187" s="2">
        <v>0.01</v>
      </c>
      <c r="D187" s="2" t="s">
        <v>85</v>
      </c>
      <c r="E187" s="2" t="s">
        <v>84</v>
      </c>
      <c r="F187" s="2" t="s">
        <v>86</v>
      </c>
      <c r="G187" s="2">
        <v>3539</v>
      </c>
      <c r="H187" s="2">
        <v>8.4</v>
      </c>
      <c r="I187" s="2">
        <v>5.3162785565444404</v>
      </c>
      <c r="J187" s="2">
        <v>1.26012334657541</v>
      </c>
      <c r="K187" s="2">
        <v>139.666666666666</v>
      </c>
      <c r="L187" s="2">
        <v>11.13552872566</v>
      </c>
      <c r="M187" s="2">
        <v>0.269504678727222</v>
      </c>
      <c r="N187" s="2">
        <v>0.23515070385904699</v>
      </c>
      <c r="O187" s="2">
        <v>0.18521522094999901</v>
      </c>
      <c r="P187" s="2">
        <v>0.164226872627592</v>
      </c>
      <c r="Q187" s="2">
        <v>5.0499048093511103</v>
      </c>
      <c r="R187" s="2">
        <v>1.09492861622583</v>
      </c>
      <c r="S187" s="2">
        <v>0</v>
      </c>
      <c r="T187" s="2">
        <v>0</v>
      </c>
      <c r="U187" s="2">
        <v>0.54164051087333298</v>
      </c>
      <c r="V187" s="2">
        <v>0.13741664218448299</v>
      </c>
      <c r="W187" s="7">
        <v>90.2630731481905</v>
      </c>
      <c r="X187" s="2">
        <v>3.2075995781398698</v>
      </c>
      <c r="Y187" s="7">
        <v>127.071934739638</v>
      </c>
      <c r="Z187" s="2">
        <v>25.241945308435302</v>
      </c>
      <c r="AA187" s="2">
        <v>66.679892482773894</v>
      </c>
      <c r="AB187" s="2">
        <v>21.203124054362501</v>
      </c>
      <c r="AC187" s="2">
        <v>159.534282031667</v>
      </c>
      <c r="AD187" s="2">
        <v>161.840059292436</v>
      </c>
      <c r="AE187" s="2">
        <v>54.777327148226398</v>
      </c>
      <c r="AF187" s="2">
        <v>55.996625058944602</v>
      </c>
      <c r="AG187" s="2">
        <v>0</v>
      </c>
      <c r="AH187" s="2">
        <v>0</v>
      </c>
      <c r="AI187" s="2">
        <v>145.51189243287101</v>
      </c>
      <c r="AJ187" s="2">
        <v>60.986984731817103</v>
      </c>
    </row>
    <row r="188" spans="1:36" ht="15.75" customHeight="1" x14ac:dyDescent="0.45">
      <c r="A188" s="2" t="s">
        <v>93</v>
      </c>
      <c r="B188" s="2" t="s">
        <v>94</v>
      </c>
      <c r="C188" s="2">
        <v>0.03</v>
      </c>
      <c r="D188" s="2" t="s">
        <v>85</v>
      </c>
      <c r="E188" s="2" t="s">
        <v>84</v>
      </c>
      <c r="F188" s="2" t="s">
        <v>86</v>
      </c>
      <c r="G188" s="2">
        <v>3539</v>
      </c>
      <c r="H188" s="2">
        <v>8.4</v>
      </c>
      <c r="I188" s="2">
        <v>4.3460538250444403</v>
      </c>
      <c r="J188" s="2">
        <v>0.72002463434228303</v>
      </c>
      <c r="K188" s="2">
        <v>121.166666666666</v>
      </c>
      <c r="L188" s="2">
        <v>9.8587242807803896</v>
      </c>
      <c r="M188" s="2">
        <v>0.21059563178666599</v>
      </c>
      <c r="N188" s="2">
        <v>0.26896892153724</v>
      </c>
      <c r="O188" s="2">
        <v>0.126895232761111</v>
      </c>
      <c r="P188" s="2">
        <v>0.14388512842171</v>
      </c>
      <c r="Q188" s="2">
        <v>5.2644715135500002</v>
      </c>
      <c r="R188" s="2">
        <v>0.42041547403358698</v>
      </c>
      <c r="S188" s="2">
        <v>8.3095916429444402E-2</v>
      </c>
      <c r="T188" s="2">
        <v>7.41334045394514E-2</v>
      </c>
      <c r="U188" s="2">
        <v>0.33497606322611101</v>
      </c>
      <c r="V188" s="2">
        <v>0.32375172019520299</v>
      </c>
      <c r="W188" s="7">
        <v>78.666712282286397</v>
      </c>
      <c r="X188" s="2">
        <v>9.62431538579491</v>
      </c>
      <c r="Y188" s="7">
        <v>104.19248631636</v>
      </c>
      <c r="Z188" s="2">
        <v>15.2985950766387</v>
      </c>
      <c r="AA188" s="2">
        <v>70.634722540755902</v>
      </c>
      <c r="AB188" s="2">
        <v>21.338932435065399</v>
      </c>
      <c r="AC188" s="2">
        <v>100.106071001079</v>
      </c>
      <c r="AD188" s="2">
        <v>106.47084902966699</v>
      </c>
      <c r="AE188" s="2">
        <v>49.271710333760502</v>
      </c>
      <c r="AF188" s="2">
        <v>50.678805330587799</v>
      </c>
      <c r="AG188" s="2">
        <v>1338.461538478</v>
      </c>
      <c r="AH188" s="2">
        <v>0</v>
      </c>
      <c r="AI188" s="2">
        <v>95.284076956633896</v>
      </c>
      <c r="AJ188" s="2">
        <v>99.576879690903993</v>
      </c>
    </row>
    <row r="189" spans="1:36" ht="15.75" customHeight="1" x14ac:dyDescent="0.45">
      <c r="A189" s="2" t="s">
        <v>93</v>
      </c>
      <c r="B189" s="2" t="s">
        <v>94</v>
      </c>
      <c r="C189" s="2">
        <v>0.1</v>
      </c>
      <c r="D189" s="2" t="s">
        <v>85</v>
      </c>
      <c r="E189" s="2" t="s">
        <v>84</v>
      </c>
      <c r="F189" s="2" t="s">
        <v>86</v>
      </c>
      <c r="G189" s="2">
        <v>3539</v>
      </c>
      <c r="H189" s="2">
        <v>8.4</v>
      </c>
      <c r="I189" s="2">
        <v>3.8228169046188798</v>
      </c>
      <c r="J189" s="2">
        <v>0.68544509086846594</v>
      </c>
      <c r="K189" s="2">
        <v>124.833333333333</v>
      </c>
      <c r="L189" s="2">
        <v>9.3511734260705897</v>
      </c>
      <c r="M189" s="2">
        <v>0.21679520430555499</v>
      </c>
      <c r="N189" s="2">
        <v>0.242431305025295</v>
      </c>
      <c r="O189" s="2">
        <v>0.28512243919611102</v>
      </c>
      <c r="P189" s="2">
        <v>0.28432231061778002</v>
      </c>
      <c r="Q189" s="2">
        <v>6.1035650108333304</v>
      </c>
      <c r="R189" s="2">
        <v>2.17552848837318</v>
      </c>
      <c r="S189" s="2">
        <v>3.75375375377777E-2</v>
      </c>
      <c r="T189" s="2">
        <v>6.5016922206454997E-2</v>
      </c>
      <c r="U189" s="2">
        <v>0.48550354565111098</v>
      </c>
      <c r="V189" s="2">
        <v>0.34938917659122098</v>
      </c>
      <c r="W189" s="7">
        <v>80.748128000722105</v>
      </c>
      <c r="X189" s="2">
        <v>4.5576796565193698</v>
      </c>
      <c r="Y189" s="7">
        <v>92.5531184506779</v>
      </c>
      <c r="Z189" s="2">
        <v>22.651878322527999</v>
      </c>
      <c r="AA189" s="2">
        <v>85.855740346151407</v>
      </c>
      <c r="AB189" s="2">
        <v>45.001161059367298</v>
      </c>
      <c r="AC189" s="2">
        <v>82.513097939158897</v>
      </c>
      <c r="AD189" s="2">
        <v>102.685946638251</v>
      </c>
      <c r="AE189" s="2">
        <v>122.363984970004</v>
      </c>
      <c r="AF189" s="2">
        <v>147.95941433611301</v>
      </c>
      <c r="AG189" s="2">
        <v>0</v>
      </c>
      <c r="AH189" s="2">
        <v>0</v>
      </c>
      <c r="AI189" s="2">
        <v>125.617527903473</v>
      </c>
      <c r="AJ189" s="2">
        <v>104.65173587720901</v>
      </c>
    </row>
    <row r="190" spans="1:36" ht="15.75" customHeight="1" x14ac:dyDescent="0.45">
      <c r="A190" s="2" t="s">
        <v>93</v>
      </c>
      <c r="B190" s="2" t="s">
        <v>94</v>
      </c>
      <c r="C190" s="2">
        <v>0.3</v>
      </c>
      <c r="D190" s="2" t="s">
        <v>85</v>
      </c>
      <c r="E190" s="2" t="s">
        <v>84</v>
      </c>
      <c r="F190" s="2" t="s">
        <v>86</v>
      </c>
      <c r="G190" s="2">
        <v>3539</v>
      </c>
      <c r="H190" s="2">
        <v>8.4</v>
      </c>
      <c r="I190" s="2">
        <v>0.64200157011666603</v>
      </c>
      <c r="J190" s="2">
        <v>7.3613859548525798E-2</v>
      </c>
      <c r="K190" s="2">
        <v>114.944444444444</v>
      </c>
      <c r="L190" s="2">
        <v>15.4239472298159</v>
      </c>
      <c r="M190" s="2">
        <v>0.27692809548888803</v>
      </c>
      <c r="N190" s="2">
        <v>0.25818155409804899</v>
      </c>
      <c r="O190" s="2">
        <v>0.27777777777777701</v>
      </c>
      <c r="P190" s="2">
        <v>0.48112522432468802</v>
      </c>
      <c r="Q190" s="2">
        <v>8.5123710375611097</v>
      </c>
      <c r="R190" s="2">
        <v>2.4965615005378901</v>
      </c>
      <c r="S190" s="2">
        <v>0</v>
      </c>
      <c r="T190" s="2">
        <v>0</v>
      </c>
      <c r="U190" s="2">
        <v>0.42068424325833298</v>
      </c>
      <c r="V190" s="2">
        <v>1.6325141322945599E-2</v>
      </c>
      <c r="W190" s="7">
        <v>74.600544496210503</v>
      </c>
      <c r="X190" s="2">
        <v>12.0712152522488</v>
      </c>
      <c r="Y190" s="7">
        <v>15.3601572918851</v>
      </c>
      <c r="Z190" s="2">
        <v>0.74048080847487197</v>
      </c>
      <c r="AA190" s="2">
        <v>114.99555223106699</v>
      </c>
      <c r="AB190" s="2">
        <v>50.131454638039401</v>
      </c>
      <c r="AC190" s="2">
        <v>149.97506628571401</v>
      </c>
      <c r="AD190" s="2">
        <v>130.64130290430899</v>
      </c>
      <c r="AE190" s="2">
        <v>60.018325573118503</v>
      </c>
      <c r="AF190" s="2">
        <v>103.95478927785101</v>
      </c>
      <c r="AG190" s="2">
        <v>0</v>
      </c>
      <c r="AH190" s="2">
        <v>0</v>
      </c>
      <c r="AI190" s="2">
        <v>109.243229519279</v>
      </c>
      <c r="AJ190" s="2">
        <v>21.033101375584</v>
      </c>
    </row>
    <row r="191" spans="1:36" ht="15.75" customHeight="1" x14ac:dyDescent="0.45">
      <c r="A191" s="2" t="s">
        <v>93</v>
      </c>
      <c r="B191" s="2" t="s">
        <v>94</v>
      </c>
      <c r="C191" s="2">
        <v>1</v>
      </c>
      <c r="D191" s="2" t="s">
        <v>85</v>
      </c>
      <c r="E191" s="2" t="s">
        <v>84</v>
      </c>
      <c r="F191" s="2" t="s">
        <v>86</v>
      </c>
      <c r="G191" s="2">
        <v>3539</v>
      </c>
      <c r="H191" s="2">
        <v>8.4</v>
      </c>
      <c r="I191" s="2">
        <v>3.3875338753333303E-2</v>
      </c>
      <c r="J191" s="2">
        <v>5.8673807844380199E-2</v>
      </c>
      <c r="K191" s="2">
        <v>103.055555555555</v>
      </c>
      <c r="L191" s="2">
        <v>9.8634191352205391</v>
      </c>
      <c r="M191" s="2">
        <v>0.19039119440833299</v>
      </c>
      <c r="N191" s="2">
        <v>0.17158686673578599</v>
      </c>
      <c r="O191" s="2">
        <v>0.39887865855555499</v>
      </c>
      <c r="P191" s="2">
        <v>0.50151350346518897</v>
      </c>
      <c r="Q191" s="2">
        <v>10.453128183827699</v>
      </c>
      <c r="R191" s="2">
        <v>1.4117102328039</v>
      </c>
      <c r="S191" s="2">
        <v>0</v>
      </c>
      <c r="T191" s="2">
        <v>0</v>
      </c>
      <c r="U191" s="2">
        <v>0.41070863994500001</v>
      </c>
      <c r="V191" s="2">
        <v>0.15601508778332701</v>
      </c>
      <c r="W191" s="7">
        <v>66.895062128719005</v>
      </c>
      <c r="X191" s="2">
        <v>8.9042554816407193</v>
      </c>
      <c r="Y191" s="7">
        <v>0.88395431707898398</v>
      </c>
      <c r="Z191" s="2">
        <v>1.5310537887506499</v>
      </c>
      <c r="AA191" s="2">
        <v>141.03490454683001</v>
      </c>
      <c r="AB191" s="2">
        <v>47.681272810613699</v>
      </c>
      <c r="AC191" s="2">
        <v>105.14473894369701</v>
      </c>
      <c r="AD191" s="2">
        <v>93.282280650026493</v>
      </c>
      <c r="AE191" s="2">
        <v>106.661447231517</v>
      </c>
      <c r="AF191" s="2">
        <v>104.025022201887</v>
      </c>
      <c r="AG191" s="2">
        <v>0</v>
      </c>
      <c r="AH191" s="2">
        <v>0</v>
      </c>
      <c r="AI191" s="2">
        <v>105.35207680896301</v>
      </c>
      <c r="AJ191" s="2">
        <v>45.498339297982298</v>
      </c>
    </row>
    <row r="192" spans="1:36" ht="15.75" customHeight="1" x14ac:dyDescent="0.45">
      <c r="A192" s="2" t="s">
        <v>93</v>
      </c>
      <c r="B192" s="2" t="s">
        <v>94</v>
      </c>
      <c r="C192" s="2">
        <v>3</v>
      </c>
      <c r="D192" s="2" t="s">
        <v>85</v>
      </c>
      <c r="E192" s="2" t="s">
        <v>84</v>
      </c>
      <c r="F192" s="2" t="s">
        <v>86</v>
      </c>
      <c r="G192" s="2">
        <v>3539</v>
      </c>
      <c r="H192" s="2">
        <v>8.4</v>
      </c>
      <c r="I192" s="2">
        <v>0.21304691115833299</v>
      </c>
      <c r="J192" s="2">
        <v>0.184574647124473</v>
      </c>
      <c r="K192" s="2">
        <v>78.7777777777777</v>
      </c>
      <c r="L192" s="2">
        <v>12.277275002274701</v>
      </c>
      <c r="M192" s="2">
        <v>0.17697187508333301</v>
      </c>
      <c r="N192" s="2">
        <v>0.16090689205479999</v>
      </c>
      <c r="O192" s="2">
        <v>0.219298245616666</v>
      </c>
      <c r="P192" s="2">
        <v>0.37983570341878498</v>
      </c>
      <c r="Q192" s="2">
        <v>7.5398780630888798</v>
      </c>
      <c r="R192" s="2">
        <v>1.8045977516179099</v>
      </c>
      <c r="S192" s="2">
        <v>0</v>
      </c>
      <c r="T192" s="2">
        <v>0</v>
      </c>
      <c r="U192" s="2">
        <v>0.58087733756666604</v>
      </c>
      <c r="V192" s="2">
        <v>0.44382511583691098</v>
      </c>
      <c r="W192" s="7">
        <v>50.939810237005403</v>
      </c>
      <c r="X192" s="2">
        <v>7.3667467308150396</v>
      </c>
      <c r="Y192" s="7">
        <v>5.3422788900185996</v>
      </c>
      <c r="Z192" s="2">
        <v>4.6305458523946701</v>
      </c>
      <c r="AA192" s="2">
        <v>96.609756798699294</v>
      </c>
      <c r="AB192" s="2">
        <v>14.433188416325301</v>
      </c>
      <c r="AC192" s="2">
        <v>64.268735583898007</v>
      </c>
      <c r="AD192" s="2">
        <v>64.902100796088206</v>
      </c>
      <c r="AE192" s="2">
        <v>104.773334334328</v>
      </c>
      <c r="AF192" s="2">
        <v>181.47273834545601</v>
      </c>
      <c r="AG192" s="2">
        <v>0</v>
      </c>
      <c r="AH192" s="2">
        <v>0</v>
      </c>
      <c r="AI192" s="2">
        <v>158.950164856622</v>
      </c>
      <c r="AJ192" s="2">
        <v>141.49921021803499</v>
      </c>
    </row>
    <row r="193" spans="1:36" ht="15.75" customHeight="1" x14ac:dyDescent="0.45">
      <c r="A193" s="2" t="s">
        <v>93</v>
      </c>
      <c r="B193" s="2" t="s">
        <v>94</v>
      </c>
      <c r="C193" s="2">
        <v>10</v>
      </c>
      <c r="D193" s="2" t="s">
        <v>85</v>
      </c>
      <c r="E193" s="2" t="s">
        <v>84</v>
      </c>
      <c r="F193" s="2" t="s">
        <v>86</v>
      </c>
      <c r="G193" s="2">
        <v>3539</v>
      </c>
      <c r="H193" s="2">
        <v>8.4</v>
      </c>
      <c r="I193" s="2">
        <v>0</v>
      </c>
      <c r="J193" s="2">
        <v>0</v>
      </c>
      <c r="K193" s="2">
        <v>85.8888888888888</v>
      </c>
      <c r="L193" s="2">
        <v>22.4625202240268</v>
      </c>
      <c r="M193" s="2">
        <v>0.13903546241666601</v>
      </c>
      <c r="N193" s="2">
        <v>0.12694261734470599</v>
      </c>
      <c r="O193" s="2">
        <v>0.79577620053111098</v>
      </c>
      <c r="P193" s="2">
        <v>1.06359556402341</v>
      </c>
      <c r="Q193" s="2">
        <v>9.9651827737444396</v>
      </c>
      <c r="R193" s="2">
        <v>1.3349282041619499</v>
      </c>
      <c r="S193" s="2">
        <v>0.192357999372222</v>
      </c>
      <c r="T193" s="2">
        <v>2.14260400124196E-2</v>
      </c>
      <c r="U193" s="2">
        <v>0.46136414235000001</v>
      </c>
      <c r="V193" s="2">
        <v>0.241961745996223</v>
      </c>
      <c r="W193" s="7">
        <v>55.203013608991597</v>
      </c>
      <c r="X193" s="2">
        <v>12.1749407803176</v>
      </c>
      <c r="Y193" s="7">
        <v>0</v>
      </c>
      <c r="Z193" s="2">
        <v>0</v>
      </c>
      <c r="AA193" s="2">
        <v>131.10844888595599</v>
      </c>
      <c r="AB193" s="2">
        <v>30.965688219767198</v>
      </c>
      <c r="AC193" s="2">
        <v>76.167099767107203</v>
      </c>
      <c r="AD193" s="2">
        <v>66.972073633791496</v>
      </c>
      <c r="AE193" s="2">
        <v>355.66132280795699</v>
      </c>
      <c r="AF193" s="2">
        <v>529.22725309014402</v>
      </c>
      <c r="AG193" s="2">
        <v>2197.8947367552801</v>
      </c>
      <c r="AH193" s="2">
        <v>0</v>
      </c>
      <c r="AI193" s="2">
        <v>120.385927536924</v>
      </c>
      <c r="AJ193" s="2">
        <v>76.096034187829801</v>
      </c>
    </row>
    <row r="194" spans="1:36" ht="15.75" customHeight="1" x14ac:dyDescent="0.45">
      <c r="A194" s="2" t="s">
        <v>93</v>
      </c>
      <c r="B194" s="2" t="s">
        <v>94</v>
      </c>
      <c r="C194" s="2">
        <v>3.0000000000000001E-3</v>
      </c>
      <c r="D194" s="2" t="s">
        <v>85</v>
      </c>
      <c r="E194" s="2" t="s">
        <v>84</v>
      </c>
      <c r="F194" s="2" t="s">
        <v>86</v>
      </c>
      <c r="G194" s="2">
        <v>10867</v>
      </c>
      <c r="H194" s="2" t="s">
        <v>87</v>
      </c>
      <c r="I194" s="2">
        <v>0.18575081311814801</v>
      </c>
      <c r="J194" s="2">
        <v>0.14379273354081501</v>
      </c>
      <c r="K194" s="2">
        <v>170.962962962962</v>
      </c>
      <c r="L194" s="2">
        <v>51.659059575392803</v>
      </c>
      <c r="M194" s="2">
        <v>0.112308576915185</v>
      </c>
      <c r="N194" s="2">
        <v>0.12239500434419499</v>
      </c>
      <c r="O194" s="2">
        <v>1.2327363391255499</v>
      </c>
      <c r="P194" s="2">
        <v>0.166525150728459</v>
      </c>
      <c r="Q194" s="2">
        <v>2.82412471900592</v>
      </c>
      <c r="R194" s="2">
        <v>1.0382676219062399</v>
      </c>
      <c r="S194" s="2">
        <v>0</v>
      </c>
      <c r="T194" s="2">
        <v>0</v>
      </c>
      <c r="U194" s="2">
        <v>0.35465973891740699</v>
      </c>
      <c r="V194" s="2">
        <v>0.26830144587768001</v>
      </c>
      <c r="W194" s="7">
        <v>111.45553876413</v>
      </c>
      <c r="X194" s="2">
        <v>29.683761911833699</v>
      </c>
      <c r="Y194" s="7">
        <v>50.720001625982299</v>
      </c>
      <c r="Z194" s="2">
        <v>33.897343588980497</v>
      </c>
      <c r="AA194" s="2">
        <v>132.50062423459801</v>
      </c>
      <c r="AB194" s="2">
        <v>34.8030197530679</v>
      </c>
      <c r="AC194" s="2">
        <v>64.056763499312794</v>
      </c>
      <c r="AD194" s="2">
        <v>62.525706177386397</v>
      </c>
      <c r="AE194" s="2">
        <v>111.36586633687401</v>
      </c>
      <c r="AF194" s="2">
        <v>20.1300777574431</v>
      </c>
      <c r="AG194" s="2">
        <v>0</v>
      </c>
      <c r="AH194" s="2">
        <v>0</v>
      </c>
      <c r="AI194" s="2">
        <v>153.73672328402199</v>
      </c>
      <c r="AJ194" s="2">
        <v>80.6248582292408</v>
      </c>
    </row>
    <row r="195" spans="1:36" ht="15.75" customHeight="1" x14ac:dyDescent="0.45">
      <c r="A195" s="2" t="s">
        <v>93</v>
      </c>
      <c r="B195" s="2" t="s">
        <v>94</v>
      </c>
      <c r="C195" s="2">
        <v>0.01</v>
      </c>
      <c r="D195" s="2" t="s">
        <v>85</v>
      </c>
      <c r="E195" s="2" t="s">
        <v>84</v>
      </c>
      <c r="F195" s="2" t="s">
        <v>86</v>
      </c>
      <c r="G195" s="2">
        <v>10867</v>
      </c>
      <c r="H195" s="2" t="s">
        <v>87</v>
      </c>
      <c r="I195" s="2">
        <v>0.10940753670073999</v>
      </c>
      <c r="J195" s="2">
        <v>0.14301961798462001</v>
      </c>
      <c r="K195" s="2">
        <v>154.92592592592499</v>
      </c>
      <c r="L195" s="2">
        <v>16.543744233123899</v>
      </c>
      <c r="M195" s="2">
        <v>8.0817923642962905E-2</v>
      </c>
      <c r="N195" s="2">
        <v>3.6398083670570501E-3</v>
      </c>
      <c r="O195" s="2">
        <v>0.90587649617296295</v>
      </c>
      <c r="P195" s="2">
        <v>0.41632467708047499</v>
      </c>
      <c r="Q195" s="2">
        <v>1.4377688273140701</v>
      </c>
      <c r="R195" s="2">
        <v>0.89837521742357695</v>
      </c>
      <c r="S195" s="2">
        <v>0</v>
      </c>
      <c r="T195" s="2">
        <v>0</v>
      </c>
      <c r="U195" s="2">
        <v>0.27468623083333299</v>
      </c>
      <c r="V195" s="2">
        <v>0.29372227662808498</v>
      </c>
      <c r="W195" s="7">
        <v>101.565130378096</v>
      </c>
      <c r="X195" s="2">
        <v>10.369437859165499</v>
      </c>
      <c r="Y195" s="7">
        <v>30.535197689510401</v>
      </c>
      <c r="Z195" s="2">
        <v>31.349481172572801</v>
      </c>
      <c r="AA195" s="2">
        <v>79.935566240668606</v>
      </c>
      <c r="AB195" s="2">
        <v>62.732052598076997</v>
      </c>
      <c r="AC195" s="2">
        <v>77.367427685395</v>
      </c>
      <c r="AD195" s="2">
        <v>46.672701078723698</v>
      </c>
      <c r="AE195" s="2">
        <v>82.959906809079797</v>
      </c>
      <c r="AF195" s="2">
        <v>36.622496262959601</v>
      </c>
      <c r="AG195" s="2">
        <v>0</v>
      </c>
      <c r="AH195" s="2">
        <v>0</v>
      </c>
      <c r="AI195" s="2">
        <v>185.16957642165201</v>
      </c>
      <c r="AJ195" s="2">
        <v>255.65672196420201</v>
      </c>
    </row>
    <row r="196" spans="1:36" ht="15.75" customHeight="1" x14ac:dyDescent="0.45">
      <c r="A196" s="2" t="s">
        <v>93</v>
      </c>
      <c r="B196" s="2" t="s">
        <v>94</v>
      </c>
      <c r="C196" s="2">
        <v>0.03</v>
      </c>
      <c r="D196" s="2" t="s">
        <v>85</v>
      </c>
      <c r="E196" s="2" t="s">
        <v>84</v>
      </c>
      <c r="F196" s="2" t="s">
        <v>86</v>
      </c>
      <c r="G196" s="2">
        <v>10867</v>
      </c>
      <c r="H196" s="2" t="s">
        <v>87</v>
      </c>
      <c r="I196" s="2">
        <v>7.8522840445555506E-2</v>
      </c>
      <c r="J196" s="2">
        <v>7.97600344795069E-2</v>
      </c>
      <c r="K196" s="2">
        <v>150.85185185185099</v>
      </c>
      <c r="L196" s="2">
        <v>11.0790277536918</v>
      </c>
      <c r="M196" s="2">
        <v>7.7527200850370306E-2</v>
      </c>
      <c r="N196" s="2">
        <v>8.3090459780890594E-2</v>
      </c>
      <c r="O196" s="2">
        <v>0.96251310451036998</v>
      </c>
      <c r="P196" s="2">
        <v>0.22914824808422601</v>
      </c>
      <c r="Q196" s="2">
        <v>1.6188833884096201</v>
      </c>
      <c r="R196" s="2">
        <v>1.1070970123578101</v>
      </c>
      <c r="S196" s="2">
        <v>0</v>
      </c>
      <c r="T196" s="2">
        <v>0</v>
      </c>
      <c r="U196" s="2">
        <v>0.20745738381222201</v>
      </c>
      <c r="V196" s="2">
        <v>0.153803836133553</v>
      </c>
      <c r="W196" s="7">
        <v>98.868149704956807</v>
      </c>
      <c r="X196" s="2">
        <v>5.9417958494999796</v>
      </c>
      <c r="Y196" s="7">
        <v>22.045482336614199</v>
      </c>
      <c r="Z196" s="2">
        <v>19.9015658131514</v>
      </c>
      <c r="AA196" s="2">
        <v>69.326466139926296</v>
      </c>
      <c r="AB196" s="2">
        <v>19.655408508821399</v>
      </c>
      <c r="AC196" s="2">
        <v>79.295563066266595</v>
      </c>
      <c r="AD196" s="2">
        <v>121.549305347977</v>
      </c>
      <c r="AE196" s="2">
        <v>88.431716432838797</v>
      </c>
      <c r="AF196" s="2">
        <v>28.037784183484401</v>
      </c>
      <c r="AG196" s="2">
        <v>0</v>
      </c>
      <c r="AH196" s="2">
        <v>0</v>
      </c>
      <c r="AI196" s="2">
        <v>98.564054368850506</v>
      </c>
      <c r="AJ196" s="2">
        <v>63.053813135127299</v>
      </c>
    </row>
    <row r="197" spans="1:36" ht="15.75" customHeight="1" x14ac:dyDescent="0.45">
      <c r="A197" s="2" t="s">
        <v>93</v>
      </c>
      <c r="B197" s="2" t="s">
        <v>94</v>
      </c>
      <c r="C197" s="2">
        <v>0.1</v>
      </c>
      <c r="D197" s="2" t="s">
        <v>85</v>
      </c>
      <c r="E197" s="2" t="s">
        <v>84</v>
      </c>
      <c r="F197" s="2" t="s">
        <v>86</v>
      </c>
      <c r="G197" s="2">
        <v>10867</v>
      </c>
      <c r="H197" s="2" t="s">
        <v>87</v>
      </c>
      <c r="I197" s="2">
        <v>3.16555872111111E-2</v>
      </c>
      <c r="J197" s="2">
        <v>5.4829085393071998E-2</v>
      </c>
      <c r="K197" s="2">
        <v>131.75462962962899</v>
      </c>
      <c r="L197" s="2">
        <v>12.2832624543574</v>
      </c>
      <c r="M197" s="2">
        <v>0.217560406490138</v>
      </c>
      <c r="N197" s="2">
        <v>0.21382240794156701</v>
      </c>
      <c r="O197" s="2">
        <v>0.220261744200277</v>
      </c>
      <c r="P197" s="2">
        <v>0.20063386811768499</v>
      </c>
      <c r="Q197" s="2">
        <v>1.9301415117529599</v>
      </c>
      <c r="R197" s="2">
        <v>1.8451980268905099</v>
      </c>
      <c r="S197" s="2">
        <v>0</v>
      </c>
      <c r="T197" s="2">
        <v>0</v>
      </c>
      <c r="U197" s="2">
        <v>4.7807634416666599E-2</v>
      </c>
      <c r="V197" s="2">
        <v>8.28052517993451E-2</v>
      </c>
      <c r="W197" s="7">
        <v>86.5205101920658</v>
      </c>
      <c r="X197" s="2">
        <v>9.9216457742907398</v>
      </c>
      <c r="Y197" s="7">
        <v>5.4490358017136797</v>
      </c>
      <c r="Z197" s="2">
        <v>9.4380068608299101</v>
      </c>
      <c r="AA197" s="2">
        <v>103.491549859885</v>
      </c>
      <c r="AB197" s="2">
        <v>125.97986914539401</v>
      </c>
      <c r="AC197" s="2">
        <v>139.07804056960501</v>
      </c>
      <c r="AD197" s="2">
        <v>150.49153265540801</v>
      </c>
      <c r="AE197" s="2">
        <v>20.804756599674899</v>
      </c>
      <c r="AF197" s="2">
        <v>18.3054512607847</v>
      </c>
      <c r="AG197" s="2">
        <v>0</v>
      </c>
      <c r="AH197" s="2">
        <v>0</v>
      </c>
      <c r="AI197" s="2">
        <v>17.123020957753901</v>
      </c>
      <c r="AJ197" s="2">
        <v>29.657942277896399</v>
      </c>
    </row>
    <row r="198" spans="1:36" ht="15.75" customHeight="1" x14ac:dyDescent="0.45">
      <c r="A198" s="2" t="s">
        <v>93</v>
      </c>
      <c r="B198" s="2" t="s">
        <v>94</v>
      </c>
      <c r="C198" s="2">
        <v>0.3</v>
      </c>
      <c r="D198" s="2" t="s">
        <v>85</v>
      </c>
      <c r="E198" s="2" t="s">
        <v>84</v>
      </c>
      <c r="F198" s="2" t="s">
        <v>86</v>
      </c>
      <c r="G198" s="2">
        <v>10867</v>
      </c>
      <c r="H198" s="2" t="s">
        <v>87</v>
      </c>
      <c r="I198" s="2">
        <v>0</v>
      </c>
      <c r="J198" s="2">
        <v>0</v>
      </c>
      <c r="K198" s="2">
        <v>127.24074074073999</v>
      </c>
      <c r="L198" s="2">
        <v>3.1428604831362499</v>
      </c>
      <c r="M198" s="2">
        <v>0.23112316789666601</v>
      </c>
      <c r="N198" s="2">
        <v>7.7235352461341097E-2</v>
      </c>
      <c r="O198" s="2">
        <v>0.14167251307703699</v>
      </c>
      <c r="P198" s="2">
        <v>0.141285303416508</v>
      </c>
      <c r="Q198" s="2">
        <v>2.0569317384261101</v>
      </c>
      <c r="R198" s="2">
        <v>0.81747448660226896</v>
      </c>
      <c r="S198" s="2">
        <v>7.8347578347407396E-2</v>
      </c>
      <c r="T198" s="2">
        <v>7.2285552457822103E-2</v>
      </c>
      <c r="U198" s="2">
        <v>0.122562175703333</v>
      </c>
      <c r="V198" s="2">
        <v>0.123466513811878</v>
      </c>
      <c r="W198" s="7">
        <v>83.492541408017303</v>
      </c>
      <c r="X198" s="2">
        <v>4.1862613169479399</v>
      </c>
      <c r="Y198" s="7">
        <v>0</v>
      </c>
      <c r="Z198" s="2">
        <v>0</v>
      </c>
      <c r="AA198" s="2">
        <v>103.10290937284501</v>
      </c>
      <c r="AB198" s="2">
        <v>58.055194432204402</v>
      </c>
      <c r="AC198" s="2">
        <v>212.82381416706701</v>
      </c>
      <c r="AD198" s="2">
        <v>152.71893178453999</v>
      </c>
      <c r="AE198" s="2">
        <v>12.808898739655801</v>
      </c>
      <c r="AF198" s="2">
        <v>11.130959630193599</v>
      </c>
      <c r="AG198" s="2">
        <v>109.109433254341</v>
      </c>
      <c r="AH198" s="2">
        <v>154.304040291131</v>
      </c>
      <c r="AI198" s="2">
        <v>78.881960770336903</v>
      </c>
      <c r="AJ198" s="2">
        <v>102.059326150506</v>
      </c>
    </row>
    <row r="199" spans="1:36" ht="15.75" customHeight="1" x14ac:dyDescent="0.45">
      <c r="A199" s="2" t="s">
        <v>93</v>
      </c>
      <c r="B199" s="2" t="s">
        <v>94</v>
      </c>
      <c r="C199" s="2">
        <v>10</v>
      </c>
      <c r="D199" s="2" t="s">
        <v>85</v>
      </c>
      <c r="E199" s="2" t="s">
        <v>84</v>
      </c>
      <c r="F199" s="2" t="s">
        <v>86</v>
      </c>
      <c r="G199" s="2">
        <v>10867</v>
      </c>
      <c r="H199" s="2" t="s">
        <v>87</v>
      </c>
      <c r="I199" s="2">
        <v>3.6549707602499898E-2</v>
      </c>
      <c r="J199" s="2">
        <v>6.3305950569316399E-2</v>
      </c>
      <c r="K199" s="2">
        <v>109.703703703703</v>
      </c>
      <c r="L199" s="2">
        <v>6.6180130483266604</v>
      </c>
      <c r="M199" s="2">
        <v>8.4203970612962906E-2</v>
      </c>
      <c r="N199" s="2">
        <v>7.3371550182472503E-2</v>
      </c>
      <c r="O199" s="2">
        <v>0</v>
      </c>
      <c r="P199" s="2">
        <v>0</v>
      </c>
      <c r="Q199" s="2">
        <v>0.84203207744337905</v>
      </c>
      <c r="R199" s="2">
        <v>0.87567196650246903</v>
      </c>
      <c r="S199" s="2">
        <v>0</v>
      </c>
      <c r="T199" s="2">
        <v>0</v>
      </c>
      <c r="U199" s="2">
        <v>0.138807897996296</v>
      </c>
      <c r="V199" s="2">
        <v>6.4384120625530603E-2</v>
      </c>
      <c r="W199" s="7">
        <v>71.869576758559901</v>
      </c>
      <c r="X199" s="2">
        <v>2.1165029904188901</v>
      </c>
      <c r="Y199" s="7">
        <v>18.579906767109598</v>
      </c>
      <c r="Z199" s="2">
        <v>32.181342520526698</v>
      </c>
      <c r="AA199" s="2">
        <v>49.2676149761445</v>
      </c>
      <c r="AB199" s="2">
        <v>59.642047235341302</v>
      </c>
      <c r="AC199" s="2">
        <v>70.355676591438694</v>
      </c>
      <c r="AD199" s="2">
        <v>94.928166676874397</v>
      </c>
      <c r="AE199" s="2">
        <v>0</v>
      </c>
      <c r="AF199" s="2">
        <v>0</v>
      </c>
      <c r="AG199" s="2">
        <v>0</v>
      </c>
      <c r="AH199" s="2">
        <v>0</v>
      </c>
      <c r="AI199" s="2">
        <v>64.919376510910297</v>
      </c>
      <c r="AJ199" s="2">
        <v>27.6095538047907</v>
      </c>
    </row>
    <row r="200" spans="1:36" ht="15.75" customHeight="1" x14ac:dyDescent="0.45">
      <c r="A200" s="2" t="s">
        <v>93</v>
      </c>
      <c r="B200" s="2" t="s">
        <v>94</v>
      </c>
      <c r="C200" s="2">
        <v>1</v>
      </c>
      <c r="D200" s="2" t="s">
        <v>85</v>
      </c>
      <c r="E200" s="2" t="s">
        <v>84</v>
      </c>
      <c r="F200" s="2" t="s">
        <v>86</v>
      </c>
      <c r="G200" s="2">
        <v>10867</v>
      </c>
      <c r="H200" s="2" t="s">
        <v>87</v>
      </c>
      <c r="I200" s="2">
        <v>0</v>
      </c>
      <c r="J200" s="2">
        <v>0</v>
      </c>
      <c r="K200" s="2">
        <v>138.03703703703701</v>
      </c>
      <c r="L200" s="2">
        <v>11.6270933776039</v>
      </c>
      <c r="M200" s="2">
        <v>0.131537253644814</v>
      </c>
      <c r="N200" s="2">
        <v>7.0712186773383298E-2</v>
      </c>
      <c r="O200" s="2">
        <v>0</v>
      </c>
      <c r="P200" s="2">
        <v>0</v>
      </c>
      <c r="Q200" s="2">
        <v>1.7954699005488799</v>
      </c>
      <c r="R200" s="2">
        <v>0.38467680247633901</v>
      </c>
      <c r="S200" s="2">
        <v>0</v>
      </c>
      <c r="T200" s="2">
        <v>0</v>
      </c>
      <c r="U200" s="2">
        <v>0.191700132607037</v>
      </c>
      <c r="V200" s="2">
        <v>9.9267404387817296E-2</v>
      </c>
      <c r="W200" s="7">
        <v>90.440078334434006</v>
      </c>
      <c r="X200" s="2">
        <v>6.1421296810716504</v>
      </c>
      <c r="Y200" s="7">
        <v>0</v>
      </c>
      <c r="Z200" s="2">
        <v>0</v>
      </c>
      <c r="AA200" s="2">
        <v>87.463782977002595</v>
      </c>
      <c r="AB200" s="2">
        <v>23.635056474117501</v>
      </c>
      <c r="AC200" s="2">
        <v>144.80963531164599</v>
      </c>
      <c r="AD200" s="2">
        <v>129.444290695852</v>
      </c>
      <c r="AE200" s="2">
        <v>0</v>
      </c>
      <c r="AF200" s="2">
        <v>0</v>
      </c>
      <c r="AG200" s="2">
        <v>0</v>
      </c>
      <c r="AH200" s="2">
        <v>0</v>
      </c>
      <c r="AI200" s="2">
        <v>103.48565249042301</v>
      </c>
      <c r="AJ200" s="2">
        <v>83.563850667121699</v>
      </c>
    </row>
    <row r="201" spans="1:36" ht="15.75" customHeight="1" x14ac:dyDescent="0.45">
      <c r="A201" s="2" t="s">
        <v>93</v>
      </c>
      <c r="B201" s="2" t="s">
        <v>94</v>
      </c>
      <c r="C201" s="2">
        <v>3</v>
      </c>
      <c r="D201" s="2" t="s">
        <v>85</v>
      </c>
      <c r="E201" s="2" t="s">
        <v>84</v>
      </c>
      <c r="F201" s="2" t="s">
        <v>86</v>
      </c>
      <c r="G201" s="2">
        <v>10867</v>
      </c>
      <c r="H201" s="2" t="s">
        <v>87</v>
      </c>
      <c r="I201" s="2">
        <v>0</v>
      </c>
      <c r="J201" s="2">
        <v>0</v>
      </c>
      <c r="K201" s="2">
        <v>126.49537037037</v>
      </c>
      <c r="L201" s="2">
        <v>6.5298509316295803</v>
      </c>
      <c r="M201" s="2">
        <v>5.5835080363379599E-2</v>
      </c>
      <c r="N201" s="2">
        <v>4.8626622357392998E-2</v>
      </c>
      <c r="O201" s="2">
        <v>2.7233115468333301E-2</v>
      </c>
      <c r="P201" s="2">
        <v>4.7169139639543202E-2</v>
      </c>
      <c r="Q201" s="2">
        <v>1.36384253684495</v>
      </c>
      <c r="R201" s="2">
        <v>0.53333301904127906</v>
      </c>
      <c r="S201" s="2">
        <v>0</v>
      </c>
      <c r="T201" s="2">
        <v>0</v>
      </c>
      <c r="U201" s="2">
        <v>3.5612535612499899E-2</v>
      </c>
      <c r="V201" s="2">
        <v>6.1682721067206001E-2</v>
      </c>
      <c r="W201" s="7">
        <v>82.970577771606202</v>
      </c>
      <c r="X201" s="2">
        <v>4.7911282483320301</v>
      </c>
      <c r="Y201" s="7">
        <v>0</v>
      </c>
      <c r="Z201" s="2">
        <v>0</v>
      </c>
      <c r="AA201" s="2">
        <v>69.667563733883199</v>
      </c>
      <c r="AB201" s="2">
        <v>42.801446377347901</v>
      </c>
      <c r="AC201" s="2">
        <v>42.974982015999402</v>
      </c>
      <c r="AD201" s="2">
        <v>54.5209087368181</v>
      </c>
      <c r="AE201" s="2">
        <v>3.4971593507055099</v>
      </c>
      <c r="AF201" s="2">
        <v>6.0572576775865299</v>
      </c>
      <c r="AG201" s="2">
        <v>0</v>
      </c>
      <c r="AH201" s="2">
        <v>0</v>
      </c>
      <c r="AI201" s="2">
        <v>12.5316335199175</v>
      </c>
      <c r="AJ201" s="2">
        <v>21.705425958330402</v>
      </c>
    </row>
    <row r="202" spans="1:36" ht="15.75" customHeight="1" x14ac:dyDescent="0.45"/>
    <row r="203" spans="1:36" ht="15.75" customHeight="1" x14ac:dyDescent="0.45"/>
    <row r="204" spans="1:36" ht="15.75" customHeight="1" x14ac:dyDescent="0.45"/>
    <row r="205" spans="1:36" ht="15.75" customHeight="1" x14ac:dyDescent="0.45"/>
    <row r="206" spans="1:36" ht="15.75" customHeight="1" x14ac:dyDescent="0.45"/>
    <row r="207" spans="1:36" ht="15.75" customHeight="1" x14ac:dyDescent="0.45"/>
    <row r="208" spans="1:36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  <row r="1014" ht="15.75" customHeight="1" x14ac:dyDescent="0.45"/>
    <row r="1015" ht="15.75" customHeight="1" x14ac:dyDescent="0.45"/>
    <row r="1016" ht="15.75" customHeight="1" x14ac:dyDescent="0.45"/>
    <row r="1017" ht="15.75" customHeight="1" x14ac:dyDescent="0.45"/>
    <row r="1018" ht="15.75" customHeight="1" x14ac:dyDescent="0.45"/>
    <row r="1019" ht="15.75" customHeight="1" x14ac:dyDescent="0.45"/>
    <row r="1020" ht="15.75" customHeight="1" x14ac:dyDescent="0.45"/>
    <row r="1021" ht="15.75" customHeight="1" x14ac:dyDescent="0.45"/>
    <row r="1022" ht="15.75" customHeight="1" x14ac:dyDescent="0.45"/>
    <row r="1023" ht="15.75" customHeight="1" x14ac:dyDescent="0.45"/>
    <row r="1024" ht="15.75" customHeight="1" x14ac:dyDescent="0.45"/>
    <row r="1025" ht="15.75" customHeight="1" x14ac:dyDescent="0.45"/>
    <row r="1026" ht="15.75" customHeight="1" x14ac:dyDescent="0.45"/>
    <row r="1027" ht="15.75" customHeight="1" x14ac:dyDescent="0.45"/>
    <row r="1028" ht="15.75" customHeight="1" x14ac:dyDescent="0.45"/>
    <row r="1029" ht="15.75" customHeight="1" x14ac:dyDescent="0.45"/>
    <row r="1030" ht="15.75" customHeight="1" x14ac:dyDescent="0.45"/>
    <row r="1031" ht="15.75" customHeight="1" x14ac:dyDescent="0.45"/>
    <row r="1032" ht="15.75" customHeight="1" x14ac:dyDescent="0.45"/>
    <row r="1033" ht="15.75" customHeight="1" x14ac:dyDescent="0.45"/>
    <row r="1034" ht="15.75" customHeight="1" x14ac:dyDescent="0.45"/>
    <row r="1035" ht="15.75" customHeight="1" x14ac:dyDescent="0.45"/>
    <row r="1036" ht="15.75" customHeight="1" x14ac:dyDescent="0.45"/>
    <row r="1037" ht="15.75" customHeight="1" x14ac:dyDescent="0.45"/>
    <row r="1038" ht="15.75" customHeight="1" x14ac:dyDescent="0.45"/>
    <row r="1039" ht="15.75" customHeight="1" x14ac:dyDescent="0.45"/>
    <row r="1040" ht="15.75" customHeight="1" x14ac:dyDescent="0.45"/>
    <row r="1041" ht="15.75" customHeight="1" x14ac:dyDescent="0.45"/>
    <row r="1042" ht="15.75" customHeight="1" x14ac:dyDescent="0.45"/>
    <row r="1043" ht="15.75" customHeight="1" x14ac:dyDescent="0.45"/>
    <row r="1044" ht="15.75" customHeight="1" x14ac:dyDescent="0.45"/>
    <row r="1045" ht="15.75" customHeight="1" x14ac:dyDescent="0.45"/>
    <row r="1046" ht="15.75" customHeight="1" x14ac:dyDescent="0.45"/>
    <row r="1047" ht="15.75" customHeight="1" x14ac:dyDescent="0.45"/>
    <row r="1048" ht="15.75" customHeight="1" x14ac:dyDescent="0.45"/>
    <row r="1049" ht="15.75" customHeight="1" x14ac:dyDescent="0.45"/>
    <row r="1050" ht="15.75" customHeight="1" x14ac:dyDescent="0.45"/>
    <row r="1051" ht="15.75" customHeight="1" x14ac:dyDescent="0.45"/>
    <row r="1052" ht="15.75" customHeight="1" x14ac:dyDescent="0.45"/>
    <row r="1053" ht="15.75" customHeight="1" x14ac:dyDescent="0.45"/>
    <row r="1054" ht="15.75" customHeight="1" x14ac:dyDescent="0.45"/>
    <row r="1055" ht="15.75" customHeight="1" x14ac:dyDescent="0.45"/>
    <row r="1056" ht="15.75" customHeight="1" x14ac:dyDescent="0.45"/>
    <row r="1057" ht="15.75" customHeight="1" x14ac:dyDescent="0.45"/>
    <row r="1058" ht="15.75" customHeight="1" x14ac:dyDescent="0.45"/>
    <row r="1059" ht="15.75" customHeight="1" x14ac:dyDescent="0.45"/>
    <row r="1060" ht="15.75" customHeight="1" x14ac:dyDescent="0.45"/>
    <row r="1061" ht="15.75" customHeight="1" x14ac:dyDescent="0.45"/>
    <row r="1062" ht="15.75" customHeight="1" x14ac:dyDescent="0.45"/>
    <row r="1063" ht="15.75" customHeight="1" x14ac:dyDescent="0.45"/>
    <row r="1064" ht="15.75" customHeight="1" x14ac:dyDescent="0.45"/>
    <row r="1065" ht="15.75" customHeight="1" x14ac:dyDescent="0.45"/>
    <row r="1066" ht="15.75" customHeight="1" x14ac:dyDescent="0.45"/>
    <row r="1067" ht="15.75" customHeight="1" x14ac:dyDescent="0.45"/>
    <row r="1068" ht="15.75" customHeight="1" x14ac:dyDescent="0.45"/>
    <row r="1069" ht="15.75" customHeight="1" x14ac:dyDescent="0.45"/>
    <row r="1070" ht="15.75" customHeight="1" x14ac:dyDescent="0.45"/>
    <row r="1071" ht="15.75" customHeight="1" x14ac:dyDescent="0.45"/>
    <row r="1072" ht="15.75" customHeight="1" x14ac:dyDescent="0.45"/>
    <row r="1073" ht="15.75" customHeight="1" x14ac:dyDescent="0.45"/>
    <row r="1074" ht="15.75" customHeight="1" x14ac:dyDescent="0.45"/>
    <row r="1075" ht="15.75" customHeight="1" x14ac:dyDescent="0.45"/>
    <row r="1076" ht="15.75" customHeight="1" x14ac:dyDescent="0.45"/>
    <row r="1077" ht="15.75" customHeight="1" x14ac:dyDescent="0.45"/>
    <row r="1078" ht="15.75" customHeight="1" x14ac:dyDescent="0.45"/>
    <row r="1079" ht="15.75" customHeight="1" x14ac:dyDescent="0.45"/>
    <row r="1080" ht="15.75" customHeight="1" x14ac:dyDescent="0.45"/>
    <row r="1081" ht="15.75" customHeight="1" x14ac:dyDescent="0.45"/>
    <row r="1082" ht="15.75" customHeight="1" x14ac:dyDescent="0.45"/>
    <row r="1083" ht="15.75" customHeight="1" x14ac:dyDescent="0.45"/>
    <row r="1084" ht="15.75" customHeight="1" x14ac:dyDescent="0.45"/>
    <row r="1085" ht="15.75" customHeight="1" x14ac:dyDescent="0.45"/>
    <row r="1086" ht="15.75" customHeight="1" x14ac:dyDescent="0.45"/>
    <row r="1087" ht="15.75" customHeight="1" x14ac:dyDescent="0.45"/>
    <row r="1088" ht="15.75" customHeight="1" x14ac:dyDescent="0.45"/>
    <row r="1089" ht="15.75" customHeight="1" x14ac:dyDescent="0.45"/>
    <row r="1090" ht="15.75" customHeight="1" x14ac:dyDescent="0.45"/>
    <row r="1091" ht="15.75" customHeight="1" x14ac:dyDescent="0.45"/>
    <row r="1092" ht="15.75" customHeight="1" x14ac:dyDescent="0.45"/>
    <row r="1093" ht="15.75" customHeight="1" x14ac:dyDescent="0.45"/>
    <row r="1094" ht="15.75" customHeight="1" x14ac:dyDescent="0.45"/>
    <row r="1095" ht="15.75" customHeight="1" x14ac:dyDescent="0.45"/>
    <row r="1096" ht="15.75" customHeight="1" x14ac:dyDescent="0.45"/>
    <row r="1097" ht="15.75" customHeight="1" x14ac:dyDescent="0.45"/>
    <row r="1098" ht="15.75" customHeight="1" x14ac:dyDescent="0.45"/>
    <row r="1099" ht="15.75" customHeight="1" x14ac:dyDescent="0.45"/>
    <row r="1100" ht="15.75" customHeight="1" x14ac:dyDescent="0.45"/>
    <row r="1101" ht="15.75" customHeight="1" x14ac:dyDescent="0.45"/>
    <row r="1102" ht="15.75" customHeight="1" x14ac:dyDescent="0.45"/>
    <row r="1103" ht="15.75" customHeight="1" x14ac:dyDescent="0.45"/>
    <row r="1104" ht="15.75" customHeight="1" x14ac:dyDescent="0.45"/>
    <row r="1105" ht="15.75" customHeight="1" x14ac:dyDescent="0.45"/>
    <row r="1106" ht="15.75" customHeight="1" x14ac:dyDescent="0.45"/>
    <row r="1107" ht="15.75" customHeight="1" x14ac:dyDescent="0.45"/>
    <row r="1108" ht="15.75" customHeight="1" x14ac:dyDescent="0.45"/>
    <row r="1109" ht="15.75" customHeight="1" x14ac:dyDescent="0.45"/>
    <row r="1110" ht="15.75" customHeight="1" x14ac:dyDescent="0.45"/>
    <row r="1111" ht="15.75" customHeight="1" x14ac:dyDescent="0.45"/>
    <row r="1112" ht="15.75" customHeight="1" x14ac:dyDescent="0.45"/>
    <row r="1113" ht="15.75" customHeight="1" x14ac:dyDescent="0.45"/>
    <row r="1114" ht="15.75" customHeight="1" x14ac:dyDescent="0.45"/>
    <row r="1115" ht="15.75" customHeight="1" x14ac:dyDescent="0.45"/>
    <row r="1116" ht="15.75" customHeight="1" x14ac:dyDescent="0.45"/>
    <row r="1117" ht="15.75" customHeight="1" x14ac:dyDescent="0.45"/>
    <row r="1118" ht="15.75" customHeight="1" x14ac:dyDescent="0.45"/>
    <row r="1119" ht="15.75" customHeight="1" x14ac:dyDescent="0.45"/>
    <row r="1120" ht="15.75" customHeight="1" x14ac:dyDescent="0.45"/>
    <row r="1121" ht="15.75" customHeight="1" x14ac:dyDescent="0.45"/>
    <row r="1122" ht="15.75" customHeight="1" x14ac:dyDescent="0.45"/>
    <row r="1123" ht="15.75" customHeight="1" x14ac:dyDescent="0.45"/>
    <row r="1124" ht="15.75" customHeight="1" x14ac:dyDescent="0.45"/>
    <row r="1125" ht="15.75" customHeight="1" x14ac:dyDescent="0.45"/>
    <row r="1126" ht="15.75" customHeight="1" x14ac:dyDescent="0.45"/>
    <row r="1127" ht="15.75" customHeight="1" x14ac:dyDescent="0.45"/>
    <row r="1128" ht="15.75" customHeight="1" x14ac:dyDescent="0.45"/>
    <row r="1129" ht="15.75" customHeight="1" x14ac:dyDescent="0.45"/>
    <row r="1130" ht="15.75" customHeight="1" x14ac:dyDescent="0.45"/>
    <row r="1131" ht="15.75" customHeight="1" x14ac:dyDescent="0.45"/>
    <row r="1132" ht="15.75" customHeight="1" x14ac:dyDescent="0.45"/>
    <row r="1133" ht="15.75" customHeight="1" x14ac:dyDescent="0.45"/>
    <row r="1134" ht="15.75" customHeight="1" x14ac:dyDescent="0.45"/>
    <row r="1135" ht="15.75" customHeight="1" x14ac:dyDescent="0.45"/>
    <row r="1136" ht="15.75" customHeight="1" x14ac:dyDescent="0.45"/>
    <row r="1137" ht="15.75" customHeight="1" x14ac:dyDescent="0.45"/>
    <row r="1138" ht="15.75" customHeight="1" x14ac:dyDescent="0.45"/>
    <row r="1139" ht="15.75" customHeight="1" x14ac:dyDescent="0.45"/>
    <row r="1140" ht="15.75" customHeight="1" x14ac:dyDescent="0.45"/>
    <row r="1141" ht="15.75" customHeight="1" x14ac:dyDescent="0.45"/>
    <row r="1142" ht="15.75" customHeight="1" x14ac:dyDescent="0.45"/>
    <row r="1143" ht="15.75" customHeight="1" x14ac:dyDescent="0.45"/>
    <row r="1144" ht="15.75" customHeight="1" x14ac:dyDescent="0.45"/>
    <row r="1145" ht="15.75" customHeight="1" x14ac:dyDescent="0.45"/>
    <row r="1146" ht="15.75" customHeight="1" x14ac:dyDescent="0.45"/>
    <row r="1147" ht="15.75" customHeight="1" x14ac:dyDescent="0.45"/>
    <row r="1148" ht="15.75" customHeight="1" x14ac:dyDescent="0.45"/>
    <row r="1149" ht="15.75" customHeight="1" x14ac:dyDescent="0.45"/>
    <row r="1150" ht="15.75" customHeight="1" x14ac:dyDescent="0.45"/>
    <row r="1151" ht="15.75" customHeight="1" x14ac:dyDescent="0.45"/>
    <row r="1152" ht="15.75" customHeight="1" x14ac:dyDescent="0.45"/>
    <row r="1153" ht="15.75" customHeight="1" x14ac:dyDescent="0.45"/>
    <row r="1154" ht="15.75" customHeight="1" x14ac:dyDescent="0.45"/>
    <row r="1155" ht="15.75" customHeight="1" x14ac:dyDescent="0.45"/>
    <row r="1156" ht="15.75" customHeight="1" x14ac:dyDescent="0.45"/>
    <row r="1157" ht="15.75" customHeight="1" x14ac:dyDescent="0.45"/>
    <row r="1158" ht="15.75" customHeight="1" x14ac:dyDescent="0.45"/>
    <row r="1159" ht="15.75" customHeight="1" x14ac:dyDescent="0.45"/>
    <row r="1160" ht="15.75" customHeight="1" x14ac:dyDescent="0.45"/>
    <row r="1161" ht="15.75" customHeight="1" x14ac:dyDescent="0.45"/>
    <row r="1162" ht="15.75" customHeight="1" x14ac:dyDescent="0.45"/>
    <row r="1163" ht="15.75" customHeight="1" x14ac:dyDescent="0.45"/>
    <row r="1164" ht="15.75" customHeight="1" x14ac:dyDescent="0.45"/>
    <row r="1165" ht="15.75" customHeight="1" x14ac:dyDescent="0.45"/>
    <row r="1166" ht="15.75" customHeight="1" x14ac:dyDescent="0.45"/>
    <row r="1167" ht="15.75" customHeight="1" x14ac:dyDescent="0.45"/>
    <row r="1168" ht="15.75" customHeight="1" x14ac:dyDescent="0.45"/>
    <row r="1169" ht="15.75" customHeight="1" x14ac:dyDescent="0.45"/>
    <row r="1170" ht="15.75" customHeight="1" x14ac:dyDescent="0.45"/>
    <row r="1171" ht="15.75" customHeight="1" x14ac:dyDescent="0.45"/>
    <row r="1172" ht="15.75" customHeight="1" x14ac:dyDescent="0.45"/>
    <row r="1173" ht="15.75" customHeight="1" x14ac:dyDescent="0.45"/>
    <row r="1174" ht="15.75" customHeight="1" x14ac:dyDescent="0.45"/>
    <row r="1175" ht="15.75" customHeight="1" x14ac:dyDescent="0.45"/>
    <row r="1176" ht="15.75" customHeight="1" x14ac:dyDescent="0.45"/>
    <row r="1177" ht="15.75" customHeight="1" x14ac:dyDescent="0.45"/>
    <row r="1178" ht="15.75" customHeight="1" x14ac:dyDescent="0.45"/>
    <row r="1179" ht="15.75" customHeight="1" x14ac:dyDescent="0.45"/>
    <row r="1180" ht="15.75" customHeight="1" x14ac:dyDescent="0.45"/>
    <row r="1181" ht="15.75" customHeight="1" x14ac:dyDescent="0.45"/>
    <row r="1182" ht="15.75" customHeight="1" x14ac:dyDescent="0.45"/>
    <row r="1183" ht="15.75" customHeight="1" x14ac:dyDescent="0.45"/>
    <row r="1184" ht="15.75" customHeight="1" x14ac:dyDescent="0.45"/>
    <row r="1185" ht="15.75" customHeight="1" x14ac:dyDescent="0.45"/>
    <row r="1186" ht="15.75" customHeight="1" x14ac:dyDescent="0.45"/>
    <row r="1187" ht="15.75" customHeight="1" x14ac:dyDescent="0.45"/>
    <row r="1188" ht="15.75" customHeight="1" x14ac:dyDescent="0.45"/>
    <row r="1189" ht="15.75" customHeight="1" x14ac:dyDescent="0.45"/>
    <row r="1190" ht="15.75" customHeight="1" x14ac:dyDescent="0.45"/>
    <row r="1191" ht="15.75" customHeight="1" x14ac:dyDescent="0.45"/>
    <row r="1192" ht="15.75" customHeight="1" x14ac:dyDescent="0.45"/>
    <row r="1193" ht="15.75" customHeight="1" x14ac:dyDescent="0.45"/>
    <row r="1194" ht="15.75" customHeight="1" x14ac:dyDescent="0.45"/>
    <row r="1195" ht="15.75" customHeight="1" x14ac:dyDescent="0.45"/>
    <row r="1196" ht="15.75" customHeight="1" x14ac:dyDescent="0.45"/>
    <row r="1197" ht="15.75" customHeight="1" x14ac:dyDescent="0.45"/>
    <row r="1198" ht="15.75" customHeight="1" x14ac:dyDescent="0.45"/>
    <row r="1199" ht="15.75" customHeight="1" x14ac:dyDescent="0.45"/>
    <row r="1200" ht="15.75" customHeight="1" x14ac:dyDescent="0.45"/>
    <row r="1201" ht="15.75" customHeight="1" x14ac:dyDescent="0.45"/>
    <row r="1202" ht="15.75" customHeight="1" x14ac:dyDescent="0.45"/>
    <row r="1203" ht="15.75" customHeight="1" x14ac:dyDescent="0.45"/>
    <row r="1204" ht="15.75" customHeight="1" x14ac:dyDescent="0.45"/>
    <row r="1205" ht="15.75" customHeight="1" x14ac:dyDescent="0.45"/>
    <row r="1206" ht="15.75" customHeight="1" x14ac:dyDescent="0.45"/>
    <row r="1207" ht="15.75" customHeight="1" x14ac:dyDescent="0.45"/>
    <row r="1208" ht="15.75" customHeight="1" x14ac:dyDescent="0.45"/>
    <row r="1209" ht="15.75" customHeight="1" x14ac:dyDescent="0.45"/>
    <row r="1210" ht="15.75" customHeight="1" x14ac:dyDescent="0.45"/>
    <row r="1211" ht="15.75" customHeight="1" x14ac:dyDescent="0.45"/>
    <row r="1212" ht="15.75" customHeight="1" x14ac:dyDescent="0.45"/>
    <row r="1213" ht="15.75" customHeight="1" x14ac:dyDescent="0.45"/>
    <row r="1214" ht="15.75" customHeight="1" x14ac:dyDescent="0.45"/>
    <row r="1215" ht="15.75" customHeight="1" x14ac:dyDescent="0.45"/>
    <row r="1216" ht="15.75" customHeight="1" x14ac:dyDescent="0.45"/>
    <row r="1217" ht="15.75" customHeight="1" x14ac:dyDescent="0.45"/>
    <row r="1218" ht="15.75" customHeight="1" x14ac:dyDescent="0.45"/>
    <row r="1219" ht="15.75" customHeight="1" x14ac:dyDescent="0.45"/>
    <row r="1220" ht="15.75" customHeight="1" x14ac:dyDescent="0.45"/>
    <row r="1221" ht="15.75" customHeight="1" x14ac:dyDescent="0.45"/>
    <row r="1222" ht="15.75" customHeight="1" x14ac:dyDescent="0.45"/>
    <row r="1223" ht="15.75" customHeight="1" x14ac:dyDescent="0.45"/>
    <row r="1224" ht="15.75" customHeight="1" x14ac:dyDescent="0.45"/>
    <row r="1225" ht="15.75" customHeight="1" x14ac:dyDescent="0.45"/>
    <row r="1226" ht="15.75" customHeight="1" x14ac:dyDescent="0.45"/>
    <row r="1227" ht="15.75" customHeight="1" x14ac:dyDescent="0.45"/>
    <row r="1228" ht="15.75" customHeight="1" x14ac:dyDescent="0.45"/>
    <row r="1229" ht="15.75" customHeight="1" x14ac:dyDescent="0.45"/>
    <row r="1230" ht="15.75" customHeight="1" x14ac:dyDescent="0.45"/>
    <row r="1231" ht="15.75" customHeight="1" x14ac:dyDescent="0.45"/>
    <row r="1232" ht="15.75" customHeight="1" x14ac:dyDescent="0.45"/>
    <row r="1233" ht="15.75" customHeight="1" x14ac:dyDescent="0.45"/>
    <row r="1234" ht="15.75" customHeight="1" x14ac:dyDescent="0.45"/>
    <row r="1235" ht="15.75" customHeight="1" x14ac:dyDescent="0.45"/>
    <row r="1236" ht="15.75" customHeight="1" x14ac:dyDescent="0.45"/>
    <row r="1237" ht="15.75" customHeight="1" x14ac:dyDescent="0.45"/>
    <row r="1238" ht="15.75" customHeight="1" x14ac:dyDescent="0.45"/>
    <row r="1239" ht="15.75" customHeight="1" x14ac:dyDescent="0.45"/>
    <row r="1240" ht="15.75" customHeight="1" x14ac:dyDescent="0.45"/>
    <row r="1241" ht="15.75" customHeight="1" x14ac:dyDescent="0.45"/>
    <row r="1242" ht="15.75" customHeight="1" x14ac:dyDescent="0.45"/>
    <row r="1243" ht="15.75" customHeight="1" x14ac:dyDescent="0.45"/>
    <row r="1244" ht="15.75" customHeight="1" x14ac:dyDescent="0.45"/>
    <row r="1245" ht="15.75" customHeight="1" x14ac:dyDescent="0.45"/>
    <row r="1246" ht="15.75" customHeight="1" x14ac:dyDescent="0.45"/>
    <row r="1247" ht="15.75" customHeight="1" x14ac:dyDescent="0.45"/>
    <row r="1248" ht="15.75" customHeight="1" x14ac:dyDescent="0.45"/>
    <row r="1249" ht="15.75" customHeight="1" x14ac:dyDescent="0.45"/>
    <row r="1250" ht="15.75" customHeight="1" x14ac:dyDescent="0.45"/>
    <row r="1251" ht="15.75" customHeight="1" x14ac:dyDescent="0.45"/>
    <row r="1252" ht="15.75" customHeight="1" x14ac:dyDescent="0.45"/>
    <row r="1253" ht="15.75" customHeight="1" x14ac:dyDescent="0.45"/>
    <row r="1254" ht="15.75" customHeight="1" x14ac:dyDescent="0.45"/>
    <row r="1255" ht="15.75" customHeight="1" x14ac:dyDescent="0.45"/>
    <row r="1256" ht="15.75" customHeight="1" x14ac:dyDescent="0.45"/>
    <row r="1257" ht="15.75" customHeight="1" x14ac:dyDescent="0.45"/>
    <row r="1258" ht="15.75" customHeight="1" x14ac:dyDescent="0.45"/>
    <row r="1259" ht="15.75" customHeight="1" x14ac:dyDescent="0.45"/>
    <row r="1260" ht="15.75" customHeight="1" x14ac:dyDescent="0.45"/>
    <row r="1261" ht="15.75" customHeight="1" x14ac:dyDescent="0.45"/>
    <row r="1262" ht="15.75" customHeight="1" x14ac:dyDescent="0.45"/>
    <row r="1263" ht="15.75" customHeight="1" x14ac:dyDescent="0.45"/>
    <row r="1264" ht="15.75" customHeight="1" x14ac:dyDescent="0.45"/>
    <row r="1265" ht="15.75" customHeight="1" x14ac:dyDescent="0.45"/>
    <row r="1266" ht="15.75" customHeight="1" x14ac:dyDescent="0.45"/>
    <row r="1267" ht="15.75" customHeight="1" x14ac:dyDescent="0.45"/>
    <row r="1268" ht="15.75" customHeight="1" x14ac:dyDescent="0.45"/>
    <row r="1269" ht="15.75" customHeight="1" x14ac:dyDescent="0.45"/>
    <row r="1270" ht="15.75" customHeight="1" x14ac:dyDescent="0.45"/>
    <row r="1271" ht="15.75" customHeight="1" x14ac:dyDescent="0.45"/>
    <row r="1272" ht="15.75" customHeight="1" x14ac:dyDescent="0.45"/>
    <row r="1273" ht="15.75" customHeight="1" x14ac:dyDescent="0.45"/>
    <row r="1274" ht="15.75" customHeight="1" x14ac:dyDescent="0.45"/>
    <row r="1275" ht="15.75" customHeight="1" x14ac:dyDescent="0.45"/>
    <row r="1276" ht="15.75" customHeight="1" x14ac:dyDescent="0.45"/>
    <row r="1277" ht="15.75" customHeight="1" x14ac:dyDescent="0.45"/>
    <row r="1278" ht="15.75" customHeight="1" x14ac:dyDescent="0.45"/>
    <row r="1279" ht="15.75" customHeight="1" x14ac:dyDescent="0.45"/>
    <row r="1280" ht="15.75" customHeight="1" x14ac:dyDescent="0.45"/>
    <row r="1281" ht="15.75" customHeight="1" x14ac:dyDescent="0.45"/>
    <row r="1282" ht="15.75" customHeight="1" x14ac:dyDescent="0.45"/>
    <row r="1283" ht="15.75" customHeight="1" x14ac:dyDescent="0.45"/>
    <row r="1284" ht="15.75" customHeight="1" x14ac:dyDescent="0.45"/>
    <row r="1285" ht="15.75" customHeight="1" x14ac:dyDescent="0.45"/>
    <row r="1286" ht="15.75" customHeight="1" x14ac:dyDescent="0.45"/>
    <row r="1287" ht="15.75" customHeight="1" x14ac:dyDescent="0.45"/>
    <row r="1288" ht="15.75" customHeight="1" x14ac:dyDescent="0.45"/>
    <row r="1289" ht="15.75" customHeight="1" x14ac:dyDescent="0.45"/>
    <row r="1290" ht="15.75" customHeight="1" x14ac:dyDescent="0.45"/>
    <row r="1291" ht="15.75" customHeight="1" x14ac:dyDescent="0.45"/>
    <row r="1292" ht="15.75" customHeight="1" x14ac:dyDescent="0.45"/>
    <row r="1293" ht="15.75" customHeight="1" x14ac:dyDescent="0.45"/>
    <row r="1294" ht="15.75" customHeight="1" x14ac:dyDescent="0.45"/>
    <row r="1295" ht="15.75" customHeight="1" x14ac:dyDescent="0.45"/>
    <row r="1296" ht="15.75" customHeight="1" x14ac:dyDescent="0.45"/>
    <row r="1297" ht="15.75" customHeight="1" x14ac:dyDescent="0.45"/>
    <row r="1298" ht="15.75" customHeight="1" x14ac:dyDescent="0.45"/>
    <row r="1299" ht="15.75" customHeight="1" x14ac:dyDescent="0.45"/>
    <row r="1300" ht="15.75" customHeight="1" x14ac:dyDescent="0.45"/>
    <row r="1301" ht="15.75" customHeight="1" x14ac:dyDescent="0.45"/>
    <row r="1302" ht="15.75" customHeight="1" x14ac:dyDescent="0.45"/>
    <row r="1303" ht="15.75" customHeight="1" x14ac:dyDescent="0.45"/>
    <row r="1304" ht="15.75" customHeight="1" x14ac:dyDescent="0.45"/>
    <row r="1305" ht="15.75" customHeight="1" x14ac:dyDescent="0.45"/>
    <row r="1306" ht="15.75" customHeight="1" x14ac:dyDescent="0.45"/>
    <row r="1307" ht="15.75" customHeight="1" x14ac:dyDescent="0.45"/>
    <row r="1308" ht="15.75" customHeight="1" x14ac:dyDescent="0.45"/>
    <row r="1309" ht="15.75" customHeight="1" x14ac:dyDescent="0.45"/>
    <row r="1310" ht="15.75" customHeight="1" x14ac:dyDescent="0.45"/>
    <row r="1311" ht="15.75" customHeight="1" x14ac:dyDescent="0.45"/>
    <row r="1312" ht="15.75" customHeight="1" x14ac:dyDescent="0.45"/>
    <row r="1313" ht="15.75" customHeight="1" x14ac:dyDescent="0.45"/>
    <row r="1314" ht="15.75" customHeight="1" x14ac:dyDescent="0.45"/>
    <row r="1315" ht="15.75" customHeight="1" x14ac:dyDescent="0.45"/>
    <row r="1316" ht="15.75" customHeight="1" x14ac:dyDescent="0.45"/>
    <row r="1317" ht="15.75" customHeight="1" x14ac:dyDescent="0.45"/>
    <row r="1318" ht="15.75" customHeight="1" x14ac:dyDescent="0.45"/>
    <row r="1319" ht="15.75" customHeight="1" x14ac:dyDescent="0.45"/>
    <row r="1320" ht="15.75" customHeight="1" x14ac:dyDescent="0.45"/>
    <row r="1321" ht="15.75" customHeight="1" x14ac:dyDescent="0.45"/>
    <row r="1322" ht="15.75" customHeight="1" x14ac:dyDescent="0.45"/>
    <row r="1323" ht="15.75" customHeight="1" x14ac:dyDescent="0.45"/>
    <row r="1324" ht="15.75" customHeight="1" x14ac:dyDescent="0.45"/>
    <row r="1325" ht="15.75" customHeight="1" x14ac:dyDescent="0.45"/>
    <row r="1326" ht="15.75" customHeight="1" x14ac:dyDescent="0.45"/>
    <row r="1327" ht="15.75" customHeight="1" x14ac:dyDescent="0.45"/>
    <row r="1328" ht="15.75" customHeight="1" x14ac:dyDescent="0.45"/>
    <row r="1329" ht="15.75" customHeight="1" x14ac:dyDescent="0.45"/>
    <row r="1330" ht="15.75" customHeight="1" x14ac:dyDescent="0.45"/>
    <row r="1331" ht="15.75" customHeight="1" x14ac:dyDescent="0.45"/>
    <row r="1332" ht="15.75" customHeight="1" x14ac:dyDescent="0.45"/>
    <row r="1333" ht="15.75" customHeight="1" x14ac:dyDescent="0.45"/>
    <row r="1334" ht="15.75" customHeight="1" x14ac:dyDescent="0.45"/>
    <row r="1335" ht="15.75" customHeight="1" x14ac:dyDescent="0.45"/>
    <row r="1336" ht="15.75" customHeight="1" x14ac:dyDescent="0.45"/>
    <row r="1337" ht="15.75" customHeight="1" x14ac:dyDescent="0.45"/>
    <row r="1338" ht="15.75" customHeight="1" x14ac:dyDescent="0.45"/>
    <row r="1339" ht="15.75" customHeight="1" x14ac:dyDescent="0.45"/>
    <row r="1340" ht="15.75" customHeight="1" x14ac:dyDescent="0.45"/>
    <row r="1341" ht="15.75" customHeight="1" x14ac:dyDescent="0.45"/>
    <row r="1342" ht="15.75" customHeight="1" x14ac:dyDescent="0.45"/>
    <row r="1343" ht="15.75" customHeight="1" x14ac:dyDescent="0.45"/>
    <row r="1344" ht="15.75" customHeight="1" x14ac:dyDescent="0.45"/>
    <row r="1345" ht="15.75" customHeight="1" x14ac:dyDescent="0.45"/>
    <row r="1346" ht="15.75" customHeight="1" x14ac:dyDescent="0.45"/>
    <row r="1347" ht="15.75" customHeight="1" x14ac:dyDescent="0.45"/>
    <row r="1348" ht="15.75" customHeight="1" x14ac:dyDescent="0.45"/>
    <row r="1349" ht="15.75" customHeight="1" x14ac:dyDescent="0.45"/>
    <row r="1350" ht="15.75" customHeight="1" x14ac:dyDescent="0.45"/>
    <row r="1351" ht="15.75" customHeight="1" x14ac:dyDescent="0.45"/>
    <row r="1352" ht="15.75" customHeight="1" x14ac:dyDescent="0.45"/>
    <row r="1353" ht="15.75" customHeight="1" x14ac:dyDescent="0.45"/>
    <row r="1354" ht="15.75" customHeight="1" x14ac:dyDescent="0.45"/>
    <row r="1355" ht="15.75" customHeight="1" x14ac:dyDescent="0.45"/>
    <row r="1356" ht="15.75" customHeight="1" x14ac:dyDescent="0.45"/>
    <row r="1357" ht="15.75" customHeight="1" x14ac:dyDescent="0.45"/>
    <row r="1358" ht="15.75" customHeight="1" x14ac:dyDescent="0.45"/>
    <row r="1359" ht="15.75" customHeight="1" x14ac:dyDescent="0.45"/>
    <row r="1360" ht="15.75" customHeight="1" x14ac:dyDescent="0.45"/>
    <row r="1361" ht="15.75" customHeight="1" x14ac:dyDescent="0.45"/>
    <row r="1362" ht="15.75" customHeight="1" x14ac:dyDescent="0.45"/>
    <row r="1363" ht="15.75" customHeight="1" x14ac:dyDescent="0.45"/>
    <row r="1364" ht="15.75" customHeight="1" x14ac:dyDescent="0.45"/>
    <row r="1365" ht="15.75" customHeight="1" x14ac:dyDescent="0.45"/>
    <row r="1366" ht="15.75" customHeight="1" x14ac:dyDescent="0.45"/>
    <row r="1367" ht="15.75" customHeight="1" x14ac:dyDescent="0.45"/>
    <row r="1368" ht="15.75" customHeight="1" x14ac:dyDescent="0.45"/>
    <row r="1369" ht="15.75" customHeight="1" x14ac:dyDescent="0.45"/>
    <row r="1370" ht="15.75" customHeight="1" x14ac:dyDescent="0.45"/>
    <row r="1371" ht="15.75" customHeight="1" x14ac:dyDescent="0.45"/>
    <row r="1372" ht="15.75" customHeight="1" x14ac:dyDescent="0.45"/>
    <row r="1373" ht="15.75" customHeight="1" x14ac:dyDescent="0.45"/>
    <row r="1374" ht="15.75" customHeight="1" x14ac:dyDescent="0.45"/>
    <row r="1375" ht="15.75" customHeight="1" x14ac:dyDescent="0.45"/>
    <row r="1376" ht="15.75" customHeight="1" x14ac:dyDescent="0.45"/>
    <row r="1377" ht="15.75" customHeight="1" x14ac:dyDescent="0.45"/>
    <row r="1378" ht="15.75" customHeight="1" x14ac:dyDescent="0.45"/>
    <row r="1379" ht="15.75" customHeight="1" x14ac:dyDescent="0.45"/>
    <row r="1380" ht="15.75" customHeight="1" x14ac:dyDescent="0.45"/>
    <row r="1381" ht="15.75" customHeight="1" x14ac:dyDescent="0.45"/>
    <row r="1382" ht="15.75" customHeight="1" x14ac:dyDescent="0.45"/>
    <row r="1383" ht="15.75" customHeight="1" x14ac:dyDescent="0.45"/>
    <row r="1384" ht="15.75" customHeight="1" x14ac:dyDescent="0.45"/>
    <row r="1385" ht="15.75" customHeight="1" x14ac:dyDescent="0.45"/>
    <row r="1386" ht="15.75" customHeight="1" x14ac:dyDescent="0.45"/>
    <row r="1387" ht="15.75" customHeight="1" x14ac:dyDescent="0.45"/>
    <row r="1388" ht="15.75" customHeight="1" x14ac:dyDescent="0.45"/>
    <row r="1389" ht="15.75" customHeight="1" x14ac:dyDescent="0.45"/>
    <row r="1390" ht="15.75" customHeight="1" x14ac:dyDescent="0.45"/>
    <row r="1391" ht="15.75" customHeight="1" x14ac:dyDescent="0.45"/>
    <row r="1392" ht="15.75" customHeight="1" x14ac:dyDescent="0.45"/>
    <row r="1393" ht="15.75" customHeight="1" x14ac:dyDescent="0.45"/>
    <row r="1394" ht="15.75" customHeight="1" x14ac:dyDescent="0.45"/>
    <row r="1395" ht="15.75" customHeight="1" x14ac:dyDescent="0.45"/>
    <row r="1396" ht="15.75" customHeight="1" x14ac:dyDescent="0.45"/>
    <row r="1397" ht="15.75" customHeight="1" x14ac:dyDescent="0.45"/>
    <row r="1398" ht="15.75" customHeight="1" x14ac:dyDescent="0.45"/>
    <row r="1399" ht="15.75" customHeight="1" x14ac:dyDescent="0.45"/>
    <row r="1400" ht="15.75" customHeight="1" x14ac:dyDescent="0.45"/>
    <row r="1401" ht="15.75" customHeight="1" x14ac:dyDescent="0.45"/>
    <row r="1402" ht="15.75" customHeight="1" x14ac:dyDescent="0.45"/>
    <row r="1403" ht="15.75" customHeight="1" x14ac:dyDescent="0.45"/>
    <row r="1404" ht="15.75" customHeight="1" x14ac:dyDescent="0.45"/>
    <row r="1405" ht="15.75" customHeight="1" x14ac:dyDescent="0.45"/>
    <row r="1406" ht="15.75" customHeight="1" x14ac:dyDescent="0.45"/>
    <row r="1407" ht="15.75" customHeight="1" x14ac:dyDescent="0.45"/>
    <row r="1408" ht="15.75" customHeight="1" x14ac:dyDescent="0.45"/>
    <row r="1409" ht="15.75" customHeight="1" x14ac:dyDescent="0.45"/>
    <row r="1410" ht="15.75" customHeight="1" x14ac:dyDescent="0.45"/>
    <row r="1411" ht="15.75" customHeight="1" x14ac:dyDescent="0.45"/>
    <row r="1412" ht="15.75" customHeight="1" x14ac:dyDescent="0.45"/>
    <row r="1413" ht="15.75" customHeight="1" x14ac:dyDescent="0.45"/>
    <row r="1414" ht="15.75" customHeight="1" x14ac:dyDescent="0.45"/>
    <row r="1415" ht="15.75" customHeight="1" x14ac:dyDescent="0.45"/>
    <row r="1416" ht="15.75" customHeight="1" x14ac:dyDescent="0.45"/>
    <row r="1417" ht="15.75" customHeight="1" x14ac:dyDescent="0.45"/>
    <row r="1418" ht="15.75" customHeight="1" x14ac:dyDescent="0.45"/>
    <row r="1419" ht="15.75" customHeight="1" x14ac:dyDescent="0.45"/>
    <row r="1420" ht="15.75" customHeight="1" x14ac:dyDescent="0.45"/>
    <row r="1421" ht="15.75" customHeight="1" x14ac:dyDescent="0.45"/>
    <row r="1422" ht="15.75" customHeight="1" x14ac:dyDescent="0.45"/>
    <row r="1423" ht="15.75" customHeight="1" x14ac:dyDescent="0.45"/>
    <row r="1424" ht="15.75" customHeight="1" x14ac:dyDescent="0.45"/>
    <row r="1425" ht="15.75" customHeight="1" x14ac:dyDescent="0.45"/>
    <row r="1426" ht="15.75" customHeight="1" x14ac:dyDescent="0.45"/>
    <row r="1427" ht="15.75" customHeight="1" x14ac:dyDescent="0.45"/>
    <row r="1428" ht="15.75" customHeight="1" x14ac:dyDescent="0.45"/>
    <row r="1429" ht="15.75" customHeight="1" x14ac:dyDescent="0.45"/>
    <row r="1430" ht="15.75" customHeight="1" x14ac:dyDescent="0.45"/>
    <row r="1431" ht="15.75" customHeight="1" x14ac:dyDescent="0.45"/>
    <row r="1432" ht="15.75" customHeight="1" x14ac:dyDescent="0.45"/>
    <row r="1433" ht="15.75" customHeight="1" x14ac:dyDescent="0.45"/>
    <row r="1434" ht="15.75" customHeight="1" x14ac:dyDescent="0.45"/>
    <row r="1435" ht="15.75" customHeight="1" x14ac:dyDescent="0.45"/>
    <row r="1436" ht="15.75" customHeight="1" x14ac:dyDescent="0.45"/>
    <row r="1437" ht="15.75" customHeight="1" x14ac:dyDescent="0.45"/>
    <row r="1438" ht="15.75" customHeight="1" x14ac:dyDescent="0.45"/>
    <row r="1439" ht="15.75" customHeight="1" x14ac:dyDescent="0.45"/>
    <row r="1440" ht="15.75" customHeight="1" x14ac:dyDescent="0.45"/>
    <row r="1441" ht="15.75" customHeight="1" x14ac:dyDescent="0.45"/>
    <row r="1442" ht="15.75" customHeight="1" x14ac:dyDescent="0.45"/>
    <row r="1443" ht="15.75" customHeight="1" x14ac:dyDescent="0.45"/>
    <row r="1444" ht="15.75" customHeight="1" x14ac:dyDescent="0.45"/>
    <row r="1445" ht="15.75" customHeight="1" x14ac:dyDescent="0.45"/>
    <row r="1446" ht="15.75" customHeight="1" x14ac:dyDescent="0.45"/>
    <row r="1447" ht="15.75" customHeight="1" x14ac:dyDescent="0.45"/>
    <row r="1448" ht="15.75" customHeight="1" x14ac:dyDescent="0.45"/>
    <row r="1449" ht="15.75" customHeight="1" x14ac:dyDescent="0.45"/>
    <row r="1450" ht="15.75" customHeight="1" x14ac:dyDescent="0.45"/>
    <row r="1451" ht="15.75" customHeight="1" x14ac:dyDescent="0.45"/>
    <row r="1452" ht="15.75" customHeight="1" x14ac:dyDescent="0.45"/>
    <row r="1453" ht="15.75" customHeight="1" x14ac:dyDescent="0.45"/>
    <row r="1454" ht="15.75" customHeight="1" x14ac:dyDescent="0.45"/>
    <row r="1455" ht="15.75" customHeight="1" x14ac:dyDescent="0.45"/>
    <row r="1456" ht="15.75" customHeight="1" x14ac:dyDescent="0.45"/>
    <row r="1457" ht="15.75" customHeight="1" x14ac:dyDescent="0.45"/>
    <row r="1458" ht="15.75" customHeight="1" x14ac:dyDescent="0.45"/>
    <row r="1459" ht="15.75" customHeight="1" x14ac:dyDescent="0.45"/>
    <row r="1460" ht="15.75" customHeight="1" x14ac:dyDescent="0.45"/>
    <row r="1461" ht="15.75" customHeight="1" x14ac:dyDescent="0.45"/>
    <row r="1462" ht="15.75" customHeight="1" x14ac:dyDescent="0.45"/>
    <row r="1463" ht="15.75" customHeight="1" x14ac:dyDescent="0.45"/>
    <row r="1464" ht="15.75" customHeight="1" x14ac:dyDescent="0.45"/>
    <row r="1465" ht="15.75" customHeight="1" x14ac:dyDescent="0.45"/>
    <row r="1466" ht="15.75" customHeight="1" x14ac:dyDescent="0.45"/>
    <row r="1467" ht="15.75" customHeight="1" x14ac:dyDescent="0.45"/>
    <row r="1468" ht="15.75" customHeight="1" x14ac:dyDescent="0.45"/>
    <row r="1469" ht="15.75" customHeight="1" x14ac:dyDescent="0.45"/>
    <row r="1470" ht="15.75" customHeight="1" x14ac:dyDescent="0.45"/>
    <row r="1471" ht="15.75" customHeight="1" x14ac:dyDescent="0.45"/>
    <row r="1472" ht="15.75" customHeight="1" x14ac:dyDescent="0.45"/>
    <row r="1473" ht="15.75" customHeight="1" x14ac:dyDescent="0.45"/>
    <row r="1474" ht="15.75" customHeight="1" x14ac:dyDescent="0.45"/>
    <row r="1475" ht="15.75" customHeight="1" x14ac:dyDescent="0.45"/>
    <row r="1476" ht="15.75" customHeight="1" x14ac:dyDescent="0.45"/>
    <row r="1477" ht="15.75" customHeight="1" x14ac:dyDescent="0.45"/>
    <row r="1478" ht="15.75" customHeight="1" x14ac:dyDescent="0.45"/>
    <row r="1479" ht="15.75" customHeight="1" x14ac:dyDescent="0.45"/>
    <row r="1480" ht="15.75" customHeight="1" x14ac:dyDescent="0.45"/>
    <row r="1481" ht="15.75" customHeight="1" x14ac:dyDescent="0.45"/>
    <row r="1482" ht="15.75" customHeight="1" x14ac:dyDescent="0.45"/>
    <row r="1483" ht="15.75" customHeight="1" x14ac:dyDescent="0.45"/>
    <row r="1484" ht="15.75" customHeight="1" x14ac:dyDescent="0.45"/>
    <row r="1485" ht="15.75" customHeight="1" x14ac:dyDescent="0.45"/>
    <row r="1486" ht="15.75" customHeight="1" x14ac:dyDescent="0.45"/>
    <row r="1487" ht="15.75" customHeight="1" x14ac:dyDescent="0.45"/>
    <row r="1488" ht="15.75" customHeight="1" x14ac:dyDescent="0.45"/>
    <row r="1489" ht="15.75" customHeight="1" x14ac:dyDescent="0.45"/>
    <row r="1490" ht="15.75" customHeight="1" x14ac:dyDescent="0.45"/>
    <row r="1491" ht="15.75" customHeight="1" x14ac:dyDescent="0.45"/>
    <row r="1492" ht="15.75" customHeight="1" x14ac:dyDescent="0.45"/>
    <row r="1493" ht="15.75" customHeight="1" x14ac:dyDescent="0.45"/>
    <row r="1494" ht="15.75" customHeight="1" x14ac:dyDescent="0.45"/>
    <row r="1495" ht="15.75" customHeight="1" x14ac:dyDescent="0.45"/>
    <row r="1496" ht="15.75" customHeight="1" x14ac:dyDescent="0.45"/>
    <row r="1497" ht="15.75" customHeight="1" x14ac:dyDescent="0.45"/>
    <row r="1498" ht="15.75" customHeight="1" x14ac:dyDescent="0.45"/>
    <row r="1499" ht="15.75" customHeight="1" x14ac:dyDescent="0.45"/>
    <row r="1500" ht="15.75" customHeight="1" x14ac:dyDescent="0.45"/>
    <row r="1501" ht="15.75" customHeight="1" x14ac:dyDescent="0.45"/>
    <row r="1502" ht="15.75" customHeight="1" x14ac:dyDescent="0.45"/>
    <row r="1503" ht="15.75" customHeight="1" x14ac:dyDescent="0.45"/>
    <row r="1504" ht="15.75" customHeight="1" x14ac:dyDescent="0.45"/>
    <row r="1505" ht="15.75" customHeight="1" x14ac:dyDescent="0.45"/>
    <row r="1506" ht="15.75" customHeight="1" x14ac:dyDescent="0.45"/>
    <row r="1507" ht="15.75" customHeight="1" x14ac:dyDescent="0.45"/>
    <row r="1508" ht="15.75" customHeight="1" x14ac:dyDescent="0.45"/>
    <row r="1509" ht="15.75" customHeight="1" x14ac:dyDescent="0.45"/>
    <row r="1510" ht="15.75" customHeight="1" x14ac:dyDescent="0.45"/>
    <row r="1511" ht="15.75" customHeight="1" x14ac:dyDescent="0.45"/>
    <row r="1512" ht="15.75" customHeight="1" x14ac:dyDescent="0.45"/>
    <row r="1513" ht="15.75" customHeight="1" x14ac:dyDescent="0.45"/>
    <row r="1514" ht="15.75" customHeight="1" x14ac:dyDescent="0.45"/>
    <row r="1515" ht="15.75" customHeight="1" x14ac:dyDescent="0.45"/>
    <row r="1516" ht="15.75" customHeight="1" x14ac:dyDescent="0.45"/>
    <row r="1517" ht="15.75" customHeight="1" x14ac:dyDescent="0.45"/>
    <row r="1518" ht="15.75" customHeight="1" x14ac:dyDescent="0.45"/>
    <row r="1519" ht="15.75" customHeight="1" x14ac:dyDescent="0.45"/>
    <row r="1520" ht="15.75" customHeight="1" x14ac:dyDescent="0.45"/>
    <row r="1521" ht="15.75" customHeight="1" x14ac:dyDescent="0.45"/>
    <row r="1522" ht="15.75" customHeight="1" x14ac:dyDescent="0.45"/>
    <row r="1523" ht="15.75" customHeight="1" x14ac:dyDescent="0.45"/>
    <row r="1524" ht="15.75" customHeight="1" x14ac:dyDescent="0.45"/>
    <row r="1525" ht="15.75" customHeight="1" x14ac:dyDescent="0.45"/>
    <row r="1526" ht="15.75" customHeight="1" x14ac:dyDescent="0.45"/>
    <row r="1527" ht="15.75" customHeight="1" x14ac:dyDescent="0.45"/>
    <row r="1528" ht="15.75" customHeight="1" x14ac:dyDescent="0.45"/>
    <row r="1529" ht="15.75" customHeight="1" x14ac:dyDescent="0.45"/>
    <row r="1530" ht="15.75" customHeight="1" x14ac:dyDescent="0.45"/>
    <row r="1531" ht="15.75" customHeight="1" x14ac:dyDescent="0.45"/>
    <row r="1532" ht="15.75" customHeight="1" x14ac:dyDescent="0.45"/>
    <row r="1533" ht="15.75" customHeight="1" x14ac:dyDescent="0.45"/>
    <row r="1534" ht="15.75" customHeight="1" x14ac:dyDescent="0.45"/>
    <row r="1535" ht="15.75" customHeight="1" x14ac:dyDescent="0.45"/>
    <row r="1536" ht="15.75" customHeight="1" x14ac:dyDescent="0.45"/>
    <row r="1537" ht="15.75" customHeight="1" x14ac:dyDescent="0.45"/>
    <row r="1538" ht="15.75" customHeight="1" x14ac:dyDescent="0.45"/>
    <row r="1539" ht="15.75" customHeight="1" x14ac:dyDescent="0.45"/>
    <row r="1540" ht="15.75" customHeight="1" x14ac:dyDescent="0.45"/>
    <row r="1541" ht="15.75" customHeight="1" x14ac:dyDescent="0.45"/>
    <row r="1542" ht="15.75" customHeight="1" x14ac:dyDescent="0.45"/>
    <row r="1543" ht="15.75" customHeight="1" x14ac:dyDescent="0.45"/>
    <row r="1544" ht="15.75" customHeight="1" x14ac:dyDescent="0.45"/>
    <row r="1545" ht="15.75" customHeight="1" x14ac:dyDescent="0.45"/>
    <row r="1546" ht="15.75" customHeight="1" x14ac:dyDescent="0.45"/>
    <row r="1547" ht="15.75" customHeight="1" x14ac:dyDescent="0.45"/>
    <row r="1548" ht="15.75" customHeight="1" x14ac:dyDescent="0.45"/>
    <row r="1549" ht="15.75" customHeight="1" x14ac:dyDescent="0.45"/>
    <row r="1550" ht="15.75" customHeight="1" x14ac:dyDescent="0.45"/>
    <row r="1551" ht="15.75" customHeight="1" x14ac:dyDescent="0.45"/>
    <row r="1552" ht="15.75" customHeight="1" x14ac:dyDescent="0.45"/>
    <row r="1553" ht="15.75" customHeight="1" x14ac:dyDescent="0.45"/>
    <row r="1554" ht="15.75" customHeight="1" x14ac:dyDescent="0.45"/>
    <row r="1555" ht="15.75" customHeight="1" x14ac:dyDescent="0.45"/>
    <row r="1556" ht="15.75" customHeight="1" x14ac:dyDescent="0.45"/>
    <row r="1557" ht="15.75" customHeight="1" x14ac:dyDescent="0.45"/>
    <row r="1558" ht="15.75" customHeight="1" x14ac:dyDescent="0.45"/>
    <row r="1559" ht="15.75" customHeight="1" x14ac:dyDescent="0.45"/>
    <row r="1560" ht="15.75" customHeight="1" x14ac:dyDescent="0.45"/>
    <row r="1561" ht="15.75" customHeight="1" x14ac:dyDescent="0.45"/>
    <row r="1562" ht="15.75" customHeight="1" x14ac:dyDescent="0.45"/>
    <row r="1563" ht="15.75" customHeight="1" x14ac:dyDescent="0.45"/>
    <row r="1564" ht="15.75" customHeight="1" x14ac:dyDescent="0.45"/>
    <row r="1565" ht="15.75" customHeight="1" x14ac:dyDescent="0.45"/>
    <row r="1566" ht="15.75" customHeight="1" x14ac:dyDescent="0.45"/>
    <row r="1567" ht="15.75" customHeight="1" x14ac:dyDescent="0.45"/>
    <row r="1568" ht="15.75" customHeight="1" x14ac:dyDescent="0.45"/>
    <row r="1569" ht="15.75" customHeight="1" x14ac:dyDescent="0.45"/>
    <row r="1570" ht="15.75" customHeight="1" x14ac:dyDescent="0.45"/>
    <row r="1571" ht="15.75" customHeight="1" x14ac:dyDescent="0.45"/>
    <row r="1572" ht="15.75" customHeight="1" x14ac:dyDescent="0.45"/>
    <row r="1573" ht="15.75" customHeight="1" x14ac:dyDescent="0.45"/>
    <row r="1574" ht="15.75" customHeight="1" x14ac:dyDescent="0.45"/>
    <row r="1575" ht="15.75" customHeight="1" x14ac:dyDescent="0.45"/>
    <row r="1576" ht="15.75" customHeight="1" x14ac:dyDescent="0.45"/>
    <row r="1577" ht="15.75" customHeight="1" x14ac:dyDescent="0.45"/>
    <row r="1578" ht="15.75" customHeight="1" x14ac:dyDescent="0.45"/>
    <row r="1579" ht="15.75" customHeight="1" x14ac:dyDescent="0.45"/>
    <row r="1580" ht="15.75" customHeight="1" x14ac:dyDescent="0.45"/>
    <row r="1581" ht="15.75" customHeight="1" x14ac:dyDescent="0.45"/>
    <row r="1582" ht="15.75" customHeight="1" x14ac:dyDescent="0.45"/>
    <row r="1583" ht="15.75" customHeight="1" x14ac:dyDescent="0.45"/>
    <row r="1584" ht="15.75" customHeight="1" x14ac:dyDescent="0.45"/>
    <row r="1585" ht="15.75" customHeight="1" x14ac:dyDescent="0.45"/>
    <row r="1586" ht="15.75" customHeight="1" x14ac:dyDescent="0.45"/>
    <row r="1587" ht="15.75" customHeight="1" x14ac:dyDescent="0.45"/>
    <row r="1588" ht="15.75" customHeight="1" x14ac:dyDescent="0.45"/>
    <row r="1589" ht="15.75" customHeight="1" x14ac:dyDescent="0.45"/>
    <row r="1590" ht="15.75" customHeight="1" x14ac:dyDescent="0.45"/>
    <row r="1591" ht="15.75" customHeight="1" x14ac:dyDescent="0.45"/>
    <row r="1592" ht="15.75" customHeight="1" x14ac:dyDescent="0.45"/>
    <row r="1593" ht="15.75" customHeight="1" x14ac:dyDescent="0.45"/>
    <row r="1594" ht="15.75" customHeight="1" x14ac:dyDescent="0.45"/>
    <row r="1595" ht="15.75" customHeight="1" x14ac:dyDescent="0.45"/>
    <row r="1596" ht="15.75" customHeight="1" x14ac:dyDescent="0.45"/>
    <row r="1597" ht="15.75" customHeight="1" x14ac:dyDescent="0.45"/>
    <row r="1598" ht="15.75" customHeight="1" x14ac:dyDescent="0.45"/>
    <row r="1599" ht="15.75" customHeight="1" x14ac:dyDescent="0.45"/>
    <row r="1600" ht="15.75" customHeight="1" x14ac:dyDescent="0.45"/>
    <row r="1601" ht="15.75" customHeight="1" x14ac:dyDescent="0.45"/>
    <row r="1602" ht="15.75" customHeight="1" x14ac:dyDescent="0.45"/>
    <row r="1603" ht="15.75" customHeight="1" x14ac:dyDescent="0.45"/>
    <row r="1604" ht="15.75" customHeight="1" x14ac:dyDescent="0.45"/>
    <row r="1605" ht="15.75" customHeight="1" x14ac:dyDescent="0.45"/>
    <row r="1606" ht="15.75" customHeight="1" x14ac:dyDescent="0.45"/>
    <row r="1607" ht="15.75" customHeight="1" x14ac:dyDescent="0.45"/>
    <row r="1608" ht="15.75" customHeight="1" x14ac:dyDescent="0.45"/>
    <row r="1609" ht="15.75" customHeight="1" x14ac:dyDescent="0.45"/>
    <row r="1610" ht="15.75" customHeight="1" x14ac:dyDescent="0.45"/>
    <row r="1611" ht="15.75" customHeight="1" x14ac:dyDescent="0.45"/>
    <row r="1612" ht="15.75" customHeight="1" x14ac:dyDescent="0.45"/>
    <row r="1613" ht="15.75" customHeight="1" x14ac:dyDescent="0.45"/>
    <row r="1614" ht="15.75" customHeight="1" x14ac:dyDescent="0.45"/>
    <row r="1615" ht="15.75" customHeight="1" x14ac:dyDescent="0.45"/>
    <row r="1616" ht="15.75" customHeight="1" x14ac:dyDescent="0.45"/>
    <row r="1617" ht="15.75" customHeight="1" x14ac:dyDescent="0.45"/>
    <row r="1618" ht="15.75" customHeight="1" x14ac:dyDescent="0.45"/>
    <row r="1619" ht="15.75" customHeight="1" x14ac:dyDescent="0.45"/>
    <row r="1620" ht="15.75" customHeight="1" x14ac:dyDescent="0.45"/>
    <row r="1621" ht="15.75" customHeight="1" x14ac:dyDescent="0.45"/>
    <row r="1622" ht="15.75" customHeight="1" x14ac:dyDescent="0.45"/>
    <row r="1623" ht="15.75" customHeight="1" x14ac:dyDescent="0.45"/>
    <row r="1624" ht="15.75" customHeight="1" x14ac:dyDescent="0.45"/>
    <row r="1625" ht="15.75" customHeight="1" x14ac:dyDescent="0.45"/>
    <row r="1626" ht="15.75" customHeight="1" x14ac:dyDescent="0.45"/>
    <row r="1627" ht="15.75" customHeight="1" x14ac:dyDescent="0.45"/>
    <row r="1628" ht="15.75" customHeight="1" x14ac:dyDescent="0.45"/>
    <row r="1629" ht="15.75" customHeight="1" x14ac:dyDescent="0.45"/>
    <row r="1630" ht="15.75" customHeight="1" x14ac:dyDescent="0.45"/>
    <row r="1631" ht="15.75" customHeight="1" x14ac:dyDescent="0.45"/>
    <row r="1632" ht="15.75" customHeight="1" x14ac:dyDescent="0.45"/>
    <row r="1633" ht="15.75" customHeight="1" x14ac:dyDescent="0.45"/>
    <row r="1634" ht="15.75" customHeight="1" x14ac:dyDescent="0.45"/>
    <row r="1635" ht="15.75" customHeight="1" x14ac:dyDescent="0.45"/>
    <row r="1636" ht="15.75" customHeight="1" x14ac:dyDescent="0.45"/>
    <row r="1637" ht="15.75" customHeight="1" x14ac:dyDescent="0.45"/>
    <row r="1638" ht="15.75" customHeight="1" x14ac:dyDescent="0.45"/>
    <row r="1639" ht="15.75" customHeight="1" x14ac:dyDescent="0.45"/>
    <row r="1640" ht="15.75" customHeight="1" x14ac:dyDescent="0.45"/>
    <row r="1641" ht="15.75" customHeight="1" x14ac:dyDescent="0.45"/>
    <row r="1642" ht="15.75" customHeight="1" x14ac:dyDescent="0.45"/>
    <row r="1643" ht="15.75" customHeight="1" x14ac:dyDescent="0.45"/>
    <row r="1644" ht="15.75" customHeight="1" x14ac:dyDescent="0.45"/>
    <row r="1645" ht="15.75" customHeight="1" x14ac:dyDescent="0.45"/>
    <row r="1646" ht="15.75" customHeight="1" x14ac:dyDescent="0.45"/>
    <row r="1647" ht="15.75" customHeight="1" x14ac:dyDescent="0.45"/>
    <row r="1648" ht="15.75" customHeight="1" x14ac:dyDescent="0.45"/>
    <row r="1649" ht="15.75" customHeight="1" x14ac:dyDescent="0.45"/>
    <row r="1650" ht="15.75" customHeight="1" x14ac:dyDescent="0.45"/>
    <row r="1651" ht="15.75" customHeight="1" x14ac:dyDescent="0.45"/>
    <row r="1652" ht="15.75" customHeight="1" x14ac:dyDescent="0.45"/>
    <row r="1653" ht="15.75" customHeight="1" x14ac:dyDescent="0.45"/>
    <row r="1654" ht="15.75" customHeight="1" x14ac:dyDescent="0.45"/>
    <row r="1655" ht="15.75" customHeight="1" x14ac:dyDescent="0.45"/>
    <row r="1656" ht="15.75" customHeight="1" x14ac:dyDescent="0.45"/>
    <row r="1657" ht="15.75" customHeight="1" x14ac:dyDescent="0.45"/>
    <row r="1658" ht="15.75" customHeight="1" x14ac:dyDescent="0.45"/>
    <row r="1659" ht="15.75" customHeight="1" x14ac:dyDescent="0.45"/>
    <row r="1660" ht="15.75" customHeight="1" x14ac:dyDescent="0.45"/>
    <row r="1661" ht="15.75" customHeight="1" x14ac:dyDescent="0.45"/>
    <row r="1662" ht="15.75" customHeight="1" x14ac:dyDescent="0.45"/>
    <row r="1663" ht="15.75" customHeight="1" x14ac:dyDescent="0.45"/>
    <row r="1664" ht="15.75" customHeight="1" x14ac:dyDescent="0.45"/>
    <row r="1665" ht="15.75" customHeight="1" x14ac:dyDescent="0.45"/>
    <row r="1666" ht="15.75" customHeight="1" x14ac:dyDescent="0.45"/>
    <row r="1667" ht="15.75" customHeight="1" x14ac:dyDescent="0.45"/>
    <row r="1668" ht="15.75" customHeight="1" x14ac:dyDescent="0.45"/>
    <row r="1669" ht="15.75" customHeight="1" x14ac:dyDescent="0.45"/>
    <row r="1670" ht="15.75" customHeight="1" x14ac:dyDescent="0.45"/>
    <row r="1671" ht="15.75" customHeight="1" x14ac:dyDescent="0.45"/>
    <row r="1672" ht="15.75" customHeight="1" x14ac:dyDescent="0.45"/>
    <row r="1673" ht="15.75" customHeight="1" x14ac:dyDescent="0.45"/>
    <row r="1674" ht="15.75" customHeight="1" x14ac:dyDescent="0.45"/>
    <row r="1675" ht="15.75" customHeight="1" x14ac:dyDescent="0.45"/>
    <row r="1676" ht="15.75" customHeight="1" x14ac:dyDescent="0.45"/>
    <row r="1677" ht="15.75" customHeight="1" x14ac:dyDescent="0.45"/>
    <row r="1678" ht="15.75" customHeight="1" x14ac:dyDescent="0.45"/>
    <row r="1679" ht="15.75" customHeight="1" x14ac:dyDescent="0.45"/>
    <row r="1680" ht="15.75" customHeight="1" x14ac:dyDescent="0.45"/>
    <row r="1681" ht="15.75" customHeight="1" x14ac:dyDescent="0.45"/>
    <row r="1682" ht="15.75" customHeight="1" x14ac:dyDescent="0.45"/>
    <row r="1683" ht="15.75" customHeight="1" x14ac:dyDescent="0.45"/>
    <row r="1684" ht="15.75" customHeight="1" x14ac:dyDescent="0.45"/>
    <row r="1685" ht="15.75" customHeight="1" x14ac:dyDescent="0.45"/>
    <row r="1686" ht="15.75" customHeight="1" x14ac:dyDescent="0.45"/>
    <row r="1687" ht="15.75" customHeight="1" x14ac:dyDescent="0.45"/>
    <row r="1688" ht="15.75" customHeight="1" x14ac:dyDescent="0.45"/>
    <row r="1689" ht="15.75" customHeight="1" x14ac:dyDescent="0.45"/>
    <row r="1690" ht="15.75" customHeight="1" x14ac:dyDescent="0.45"/>
    <row r="1691" ht="15.75" customHeight="1" x14ac:dyDescent="0.45"/>
    <row r="1692" ht="15.75" customHeight="1" x14ac:dyDescent="0.45"/>
    <row r="1693" ht="15.75" customHeight="1" x14ac:dyDescent="0.45"/>
    <row r="1694" ht="15.75" customHeight="1" x14ac:dyDescent="0.45"/>
    <row r="1695" ht="15.75" customHeight="1" x14ac:dyDescent="0.45"/>
    <row r="1696" ht="15.75" customHeight="1" x14ac:dyDescent="0.45"/>
    <row r="1697" ht="15.75" customHeight="1" x14ac:dyDescent="0.45"/>
    <row r="1698" ht="15.75" customHeight="1" x14ac:dyDescent="0.45"/>
    <row r="1699" ht="15.75" customHeight="1" x14ac:dyDescent="0.45"/>
    <row r="1700" ht="15.75" customHeight="1" x14ac:dyDescent="0.45"/>
    <row r="1701" ht="15.75" customHeight="1" x14ac:dyDescent="0.45"/>
    <row r="1702" ht="15.75" customHeight="1" x14ac:dyDescent="0.45"/>
    <row r="1703" ht="15.75" customHeight="1" x14ac:dyDescent="0.45"/>
    <row r="1704" ht="15.75" customHeight="1" x14ac:dyDescent="0.45"/>
    <row r="1705" ht="15.75" customHeight="1" x14ac:dyDescent="0.45"/>
    <row r="1706" ht="15.75" customHeight="1" x14ac:dyDescent="0.45"/>
    <row r="1707" ht="15.75" customHeight="1" x14ac:dyDescent="0.45"/>
    <row r="1708" ht="15.75" customHeight="1" x14ac:dyDescent="0.45"/>
    <row r="1709" ht="15.75" customHeight="1" x14ac:dyDescent="0.45"/>
    <row r="1710" ht="15.75" customHeight="1" x14ac:dyDescent="0.45"/>
    <row r="1711" ht="15.75" customHeight="1" x14ac:dyDescent="0.45"/>
    <row r="1712" ht="15.75" customHeight="1" x14ac:dyDescent="0.45"/>
  </sheetData>
  <autoFilter ref="A1:AJ201" xr:uid="{00000000-0001-0000-0100-000000000000}">
    <filterColumn colId="3">
      <filters>
        <filter val="wt"/>
      </filters>
    </filterColumn>
  </autoFilter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O1512"/>
  <sheetViews>
    <sheetView workbookViewId="0">
      <selection activeCell="K1365" sqref="K1365"/>
    </sheetView>
  </sheetViews>
  <sheetFormatPr defaultColWidth="14.3984375" defaultRowHeight="15" customHeight="1" x14ac:dyDescent="0.45"/>
  <cols>
    <col min="1" max="1" width="10.73046875" customWidth="1"/>
    <col min="2" max="2" width="20.3984375" customWidth="1"/>
    <col min="3" max="3" width="26.53125" customWidth="1"/>
    <col min="4" max="4" width="9" customWidth="1"/>
    <col min="5" max="9" width="10.73046875" customWidth="1"/>
    <col min="10" max="10" width="17.1328125" customWidth="1"/>
    <col min="11" max="12" width="10.73046875" customWidth="1"/>
    <col min="13" max="13" width="14.33203125" customWidth="1"/>
    <col min="14" max="14" width="14.06640625" customWidth="1"/>
    <col min="15" max="15" width="13.73046875" style="18" customWidth="1"/>
    <col min="16" max="20" width="10.73046875" style="18" customWidth="1"/>
    <col min="21" max="21" width="10.6640625" style="18" customWidth="1"/>
    <col min="22" max="25" width="10.73046875" style="18" customWidth="1"/>
    <col min="26" max="26" width="10.73046875" style="19" customWidth="1"/>
    <col min="27" max="27" width="10.73046875" style="18" customWidth="1"/>
    <col min="28" max="28" width="10.73046875" style="19" customWidth="1"/>
    <col min="29" max="39" width="10.73046875" style="18" customWidth="1"/>
    <col min="40" max="41" width="14.3984375" style="18"/>
  </cols>
  <sheetData>
    <row r="1" spans="1:41" ht="14.25" x14ac:dyDescent="0.45">
      <c r="A1" s="5" t="s">
        <v>11</v>
      </c>
      <c r="B1" s="5" t="s">
        <v>13</v>
      </c>
      <c r="C1" s="5" t="s">
        <v>15</v>
      </c>
      <c r="D1" s="24" t="s">
        <v>250</v>
      </c>
      <c r="E1" s="5" t="s">
        <v>0</v>
      </c>
      <c r="F1" s="5" t="s">
        <v>18</v>
      </c>
      <c r="G1" s="5" t="s">
        <v>19</v>
      </c>
      <c r="H1" s="5"/>
      <c r="I1" s="5" t="s">
        <v>21</v>
      </c>
      <c r="J1" s="5" t="s">
        <v>23</v>
      </c>
      <c r="K1" s="16" t="s">
        <v>272</v>
      </c>
      <c r="L1" s="16" t="s">
        <v>251</v>
      </c>
      <c r="M1" s="16" t="s">
        <v>27</v>
      </c>
      <c r="N1" s="5" t="s">
        <v>29</v>
      </c>
      <c r="O1" s="16" t="s">
        <v>31</v>
      </c>
      <c r="P1" s="16" t="s">
        <v>33</v>
      </c>
      <c r="Q1" s="16" t="s">
        <v>35</v>
      </c>
      <c r="R1" s="16" t="s">
        <v>37</v>
      </c>
      <c r="S1" s="16" t="s">
        <v>39</v>
      </c>
      <c r="T1" s="16" t="s">
        <v>41</v>
      </c>
      <c r="U1" s="16" t="s">
        <v>43</v>
      </c>
      <c r="V1" s="16" t="s">
        <v>45</v>
      </c>
      <c r="W1" s="16" t="s">
        <v>47</v>
      </c>
      <c r="X1" s="16" t="s">
        <v>49</v>
      </c>
      <c r="Y1" s="16" t="s">
        <v>51</v>
      </c>
      <c r="Z1" s="17" t="s">
        <v>53</v>
      </c>
      <c r="AA1" s="16" t="s">
        <v>55</v>
      </c>
      <c r="AB1" s="17" t="s">
        <v>57</v>
      </c>
      <c r="AC1" s="16" t="s">
        <v>59</v>
      </c>
      <c r="AD1" s="16" t="s">
        <v>61</v>
      </c>
      <c r="AE1" s="16" t="s">
        <v>63</v>
      </c>
      <c r="AF1" s="16" t="s">
        <v>65</v>
      </c>
      <c r="AG1" s="16" t="s">
        <v>67</v>
      </c>
      <c r="AH1" s="16" t="s">
        <v>69</v>
      </c>
      <c r="AI1" s="16" t="s">
        <v>71</v>
      </c>
      <c r="AJ1" s="16" t="s">
        <v>73</v>
      </c>
      <c r="AK1" s="16" t="s">
        <v>75</v>
      </c>
      <c r="AL1" s="16" t="s">
        <v>77</v>
      </c>
      <c r="AM1" s="16" t="s">
        <v>79</v>
      </c>
    </row>
    <row r="2" spans="1:41" ht="14.25" hidden="1" x14ac:dyDescent="0.45">
      <c r="A2" s="2" t="s">
        <v>95</v>
      </c>
      <c r="B2" s="2" t="s">
        <v>96</v>
      </c>
      <c r="C2" s="2">
        <v>3.0000000000000001E-3</v>
      </c>
      <c r="D2" s="25">
        <f>LOG(C3)</f>
        <v>-2</v>
      </c>
      <c r="E2" s="2" t="s">
        <v>83</v>
      </c>
      <c r="F2" s="2" t="s">
        <v>84</v>
      </c>
      <c r="H2" s="2">
        <v>0.2</v>
      </c>
      <c r="J2" s="14">
        <v>0.212474256</v>
      </c>
      <c r="K2" s="14">
        <v>41.241651467222198</v>
      </c>
      <c r="L2" s="14"/>
      <c r="M2" s="14">
        <v>1.46637985674851</v>
      </c>
      <c r="N2" s="14">
        <v>259.27777777777698</v>
      </c>
      <c r="O2" s="14">
        <v>19.530839810507199</v>
      </c>
      <c r="P2" s="14">
        <v>34.491789043888801</v>
      </c>
      <c r="Q2" s="14">
        <v>2.1942824375147998</v>
      </c>
      <c r="R2" s="14">
        <v>2.9797520578333301</v>
      </c>
      <c r="S2" s="14">
        <v>0.62242145907027802</v>
      </c>
      <c r="T2" s="14">
        <v>3.4917065738888802</v>
      </c>
      <c r="U2" s="14">
        <v>1.7564506277076799</v>
      </c>
      <c r="V2" s="14">
        <v>0.31950466988888798</v>
      </c>
      <c r="W2" s="14">
        <v>8.1609650870063194E-2</v>
      </c>
      <c r="X2" s="14">
        <v>2.9956130845</v>
      </c>
      <c r="Y2" s="14">
        <v>0.50129132704888002</v>
      </c>
      <c r="Z2" s="15">
        <v>92.968127490039805</v>
      </c>
      <c r="AA2" s="14">
        <v>7.0030899718950099</v>
      </c>
      <c r="AB2" s="15">
        <v>103.310187372304</v>
      </c>
      <c r="AC2" s="14">
        <v>3.6732762236755798</v>
      </c>
      <c r="AD2" s="14">
        <v>78.865650447848097</v>
      </c>
      <c r="AE2" s="14">
        <v>39.672182728520902</v>
      </c>
      <c r="AF2" s="14">
        <v>101.998623943631</v>
      </c>
      <c r="AG2" s="14">
        <v>6.4889005579095098</v>
      </c>
      <c r="AH2" s="14">
        <v>79.772638270756502</v>
      </c>
      <c r="AI2" s="14">
        <v>16.663199132908101</v>
      </c>
      <c r="AJ2" s="14">
        <v>67.936538558875199</v>
      </c>
      <c r="AK2" s="14">
        <v>17.352726628498001</v>
      </c>
      <c r="AL2" s="14">
        <v>88.970988306850103</v>
      </c>
      <c r="AM2" s="14">
        <v>14.8885665602023</v>
      </c>
    </row>
    <row r="3" spans="1:41" ht="14.25" hidden="1" x14ac:dyDescent="0.45">
      <c r="A3" s="2" t="s">
        <v>95</v>
      </c>
      <c r="B3" s="2" t="s">
        <v>96</v>
      </c>
      <c r="C3" s="2">
        <v>0.01</v>
      </c>
      <c r="D3" s="25">
        <f t="shared" ref="D3:D9" si="0">LOG(C4)</f>
        <v>-1.5228787452803376</v>
      </c>
      <c r="E3" s="2" t="s">
        <v>83</v>
      </c>
      <c r="F3" s="2" t="s">
        <v>84</v>
      </c>
      <c r="H3" s="2">
        <v>0.2</v>
      </c>
      <c r="J3" s="14">
        <v>0.212474256</v>
      </c>
      <c r="K3" s="14">
        <v>40.8554400777777</v>
      </c>
      <c r="L3" s="14"/>
      <c r="M3" s="14">
        <v>1.7817772175273601</v>
      </c>
      <c r="N3" s="14">
        <v>258.55555555555497</v>
      </c>
      <c r="O3" s="14">
        <v>11.1384386165567</v>
      </c>
      <c r="P3" s="14">
        <v>34.633059873888797</v>
      </c>
      <c r="Q3" s="14">
        <v>2.5160337916169202</v>
      </c>
      <c r="R3" s="14">
        <v>3.7589476756111102</v>
      </c>
      <c r="S3" s="14">
        <v>1.5406661327186699</v>
      </c>
      <c r="T3" s="14">
        <v>3.38582986977777</v>
      </c>
      <c r="U3" s="14">
        <v>0.48953830761230099</v>
      </c>
      <c r="V3" s="14">
        <v>0.27222529094444398</v>
      </c>
      <c r="W3" s="14">
        <v>9.6239685948670994E-2</v>
      </c>
      <c r="X3" s="14">
        <v>3.4804122283888801</v>
      </c>
      <c r="Y3" s="14">
        <v>0.167065204836815</v>
      </c>
      <c r="Z3" s="15">
        <v>92.709163346613494</v>
      </c>
      <c r="AA3" s="14">
        <v>3.99386245215182</v>
      </c>
      <c r="AB3" s="15">
        <v>102.34272924225</v>
      </c>
      <c r="AC3" s="14">
        <v>4.4633454687127401</v>
      </c>
      <c r="AD3" s="14">
        <v>76.474259602053905</v>
      </c>
      <c r="AE3" s="14">
        <v>11.0569878172734</v>
      </c>
      <c r="AF3" s="14">
        <v>102.41638801626399</v>
      </c>
      <c r="AG3" s="14">
        <v>7.4403790483020202</v>
      </c>
      <c r="AH3" s="14">
        <v>100.632927634678</v>
      </c>
      <c r="AI3" s="14">
        <v>41.246049911527997</v>
      </c>
      <c r="AJ3" s="14">
        <v>57.883485651022703</v>
      </c>
      <c r="AK3" s="14">
        <v>20.463522920086401</v>
      </c>
      <c r="AL3" s="14">
        <v>103.369729981898</v>
      </c>
      <c r="AM3" s="14">
        <v>4.9619079523077803</v>
      </c>
    </row>
    <row r="4" spans="1:41" ht="14.25" hidden="1" x14ac:dyDescent="0.45">
      <c r="A4" s="2" t="s">
        <v>95</v>
      </c>
      <c r="B4" s="2" t="s">
        <v>96</v>
      </c>
      <c r="C4" s="2">
        <v>0.03</v>
      </c>
      <c r="D4" s="25">
        <f t="shared" si="0"/>
        <v>-1</v>
      </c>
      <c r="E4" s="2" t="s">
        <v>83</v>
      </c>
      <c r="F4" s="2" t="s">
        <v>84</v>
      </c>
      <c r="H4" s="2">
        <v>0.2</v>
      </c>
      <c r="J4" s="14">
        <v>0.212474256</v>
      </c>
      <c r="K4" s="14">
        <v>38.778514827777698</v>
      </c>
      <c r="L4" s="14"/>
      <c r="M4" s="14">
        <v>1.9687573783211301</v>
      </c>
      <c r="N4" s="14">
        <v>292.83333333333297</v>
      </c>
      <c r="O4" s="14">
        <v>26.0613592209702</v>
      </c>
      <c r="P4" s="14">
        <v>31.5852345599999</v>
      </c>
      <c r="Q4" s="14">
        <v>1.17209427382306</v>
      </c>
      <c r="R4" s="14">
        <v>3.7562240017222202</v>
      </c>
      <c r="S4" s="14">
        <v>0.91663231745386897</v>
      </c>
      <c r="T4" s="14">
        <v>7.2857093192777702</v>
      </c>
      <c r="U4" s="14">
        <v>0.22564960215089699</v>
      </c>
      <c r="V4" s="14">
        <v>0.56673643805555496</v>
      </c>
      <c r="W4" s="14">
        <v>0.20414767153049301</v>
      </c>
      <c r="X4" s="14">
        <v>3.3973431407777701</v>
      </c>
      <c r="Y4" s="14">
        <v>0.54491348973147802</v>
      </c>
      <c r="Z4" s="15">
        <v>105</v>
      </c>
      <c r="AA4" s="14">
        <v>9.3447104776387402</v>
      </c>
      <c r="AB4" s="15">
        <v>97.140039022478405</v>
      </c>
      <c r="AC4" s="14">
        <v>4.9317300934618196</v>
      </c>
      <c r="AD4" s="14">
        <v>164.55913241267501</v>
      </c>
      <c r="AE4" s="14">
        <v>5.0966489509765296</v>
      </c>
      <c r="AF4" s="14">
        <v>93.403402704263002</v>
      </c>
      <c r="AG4" s="14">
        <v>3.4661003785579201</v>
      </c>
      <c r="AH4" s="14">
        <v>100.560010610815</v>
      </c>
      <c r="AI4" s="14">
        <v>24.539685473261098</v>
      </c>
      <c r="AJ4" s="14">
        <v>120.505631075972</v>
      </c>
      <c r="AK4" s="14">
        <v>43.408085908287497</v>
      </c>
      <c r="AL4" s="14">
        <v>100.90254259353</v>
      </c>
      <c r="AM4" s="14">
        <v>16.184163426845299</v>
      </c>
    </row>
    <row r="5" spans="1:41" ht="14.25" hidden="1" x14ac:dyDescent="0.45">
      <c r="A5" s="2" t="s">
        <v>95</v>
      </c>
      <c r="B5" s="2" t="s">
        <v>96</v>
      </c>
      <c r="C5" s="2">
        <v>0.1</v>
      </c>
      <c r="D5" s="25">
        <f t="shared" si="0"/>
        <v>-0.52287874528033762</v>
      </c>
      <c r="E5" s="2" t="s">
        <v>83</v>
      </c>
      <c r="F5" s="2" t="s">
        <v>84</v>
      </c>
      <c r="H5" s="2">
        <v>0.2</v>
      </c>
      <c r="J5" s="14">
        <v>0.212474256</v>
      </c>
      <c r="K5" s="14">
        <v>38.381423935555503</v>
      </c>
      <c r="L5" s="14"/>
      <c r="M5" s="14">
        <v>4.0206489344019198</v>
      </c>
      <c r="N5" s="14">
        <v>250.055555555555</v>
      </c>
      <c r="O5" s="14">
        <v>47.083947881928502</v>
      </c>
      <c r="P5" s="14">
        <v>33.335771993333303</v>
      </c>
      <c r="Q5" s="14">
        <v>3.08246035940128</v>
      </c>
      <c r="R5" s="14">
        <v>3.1364142251666598</v>
      </c>
      <c r="S5" s="14">
        <v>0.23688135082165801</v>
      </c>
      <c r="T5" s="14">
        <v>6.3534600881666599</v>
      </c>
      <c r="U5" s="14">
        <v>1.75365832358559</v>
      </c>
      <c r="V5" s="14">
        <v>0.56778734327777702</v>
      </c>
      <c r="W5" s="14">
        <v>0.16808559536575299</v>
      </c>
      <c r="X5" s="14">
        <v>3.7867263376666598</v>
      </c>
      <c r="Y5" s="14">
        <v>0.38628760626890202</v>
      </c>
      <c r="Z5" s="15">
        <v>89.661354581673294</v>
      </c>
      <c r="AA5" s="14">
        <v>16.8826904755919</v>
      </c>
      <c r="AB5" s="15">
        <v>96.145327777417904</v>
      </c>
      <c r="AC5" s="14">
        <v>10.071711000745101</v>
      </c>
      <c r="AD5" s="14">
        <v>143.50282643871699</v>
      </c>
      <c r="AE5" s="14">
        <v>39.609114175600702</v>
      </c>
      <c r="AF5" s="14">
        <v>98.580066899170902</v>
      </c>
      <c r="AG5" s="14">
        <v>9.1154075719197607</v>
      </c>
      <c r="AH5" s="14">
        <v>83.966730316952393</v>
      </c>
      <c r="AI5" s="14">
        <v>6.34168546423445</v>
      </c>
      <c r="AJ5" s="14">
        <v>120.72908591053201</v>
      </c>
      <c r="AK5" s="14">
        <v>35.7401772397508</v>
      </c>
      <c r="AL5" s="14">
        <v>112.4673898819</v>
      </c>
      <c r="AM5" s="14">
        <v>11.4729069245496</v>
      </c>
    </row>
    <row r="6" spans="1:41" ht="14.25" hidden="1" x14ac:dyDescent="0.45">
      <c r="A6" s="2" t="s">
        <v>95</v>
      </c>
      <c r="B6" s="2" t="s">
        <v>96</v>
      </c>
      <c r="C6" s="2">
        <v>0.3</v>
      </c>
      <c r="D6" s="25">
        <f t="shared" si="0"/>
        <v>0</v>
      </c>
      <c r="E6" s="2" t="s">
        <v>83</v>
      </c>
      <c r="F6" s="2" t="s">
        <v>84</v>
      </c>
      <c r="H6" s="2">
        <v>0.2</v>
      </c>
      <c r="J6" s="14">
        <v>0.212474256</v>
      </c>
      <c r="K6" s="14">
        <v>6.63547943372222</v>
      </c>
      <c r="L6" s="14"/>
      <c r="M6" s="14">
        <v>0.60018452627292296</v>
      </c>
      <c r="N6" s="14">
        <v>75</v>
      </c>
      <c r="O6" s="14">
        <v>5.1747248987534702</v>
      </c>
      <c r="P6" s="14">
        <v>41.909810101111098</v>
      </c>
      <c r="Q6" s="14">
        <v>5.9237557728565804</v>
      </c>
      <c r="R6" s="14">
        <v>3.1759866344444401</v>
      </c>
      <c r="S6" s="14">
        <v>2.88418630704395</v>
      </c>
      <c r="T6" s="14">
        <v>14.3642255337222</v>
      </c>
      <c r="U6" s="14">
        <v>2.6644085118124501</v>
      </c>
      <c r="V6" s="14">
        <v>0.95418777716666603</v>
      </c>
      <c r="W6" s="14">
        <v>0.70142650264969397</v>
      </c>
      <c r="X6" s="14">
        <v>6.8102799437777701</v>
      </c>
      <c r="Y6" s="14">
        <v>1.46531821187488</v>
      </c>
      <c r="Z6" s="15">
        <v>26.892430278884401</v>
      </c>
      <c r="AA6" s="14">
        <v>1.8554790473617999</v>
      </c>
      <c r="AB6" s="15">
        <v>16.621851919478601</v>
      </c>
      <c r="AC6" s="14">
        <v>1.5034600618865499</v>
      </c>
      <c r="AD6" s="14">
        <v>324.43848471347502</v>
      </c>
      <c r="AE6" s="14">
        <v>60.179830663388103</v>
      </c>
      <c r="AF6" s="14">
        <v>123.935089438616</v>
      </c>
      <c r="AG6" s="14">
        <v>17.517645624026201</v>
      </c>
      <c r="AH6" s="14">
        <v>85.026145808425895</v>
      </c>
      <c r="AI6" s="14">
        <v>77.214193164978994</v>
      </c>
      <c r="AJ6" s="14">
        <v>202.88972533150701</v>
      </c>
      <c r="AK6" s="14">
        <v>149.144889369064</v>
      </c>
      <c r="AL6" s="14">
        <v>202.26822361652299</v>
      </c>
      <c r="AM6" s="14">
        <v>43.520576862580903</v>
      </c>
    </row>
    <row r="7" spans="1:41" ht="14.25" hidden="1" x14ac:dyDescent="0.45">
      <c r="A7" s="2" t="s">
        <v>95</v>
      </c>
      <c r="B7" s="2" t="s">
        <v>96</v>
      </c>
      <c r="C7" s="2">
        <v>1</v>
      </c>
      <c r="D7" s="25">
        <f t="shared" si="0"/>
        <v>0.47712125471966244</v>
      </c>
      <c r="E7" s="2" t="s">
        <v>83</v>
      </c>
      <c r="F7" s="2" t="s">
        <v>84</v>
      </c>
      <c r="H7" s="2">
        <v>0.2</v>
      </c>
      <c r="J7" s="14">
        <v>0.212474256</v>
      </c>
      <c r="K7" s="14">
        <v>0.93610093633333302</v>
      </c>
      <c r="L7" s="14"/>
      <c r="M7" s="14">
        <v>1.26939114194438</v>
      </c>
      <c r="N7" s="14">
        <v>27.3888888888888</v>
      </c>
      <c r="O7" s="14">
        <v>6.3296773073210399</v>
      </c>
      <c r="P7" s="14">
        <v>30.214718891111101</v>
      </c>
      <c r="Q7" s="14">
        <v>1.2876152270702299</v>
      </c>
      <c r="R7" s="14">
        <v>2.1331908833888802</v>
      </c>
      <c r="S7" s="14">
        <v>1.8307640480963101</v>
      </c>
      <c r="T7" s="14">
        <v>11.039271067222201</v>
      </c>
      <c r="U7" s="14">
        <v>1.3889643852793601</v>
      </c>
      <c r="V7" s="14">
        <v>1.1615257182222201</v>
      </c>
      <c r="W7" s="14">
        <v>0.31471740784973901</v>
      </c>
      <c r="X7" s="14">
        <v>7.6469405106111097</v>
      </c>
      <c r="Y7" s="14">
        <v>2.0464954148968602</v>
      </c>
      <c r="Z7" s="15">
        <v>9.8207171314740993</v>
      </c>
      <c r="AA7" s="14">
        <v>2.2696054089995701</v>
      </c>
      <c r="AB7" s="15">
        <v>2.3449294509665299</v>
      </c>
      <c r="AC7" s="14">
        <v>3.1798202074241702</v>
      </c>
      <c r="AD7" s="14">
        <v>249.33919124164501</v>
      </c>
      <c r="AE7" s="14">
        <v>31.3719315686801</v>
      </c>
      <c r="AF7" s="14">
        <v>89.350533421606301</v>
      </c>
      <c r="AG7" s="14">
        <v>3.8077172849142298</v>
      </c>
      <c r="AH7" s="14">
        <v>57.108867248100204</v>
      </c>
      <c r="AI7" s="14">
        <v>49.0124263137808</v>
      </c>
      <c r="AJ7" s="14">
        <v>246.976160851016</v>
      </c>
      <c r="AK7" s="14">
        <v>66.918619126814207</v>
      </c>
      <c r="AL7" s="14">
        <v>227.11739986484801</v>
      </c>
      <c r="AM7" s="14">
        <v>60.781788065664799</v>
      </c>
    </row>
    <row r="8" spans="1:41" ht="14.25" hidden="1" x14ac:dyDescent="0.45">
      <c r="A8" s="2" t="s">
        <v>95</v>
      </c>
      <c r="B8" s="2" t="s">
        <v>96</v>
      </c>
      <c r="C8" s="2">
        <v>3</v>
      </c>
      <c r="D8" s="25">
        <f t="shared" si="0"/>
        <v>1</v>
      </c>
      <c r="E8" s="2" t="s">
        <v>83</v>
      </c>
      <c r="F8" s="2" t="s">
        <v>84</v>
      </c>
      <c r="H8" s="2">
        <v>0.2</v>
      </c>
      <c r="J8" s="14">
        <v>0.212474256</v>
      </c>
      <c r="K8" s="14">
        <v>0</v>
      </c>
      <c r="L8" s="14"/>
      <c r="M8" s="14">
        <v>0</v>
      </c>
      <c r="N8" s="14">
        <v>23.855555555555501</v>
      </c>
      <c r="O8" s="14">
        <v>8.5105381298281593</v>
      </c>
      <c r="P8" s="14">
        <v>17.6585511402</v>
      </c>
      <c r="Q8" s="14">
        <v>3.0105439441218498</v>
      </c>
      <c r="R8" s="14">
        <v>0.51555169972222203</v>
      </c>
      <c r="S8" s="14">
        <v>0.89296173784738198</v>
      </c>
      <c r="T8" s="14">
        <v>16.611705612933299</v>
      </c>
      <c r="U8" s="14">
        <v>5.4244346044420402</v>
      </c>
      <c r="V8" s="14">
        <v>0.36324786329999997</v>
      </c>
      <c r="W8" s="14">
        <v>0.42681590505620998</v>
      </c>
      <c r="X8" s="14">
        <v>5.4862855017444403</v>
      </c>
      <c r="Y8" s="14">
        <v>3.6083858942465801</v>
      </c>
      <c r="Z8" s="15">
        <v>8.5537848605577693</v>
      </c>
      <c r="AA8" s="14">
        <v>3.0515873772292199</v>
      </c>
      <c r="AB8" s="15">
        <v>0</v>
      </c>
      <c r="AC8" s="14">
        <v>0</v>
      </c>
      <c r="AD8" s="14">
        <v>375.20133507468199</v>
      </c>
      <c r="AE8" s="14">
        <v>122.51933383814399</v>
      </c>
      <c r="AF8" s="14">
        <v>52.219614205768998</v>
      </c>
      <c r="AG8" s="14">
        <v>8.9027373799466094</v>
      </c>
      <c r="AH8" s="14">
        <v>13.8021279803122</v>
      </c>
      <c r="AI8" s="14">
        <v>23.905986914468802</v>
      </c>
      <c r="AJ8" s="14">
        <v>77.237689452524805</v>
      </c>
      <c r="AK8" s="14">
        <v>90.7542140197083</v>
      </c>
      <c r="AL8" s="14">
        <v>162.94502309039601</v>
      </c>
      <c r="AM8" s="14">
        <v>107.170602526995</v>
      </c>
    </row>
    <row r="9" spans="1:41" s="8" customFormat="1" ht="14.25" hidden="1" x14ac:dyDescent="0.45">
      <c r="A9" s="7" t="s">
        <v>95</v>
      </c>
      <c r="B9" s="7" t="s">
        <v>96</v>
      </c>
      <c r="C9" s="7">
        <v>10</v>
      </c>
      <c r="D9" s="25">
        <f t="shared" si="0"/>
        <v>-2.5228787452803374</v>
      </c>
      <c r="E9" s="7" t="s">
        <v>83</v>
      </c>
      <c r="F9" s="7" t="s">
        <v>84</v>
      </c>
      <c r="H9" s="7">
        <v>0.2</v>
      </c>
      <c r="J9" s="15">
        <v>0.212474256</v>
      </c>
      <c r="K9" s="15">
        <v>0</v>
      </c>
      <c r="L9" s="15"/>
      <c r="M9" s="15">
        <v>0</v>
      </c>
      <c r="N9" s="15">
        <v>22.6666666666666</v>
      </c>
      <c r="O9" s="15">
        <v>0.33333333333346599</v>
      </c>
      <c r="P9" s="15">
        <v>20.609075571222199</v>
      </c>
      <c r="Q9" s="15">
        <v>2.0297365380907499</v>
      </c>
      <c r="R9" s="15">
        <v>3.6118792642222202</v>
      </c>
      <c r="S9" s="15">
        <v>2.1816525230939798</v>
      </c>
      <c r="T9" s="15">
        <v>13.6598415897222</v>
      </c>
      <c r="U9" s="15">
        <v>2.6784491433803002</v>
      </c>
      <c r="V9" s="15">
        <v>0</v>
      </c>
      <c r="W9" s="15">
        <v>0</v>
      </c>
      <c r="X9" s="15">
        <v>7.83438824855555</v>
      </c>
      <c r="Y9" s="15">
        <v>0.80102869779352004</v>
      </c>
      <c r="Z9" s="15">
        <v>8.1274900398406391</v>
      </c>
      <c r="AA9" s="15">
        <v>0.11952191235064499</v>
      </c>
      <c r="AB9" s="15">
        <v>0</v>
      </c>
      <c r="AC9" s="15">
        <v>0</v>
      </c>
      <c r="AD9" s="15">
        <v>308.52887239839703</v>
      </c>
      <c r="AE9" s="15">
        <v>60.4969602726106</v>
      </c>
      <c r="AF9" s="15">
        <v>60.9448627422654</v>
      </c>
      <c r="AG9" s="15">
        <v>6.0023077837433396</v>
      </c>
      <c r="AH9" s="15">
        <v>96.695675489172302</v>
      </c>
      <c r="AI9" s="15">
        <v>58.406261386662699</v>
      </c>
      <c r="AJ9" s="15">
        <v>0</v>
      </c>
      <c r="AK9" s="15">
        <v>0</v>
      </c>
      <c r="AL9" s="15">
        <v>232.68467775767601</v>
      </c>
      <c r="AM9" s="15">
        <v>23.790894516250301</v>
      </c>
      <c r="AN9" s="19"/>
      <c r="AO9" s="19"/>
    </row>
    <row r="10" spans="1:41" ht="14.25" hidden="1" x14ac:dyDescent="0.45">
      <c r="A10" s="2" t="s">
        <v>97</v>
      </c>
      <c r="B10" s="2" t="s">
        <v>98</v>
      </c>
      <c r="C10" s="2">
        <v>3.0000000000000001E-3</v>
      </c>
      <c r="D10" s="2"/>
      <c r="E10" s="2" t="s">
        <v>83</v>
      </c>
      <c r="F10" s="2" t="s">
        <v>84</v>
      </c>
      <c r="H10" s="2" t="s">
        <v>87</v>
      </c>
      <c r="K10" s="2">
        <v>39.016111149444399</v>
      </c>
      <c r="L10" s="2"/>
      <c r="M10" s="2">
        <v>3.1177373289360899</v>
      </c>
      <c r="N10" s="2">
        <v>252.611111111111</v>
      </c>
      <c r="O10" s="2">
        <v>36.331931675308198</v>
      </c>
      <c r="P10" s="2">
        <v>33.984875978333299</v>
      </c>
      <c r="Q10" s="2">
        <v>2.9870075606783302</v>
      </c>
      <c r="R10" s="2">
        <v>3.4919025607777701</v>
      </c>
      <c r="S10" s="2">
        <v>0.97082115948071301</v>
      </c>
      <c r="T10" s="2">
        <v>4.0311786114999997</v>
      </c>
      <c r="U10" s="2">
        <v>2.02397673819089</v>
      </c>
      <c r="V10" s="2">
        <v>0.57298130527777702</v>
      </c>
      <c r="W10" s="2">
        <v>0.24497469611248501</v>
      </c>
      <c r="X10" s="2">
        <v>3.2395638227777699</v>
      </c>
      <c r="Y10" s="2">
        <v>0.49588294623995499</v>
      </c>
      <c r="Z10" s="7">
        <v>90.577689243027905</v>
      </c>
      <c r="AA10" s="2">
        <v>13.0273858596723</v>
      </c>
      <c r="AB10" s="7">
        <v>97.735216946666597</v>
      </c>
      <c r="AC10" s="2">
        <v>7.8099207032484896</v>
      </c>
      <c r="AD10" s="2">
        <v>91.050469602695003</v>
      </c>
      <c r="AE10" s="2">
        <v>45.714678072435802</v>
      </c>
      <c r="AF10" s="2">
        <v>100.499587895373</v>
      </c>
      <c r="AG10" s="2">
        <v>8.8331359243424004</v>
      </c>
      <c r="AH10" s="2">
        <v>93.483710876334499</v>
      </c>
      <c r="AI10" s="2">
        <v>25.990405804825201</v>
      </c>
      <c r="AJ10" s="2">
        <v>121.833482286989</v>
      </c>
      <c r="AK10" s="2">
        <v>52.089169445261199</v>
      </c>
      <c r="AL10" s="2">
        <v>96.216429447117505</v>
      </c>
      <c r="AM10" s="2">
        <v>14.7279353397688</v>
      </c>
      <c r="AN10"/>
      <c r="AO10"/>
    </row>
    <row r="11" spans="1:41" ht="14.25" hidden="1" x14ac:dyDescent="0.45">
      <c r="A11" s="2" t="s">
        <v>97</v>
      </c>
      <c r="B11" s="2" t="s">
        <v>98</v>
      </c>
      <c r="C11" s="2">
        <v>0.01</v>
      </c>
      <c r="D11" s="2"/>
      <c r="E11" s="2" t="s">
        <v>83</v>
      </c>
      <c r="F11" s="2" t="s">
        <v>84</v>
      </c>
      <c r="H11" s="2" t="s">
        <v>87</v>
      </c>
      <c r="K11" s="2">
        <v>49.561660834999998</v>
      </c>
      <c r="L11" s="2"/>
      <c r="M11" s="2">
        <v>10.600881747842299</v>
      </c>
      <c r="N11" s="2">
        <v>189.055555555555</v>
      </c>
      <c r="O11" s="2">
        <v>119.998418199451</v>
      </c>
      <c r="P11" s="2">
        <v>23.430547771111101</v>
      </c>
      <c r="Q11" s="2">
        <v>20.436432615526101</v>
      </c>
      <c r="R11" s="2">
        <v>3.12167468672222</v>
      </c>
      <c r="S11" s="2">
        <v>1.8318097309458401</v>
      </c>
      <c r="T11" s="2">
        <v>8.0059148311111095</v>
      </c>
      <c r="U11" s="2">
        <v>5.5322611075152297</v>
      </c>
      <c r="V11" s="2">
        <v>0.889914141055555</v>
      </c>
      <c r="W11" s="2">
        <v>0.62364725516332997</v>
      </c>
      <c r="X11" s="2">
        <v>2.9976710321111102</v>
      </c>
      <c r="Y11" s="2">
        <v>1.3626958928087001</v>
      </c>
      <c r="Z11" s="7">
        <v>67.788844621513903</v>
      </c>
      <c r="AA11" s="2">
        <v>43.027321266735399</v>
      </c>
      <c r="AB11" s="7">
        <v>124.151780668043</v>
      </c>
      <c r="AC11" s="2">
        <v>26.555170336756799</v>
      </c>
      <c r="AD11" s="2">
        <v>180.82609956610301</v>
      </c>
      <c r="AE11" s="2">
        <v>124.954763940999</v>
      </c>
      <c r="AF11" s="2">
        <v>69.288479871480902</v>
      </c>
      <c r="AG11" s="2">
        <v>60.434325469404399</v>
      </c>
      <c r="AH11" s="2">
        <v>83.572129744225094</v>
      </c>
      <c r="AI11" s="2">
        <v>49.0404208844975</v>
      </c>
      <c r="AJ11" s="2">
        <v>189.22316966113101</v>
      </c>
      <c r="AK11" s="2">
        <v>132.60662453626799</v>
      </c>
      <c r="AL11" s="2">
        <v>89.032110230035599</v>
      </c>
      <c r="AM11" s="2">
        <v>40.472650147044</v>
      </c>
      <c r="AN11"/>
      <c r="AO11"/>
    </row>
    <row r="12" spans="1:41" ht="14.25" hidden="1" x14ac:dyDescent="0.45">
      <c r="A12" s="2" t="s">
        <v>97</v>
      </c>
      <c r="B12" s="2" t="s">
        <v>98</v>
      </c>
      <c r="C12" s="2">
        <v>0.03</v>
      </c>
      <c r="D12" s="2"/>
      <c r="E12" s="2" t="s">
        <v>83</v>
      </c>
      <c r="F12" s="2" t="s">
        <v>84</v>
      </c>
      <c r="H12" s="2" t="s">
        <v>87</v>
      </c>
      <c r="K12" s="2">
        <v>36.965755838888803</v>
      </c>
      <c r="L12" s="2"/>
      <c r="M12" s="2">
        <v>6.2241362480773503</v>
      </c>
      <c r="N12" s="2">
        <v>249.611111111111</v>
      </c>
      <c r="O12" s="2">
        <v>54.863804434590897</v>
      </c>
      <c r="P12" s="2">
        <v>36.515774241666598</v>
      </c>
      <c r="Q12" s="2">
        <v>5.7255008914107899</v>
      </c>
      <c r="R12" s="2">
        <v>3.92291483666666</v>
      </c>
      <c r="S12" s="2">
        <v>1.5350754853335999</v>
      </c>
      <c r="T12" s="2">
        <v>4.1654726068333296</v>
      </c>
      <c r="U12" s="2">
        <v>1.1734264069567</v>
      </c>
      <c r="V12" s="2">
        <v>0.45431957772222198</v>
      </c>
      <c r="W12" s="2">
        <v>5.3603634519062297E-2</v>
      </c>
      <c r="X12" s="2">
        <v>3.4463119000555502</v>
      </c>
      <c r="Y12" s="2">
        <v>0.79024576525142298</v>
      </c>
      <c r="Z12" s="7">
        <v>89.501992031872504</v>
      </c>
      <c r="AA12" s="2">
        <v>19.672280474554501</v>
      </c>
      <c r="AB12" s="7">
        <v>92.599084328853095</v>
      </c>
      <c r="AC12" s="2">
        <v>15.5914387310769</v>
      </c>
      <c r="AD12" s="2">
        <v>94.083709386474297</v>
      </c>
      <c r="AE12" s="2">
        <v>26.503669446156099</v>
      </c>
      <c r="AF12" s="2">
        <v>107.98392394627599</v>
      </c>
      <c r="AG12" s="2">
        <v>16.931369131616702</v>
      </c>
      <c r="AH12" s="2">
        <v>105.02258582546</v>
      </c>
      <c r="AI12" s="2">
        <v>41.096379508456799</v>
      </c>
      <c r="AJ12" s="2">
        <v>96.602342371744399</v>
      </c>
      <c r="AK12" s="2">
        <v>11.397784528991499</v>
      </c>
      <c r="AL12" s="2">
        <v>102.35693566306399</v>
      </c>
      <c r="AM12" s="2">
        <v>23.470636813384498</v>
      </c>
      <c r="AN12"/>
      <c r="AO12"/>
    </row>
    <row r="13" spans="1:41" ht="14.25" hidden="1" x14ac:dyDescent="0.45">
      <c r="A13" s="2" t="s">
        <v>97</v>
      </c>
      <c r="B13" s="2" t="s">
        <v>98</v>
      </c>
      <c r="C13" s="2">
        <v>0.1</v>
      </c>
      <c r="D13" s="2"/>
      <c r="E13" s="2" t="s">
        <v>83</v>
      </c>
      <c r="F13" s="2" t="s">
        <v>84</v>
      </c>
      <c r="H13" s="2" t="s">
        <v>87</v>
      </c>
      <c r="K13" s="2">
        <v>43.428445382777703</v>
      </c>
      <c r="L13" s="2"/>
      <c r="M13" s="2">
        <v>10.810736615748301</v>
      </c>
      <c r="N13" s="2">
        <v>163.333333333333</v>
      </c>
      <c r="O13" s="2">
        <v>129.14666511803901</v>
      </c>
      <c r="P13" s="2">
        <v>24.3654101099999</v>
      </c>
      <c r="Q13" s="2">
        <v>21.101083249066601</v>
      </c>
      <c r="R13" s="2">
        <v>5.8521844759999997</v>
      </c>
      <c r="S13" s="2">
        <v>1.45735595440042</v>
      </c>
      <c r="T13" s="2">
        <v>7.0347600677222202</v>
      </c>
      <c r="U13" s="2">
        <v>5.8620871105122303</v>
      </c>
      <c r="V13" s="2">
        <v>0.234355634611111</v>
      </c>
      <c r="W13" s="2">
        <v>0.28164516868797601</v>
      </c>
      <c r="X13" s="2">
        <v>5.4296827295555499</v>
      </c>
      <c r="Y13" s="2">
        <v>3.2057944108038501</v>
      </c>
      <c r="Z13" s="7">
        <v>58.565737051792802</v>
      </c>
      <c r="AA13" s="2">
        <v>46.307569165830998</v>
      </c>
      <c r="AB13" s="7">
        <v>108.78809820088</v>
      </c>
      <c r="AC13" s="2">
        <v>27.080856019872101</v>
      </c>
      <c r="AD13" s="2">
        <v>158.891051336983</v>
      </c>
      <c r="AE13" s="2">
        <v>132.40439973098501</v>
      </c>
      <c r="AF13" s="2">
        <v>72.0530413739897</v>
      </c>
      <c r="AG13" s="2">
        <v>62.399820791729603</v>
      </c>
      <c r="AH13" s="2">
        <v>156.672161386857</v>
      </c>
      <c r="AI13" s="2">
        <v>39.015705711652998</v>
      </c>
      <c r="AJ13" s="2">
        <v>49.831229736905598</v>
      </c>
      <c r="AK13" s="2">
        <v>59.886441938847597</v>
      </c>
      <c r="AL13" s="2">
        <v>161.263896576224</v>
      </c>
      <c r="AM13" s="2">
        <v>95.213463485522794</v>
      </c>
      <c r="AN13"/>
      <c r="AO13"/>
    </row>
    <row r="14" spans="1:41" ht="14.25" hidden="1" x14ac:dyDescent="0.45">
      <c r="A14" s="2" t="s">
        <v>97</v>
      </c>
      <c r="B14" s="2" t="s">
        <v>98</v>
      </c>
      <c r="C14" s="2">
        <v>0.3</v>
      </c>
      <c r="D14" s="2"/>
      <c r="E14" s="2" t="s">
        <v>83</v>
      </c>
      <c r="F14" s="2" t="s">
        <v>84</v>
      </c>
      <c r="H14" s="2" t="s">
        <v>87</v>
      </c>
      <c r="K14" s="2">
        <v>37.933397751111102</v>
      </c>
      <c r="L14" s="2"/>
      <c r="M14" s="2">
        <v>3.7263606541540599</v>
      </c>
      <c r="N14" s="2">
        <v>246.666666666666</v>
      </c>
      <c r="O14" s="2">
        <v>33.007995664350403</v>
      </c>
      <c r="P14" s="2">
        <v>35.597976731666598</v>
      </c>
      <c r="Q14" s="2">
        <v>1.6261471582567499</v>
      </c>
      <c r="R14" s="2">
        <v>3.8587067971111102</v>
      </c>
      <c r="S14" s="2">
        <v>0.28424690578390899</v>
      </c>
      <c r="T14" s="2">
        <v>3.7967206140555501</v>
      </c>
      <c r="U14" s="2">
        <v>2.5078844082335801</v>
      </c>
      <c r="V14" s="2">
        <v>0.38809080883333302</v>
      </c>
      <c r="W14" s="2">
        <v>0.34604659211469802</v>
      </c>
      <c r="X14" s="2">
        <v>3.4667016581666599</v>
      </c>
      <c r="Y14" s="2">
        <v>0.29364250894594501</v>
      </c>
      <c r="Z14" s="7">
        <v>88.446215139442202</v>
      </c>
      <c r="AA14" s="2">
        <v>11.8355362939902</v>
      </c>
      <c r="AB14" s="7">
        <v>95.023023810045402</v>
      </c>
      <c r="AC14" s="2">
        <v>9.3345199258910601</v>
      </c>
      <c r="AD14" s="2">
        <v>85.754869276645294</v>
      </c>
      <c r="AE14" s="2">
        <v>56.644489139611302</v>
      </c>
      <c r="AF14" s="2">
        <v>105.26982631104499</v>
      </c>
      <c r="AG14" s="2">
        <v>4.8088190572249703</v>
      </c>
      <c r="AH14" s="2">
        <v>103.303635854413</v>
      </c>
      <c r="AI14" s="2">
        <v>7.6097356943078598</v>
      </c>
      <c r="AJ14" s="2">
        <v>82.520065224147402</v>
      </c>
      <c r="AK14" s="2">
        <v>73.580169130370194</v>
      </c>
      <c r="AL14" s="2">
        <v>102.962520189274</v>
      </c>
      <c r="AM14" s="2">
        <v>8.7213079569601799</v>
      </c>
      <c r="AN14"/>
      <c r="AO14"/>
    </row>
    <row r="15" spans="1:41" ht="14.25" hidden="1" x14ac:dyDescent="0.45">
      <c r="A15" s="2" t="s">
        <v>97</v>
      </c>
      <c r="B15" s="2" t="s">
        <v>98</v>
      </c>
      <c r="C15" s="2">
        <v>1</v>
      </c>
      <c r="D15" s="2"/>
      <c r="E15" s="2" t="s">
        <v>83</v>
      </c>
      <c r="F15" s="2" t="s">
        <v>84</v>
      </c>
      <c r="H15" s="2" t="s">
        <v>87</v>
      </c>
      <c r="K15" s="2">
        <v>41.104575619444397</v>
      </c>
      <c r="L15" s="2"/>
      <c r="M15" s="2">
        <v>1.5861824186325</v>
      </c>
      <c r="N15" s="2">
        <v>165.444444444444</v>
      </c>
      <c r="O15" s="2">
        <v>130.377692081861</v>
      </c>
      <c r="P15" s="2">
        <v>27.1205204311111</v>
      </c>
      <c r="Q15" s="2">
        <v>18.912681839093398</v>
      </c>
      <c r="R15" s="2">
        <v>8.3490729261111092</v>
      </c>
      <c r="S15" s="2">
        <v>8.8071117698879693</v>
      </c>
      <c r="T15" s="2">
        <v>3.0649895216666598</v>
      </c>
      <c r="U15" s="2">
        <v>1.0969904816646601</v>
      </c>
      <c r="V15" s="2">
        <v>0.18392074949999901</v>
      </c>
      <c r="W15" s="2">
        <v>0.167364541073832</v>
      </c>
      <c r="X15" s="2">
        <v>2.7683846948333302</v>
      </c>
      <c r="Y15" s="2">
        <v>0.81309446370065896</v>
      </c>
      <c r="Z15" s="7">
        <v>59.322709163346602</v>
      </c>
      <c r="AA15" s="2">
        <v>46.748973256444202</v>
      </c>
      <c r="AB15" s="7">
        <v>102.966812870694</v>
      </c>
      <c r="AC15" s="2">
        <v>3.9733812067593499</v>
      </c>
      <c r="AD15" s="2">
        <v>69.227578872087804</v>
      </c>
      <c r="AE15" s="2">
        <v>24.7772446054155</v>
      </c>
      <c r="AF15" s="2">
        <v>80.200414106921997</v>
      </c>
      <c r="AG15" s="2">
        <v>55.928311524131502</v>
      </c>
      <c r="AH15" s="2">
        <v>223.51778319271199</v>
      </c>
      <c r="AI15" s="2">
        <v>235.78020177297901</v>
      </c>
      <c r="AJ15" s="2">
        <v>39.107218979081601</v>
      </c>
      <c r="AK15" s="2">
        <v>35.586858877539903</v>
      </c>
      <c r="AL15" s="2">
        <v>82.222208063959798</v>
      </c>
      <c r="AM15" s="2">
        <v>24.149252918071902</v>
      </c>
      <c r="AN15"/>
      <c r="AO15"/>
    </row>
    <row r="16" spans="1:41" ht="14.25" hidden="1" x14ac:dyDescent="0.45">
      <c r="A16" s="2" t="s">
        <v>97</v>
      </c>
      <c r="B16" s="2" t="s">
        <v>98</v>
      </c>
      <c r="C16" s="2">
        <v>3</v>
      </c>
      <c r="D16" s="2"/>
      <c r="E16" s="2" t="s">
        <v>83</v>
      </c>
      <c r="F16" s="2" t="s">
        <v>84</v>
      </c>
      <c r="H16" s="2" t="s">
        <v>87</v>
      </c>
      <c r="K16" s="2">
        <v>39.888894261111098</v>
      </c>
      <c r="L16" s="2"/>
      <c r="M16" s="2">
        <v>3.2206051187956599</v>
      </c>
      <c r="N16" s="2">
        <v>242.722222222222</v>
      </c>
      <c r="O16" s="2">
        <v>30.354083256958599</v>
      </c>
      <c r="P16" s="2">
        <v>37.027400950555503</v>
      </c>
      <c r="Q16" s="2">
        <v>2.7837539361282402</v>
      </c>
      <c r="R16" s="2">
        <v>3.0689807593333298</v>
      </c>
      <c r="S16" s="2">
        <v>0.27550526508587198</v>
      </c>
      <c r="T16" s="2">
        <v>4.8421033219444398</v>
      </c>
      <c r="U16" s="2">
        <v>1.2629353302384201</v>
      </c>
      <c r="V16" s="2">
        <v>0.51244816116666603</v>
      </c>
      <c r="W16" s="2">
        <v>7.3530147584329603E-2</v>
      </c>
      <c r="X16" s="2">
        <v>2.9828711113888802</v>
      </c>
      <c r="Y16" s="2">
        <v>0.40408448424909499</v>
      </c>
      <c r="Z16" s="7">
        <v>87.031872509960095</v>
      </c>
      <c r="AA16" s="2">
        <v>10.883934235562799</v>
      </c>
      <c r="AB16" s="7">
        <v>99.921535476450202</v>
      </c>
      <c r="AC16" s="2">
        <v>8.0676041438210202</v>
      </c>
      <c r="AD16" s="2">
        <v>109.366471649283</v>
      </c>
      <c r="AE16" s="2">
        <v>28.525368379362099</v>
      </c>
      <c r="AF16" s="2">
        <v>109.49689911300599</v>
      </c>
      <c r="AG16" s="2">
        <v>8.2320772205075503</v>
      </c>
      <c r="AH16" s="2">
        <v>82.161430623266696</v>
      </c>
      <c r="AI16" s="2">
        <v>7.3757082558623601</v>
      </c>
      <c r="AJ16" s="2">
        <v>108.96227048146299</v>
      </c>
      <c r="AK16" s="2">
        <v>15.6347752548962</v>
      </c>
      <c r="AL16" s="2">
        <v>88.592546262201296</v>
      </c>
      <c r="AM16" s="2">
        <v>12.0014818032171</v>
      </c>
      <c r="AN16"/>
      <c r="AO16"/>
    </row>
    <row r="17" spans="1:41" s="8" customFormat="1" ht="14.25" hidden="1" x14ac:dyDescent="0.45">
      <c r="A17" s="7" t="s">
        <v>97</v>
      </c>
      <c r="B17" s="7" t="s">
        <v>98</v>
      </c>
      <c r="C17" s="7">
        <v>10</v>
      </c>
      <c r="D17" s="7"/>
      <c r="E17" s="7" t="s">
        <v>83</v>
      </c>
      <c r="F17" s="7" t="s">
        <v>84</v>
      </c>
      <c r="H17" s="7" t="s">
        <v>87</v>
      </c>
      <c r="K17" s="7">
        <v>37.0937875222222</v>
      </c>
      <c r="L17" s="7"/>
      <c r="M17" s="7">
        <v>3.1805845701701601</v>
      </c>
      <c r="N17" s="7">
        <v>163</v>
      </c>
      <c r="O17" s="7">
        <v>117.32895351674</v>
      </c>
      <c r="P17" s="7">
        <v>26.946341297166601</v>
      </c>
      <c r="Q17" s="7">
        <v>18.759022582838998</v>
      </c>
      <c r="R17" s="7">
        <v>10.4859436539444</v>
      </c>
      <c r="S17" s="7">
        <v>10.149543139520301</v>
      </c>
      <c r="T17" s="7">
        <v>7.5229022994444401</v>
      </c>
      <c r="U17" s="7">
        <v>8.1532478495303504</v>
      </c>
      <c r="V17" s="7">
        <v>0.38024209688888799</v>
      </c>
      <c r="W17" s="7">
        <v>5.6572422442322703E-2</v>
      </c>
      <c r="X17" s="7">
        <v>2.8793404544999999</v>
      </c>
      <c r="Y17" s="7">
        <v>1.79919428671796</v>
      </c>
      <c r="Z17" s="7">
        <v>58.446215139442202</v>
      </c>
      <c r="AA17" s="7">
        <v>42.070142695245401</v>
      </c>
      <c r="AB17" s="7">
        <v>92.919803231326497</v>
      </c>
      <c r="AC17" s="7">
        <v>7.9673528146391801</v>
      </c>
      <c r="AD17" s="7">
        <v>169.916506598236</v>
      </c>
      <c r="AE17" s="7">
        <v>184.153846066044</v>
      </c>
      <c r="AF17" s="7">
        <v>79.685334069774001</v>
      </c>
      <c r="AG17" s="7">
        <v>55.473912575030802</v>
      </c>
      <c r="AH17" s="7">
        <v>280.72516565082299</v>
      </c>
      <c r="AI17" s="7">
        <v>271.71919601630299</v>
      </c>
      <c r="AJ17" s="7">
        <v>80.851187201686301</v>
      </c>
      <c r="AK17" s="7">
        <v>12.0290403265729</v>
      </c>
      <c r="AL17" s="7">
        <v>85.517641525296995</v>
      </c>
      <c r="AM17" s="7">
        <v>53.436838914079502</v>
      </c>
    </row>
    <row r="18" spans="1:41" ht="14.25" hidden="1" x14ac:dyDescent="0.45">
      <c r="A18" s="2" t="s">
        <v>99</v>
      </c>
      <c r="B18" s="2" t="s">
        <v>100</v>
      </c>
      <c r="C18" s="2">
        <v>3.0000000000000001E-3</v>
      </c>
      <c r="D18" s="2"/>
      <c r="E18" s="2" t="s">
        <v>83</v>
      </c>
      <c r="F18" s="2" t="s">
        <v>84</v>
      </c>
      <c r="H18" s="2">
        <v>5.2</v>
      </c>
      <c r="J18" s="2">
        <v>5.1483668590000002</v>
      </c>
      <c r="K18" s="2">
        <v>47.0903795397222</v>
      </c>
      <c r="L18" s="2"/>
      <c r="M18" s="2">
        <v>2.4070504096714198</v>
      </c>
      <c r="N18" s="2">
        <v>365</v>
      </c>
      <c r="O18" s="2">
        <v>57.7540282385377</v>
      </c>
      <c r="P18" s="2">
        <v>18.8031383742222</v>
      </c>
      <c r="Q18" s="2">
        <v>3.2677139156748001</v>
      </c>
      <c r="R18" s="2">
        <v>4.16180351595</v>
      </c>
      <c r="S18" s="2">
        <v>0.39540619010890798</v>
      </c>
      <c r="T18" s="2">
        <v>3.9347238116311098</v>
      </c>
      <c r="U18" s="2">
        <v>2.1387106528345901</v>
      </c>
      <c r="V18" s="2">
        <v>0.39105298221055501</v>
      </c>
      <c r="W18" s="2">
        <v>1.0633872261304E-2</v>
      </c>
      <c r="X18" s="2">
        <v>3.9036748458222199</v>
      </c>
      <c r="Y18" s="2">
        <v>0.71398954729373498</v>
      </c>
      <c r="Z18" s="7">
        <v>101.85256956825</v>
      </c>
      <c r="AA18" s="2">
        <v>16.116153915102299</v>
      </c>
      <c r="AB18" s="7">
        <v>102.508276570882</v>
      </c>
      <c r="AC18" s="2">
        <v>5.2397664135732702</v>
      </c>
      <c r="AD18" s="2">
        <v>89.1804856436367</v>
      </c>
      <c r="AE18" s="2">
        <v>48.473860886297402</v>
      </c>
      <c r="AF18" s="2">
        <v>97.588696125999505</v>
      </c>
      <c r="AG18" s="2">
        <v>16.9595061205669</v>
      </c>
      <c r="AH18" s="2">
        <v>74.204838528440305</v>
      </c>
      <c r="AI18" s="2">
        <v>7.0500811433621298</v>
      </c>
      <c r="AJ18" s="2">
        <v>96.898344861847505</v>
      </c>
      <c r="AK18" s="2">
        <v>2.6349488904750702</v>
      </c>
      <c r="AL18" s="2">
        <v>116.066696825717</v>
      </c>
      <c r="AM18" s="2">
        <v>21.228819406196699</v>
      </c>
      <c r="AN18"/>
      <c r="AO18"/>
    </row>
    <row r="19" spans="1:41" ht="14.25" hidden="1" x14ac:dyDescent="0.45">
      <c r="A19" s="2" t="s">
        <v>99</v>
      </c>
      <c r="B19" s="2" t="s">
        <v>100</v>
      </c>
      <c r="C19" s="2">
        <v>0.01</v>
      </c>
      <c r="D19" s="2"/>
      <c r="E19" s="2" t="s">
        <v>83</v>
      </c>
      <c r="F19" s="2" t="s">
        <v>84</v>
      </c>
      <c r="H19" s="2">
        <v>5.2</v>
      </c>
      <c r="J19" s="2">
        <v>5.1483668590000002</v>
      </c>
      <c r="K19" s="2">
        <v>46.364583887099997</v>
      </c>
      <c r="L19" s="2"/>
      <c r="M19" s="2">
        <v>3.0739048255764301</v>
      </c>
      <c r="N19" s="2">
        <v>363.56666666666598</v>
      </c>
      <c r="O19" s="2">
        <v>59.736709354001803</v>
      </c>
      <c r="P19" s="2">
        <v>19.149602334544401</v>
      </c>
      <c r="Q19" s="2">
        <v>1.2857491902428599</v>
      </c>
      <c r="R19" s="2">
        <v>5.7974495195377704</v>
      </c>
      <c r="S19" s="2">
        <v>0.86811582191243697</v>
      </c>
      <c r="T19" s="2">
        <v>3.6575346721788802</v>
      </c>
      <c r="U19" s="2">
        <v>0.93098864953430605</v>
      </c>
      <c r="V19" s="2">
        <v>0.51166150708222202</v>
      </c>
      <c r="W19" s="2">
        <v>8.9722445362843697E-2</v>
      </c>
      <c r="X19" s="2">
        <v>3.55875197979777</v>
      </c>
      <c r="Y19" s="2">
        <v>0.454928300088558</v>
      </c>
      <c r="Z19" s="7">
        <v>101.452600573598</v>
      </c>
      <c r="AA19" s="2">
        <v>16.669417384265302</v>
      </c>
      <c r="AB19" s="7">
        <v>100.928334718212</v>
      </c>
      <c r="AC19" s="2">
        <v>6.69140255595015</v>
      </c>
      <c r="AD19" s="2">
        <v>82.897995879445702</v>
      </c>
      <c r="AE19" s="2">
        <v>21.100850750631199</v>
      </c>
      <c r="AF19" s="2">
        <v>99.386851597154703</v>
      </c>
      <c r="AG19" s="2">
        <v>6.67306619371994</v>
      </c>
      <c r="AH19" s="2">
        <v>103.368360333533</v>
      </c>
      <c r="AI19" s="2">
        <v>15.478480457358099</v>
      </c>
      <c r="AJ19" s="2">
        <v>126.783723488115</v>
      </c>
      <c r="AK19" s="2">
        <v>22.232170186944099</v>
      </c>
      <c r="AL19" s="2">
        <v>105.81121723269599</v>
      </c>
      <c r="AM19" s="2">
        <v>13.5262354497396</v>
      </c>
      <c r="AN19"/>
      <c r="AO19"/>
    </row>
    <row r="20" spans="1:41" ht="14.25" hidden="1" x14ac:dyDescent="0.45">
      <c r="A20" s="2" t="s">
        <v>99</v>
      </c>
      <c r="B20" s="2" t="s">
        <v>100</v>
      </c>
      <c r="C20" s="2">
        <v>0.03</v>
      </c>
      <c r="D20" s="2"/>
      <c r="E20" s="2" t="s">
        <v>83</v>
      </c>
      <c r="F20" s="2" t="s">
        <v>84</v>
      </c>
      <c r="H20" s="2">
        <v>5.2</v>
      </c>
      <c r="J20" s="2">
        <v>5.1483668590000002</v>
      </c>
      <c r="K20" s="2">
        <v>46.732829779833303</v>
      </c>
      <c r="L20" s="2"/>
      <c r="M20" s="2">
        <v>0.92953551209360796</v>
      </c>
      <c r="N20" s="2">
        <v>367.222222222222</v>
      </c>
      <c r="O20" s="2">
        <v>8.3155365520281901</v>
      </c>
      <c r="P20" s="2">
        <v>18.6039923766111</v>
      </c>
      <c r="Q20" s="2">
        <v>0.467986983273877</v>
      </c>
      <c r="R20" s="2">
        <v>6.4822033027000003</v>
      </c>
      <c r="S20" s="2">
        <v>3.19156019123451</v>
      </c>
      <c r="T20" s="2">
        <v>3.79049272980222</v>
      </c>
      <c r="U20" s="2">
        <v>1.1787921378019</v>
      </c>
      <c r="V20" s="2">
        <v>0.46413682769444398</v>
      </c>
      <c r="W20" s="2">
        <v>0.17590975273319001</v>
      </c>
      <c r="X20" s="2">
        <v>3.5076447590944402</v>
      </c>
      <c r="Y20" s="2">
        <v>0.79946397485684595</v>
      </c>
      <c r="Z20" s="7">
        <v>102.472676536702</v>
      </c>
      <c r="AA20" s="2">
        <v>2.3204349730487102</v>
      </c>
      <c r="AB20" s="7">
        <v>101.72994753567799</v>
      </c>
      <c r="AC20" s="2">
        <v>2.0234511653441301</v>
      </c>
      <c r="AD20" s="2">
        <v>85.911489257057994</v>
      </c>
      <c r="AE20" s="2">
        <v>26.717314951388101</v>
      </c>
      <c r="AF20" s="2">
        <v>96.555124077610898</v>
      </c>
      <c r="AG20" s="2">
        <v>2.4288625969081998</v>
      </c>
      <c r="AH20" s="2">
        <v>115.57750084594601</v>
      </c>
      <c r="AI20" s="2">
        <v>56.905427595683797</v>
      </c>
      <c r="AJ20" s="2">
        <v>115.007665045256</v>
      </c>
      <c r="AK20" s="2">
        <v>43.588374620105199</v>
      </c>
      <c r="AL20" s="2">
        <v>104.29166283196901</v>
      </c>
      <c r="AM20" s="2">
        <v>23.770202810846001</v>
      </c>
      <c r="AN20"/>
      <c r="AO20"/>
    </row>
    <row r="21" spans="1:41" ht="15.75" hidden="1" customHeight="1" x14ac:dyDescent="0.45">
      <c r="A21" s="2" t="s">
        <v>99</v>
      </c>
      <c r="B21" s="2" t="s">
        <v>100</v>
      </c>
      <c r="C21" s="2">
        <v>0.1</v>
      </c>
      <c r="D21" s="2"/>
      <c r="E21" s="2" t="s">
        <v>83</v>
      </c>
      <c r="F21" s="2" t="s">
        <v>84</v>
      </c>
      <c r="H21" s="2">
        <v>5.2</v>
      </c>
      <c r="J21" s="2">
        <v>5.1483668590000002</v>
      </c>
      <c r="K21" s="2">
        <v>46.109546902111099</v>
      </c>
      <c r="L21" s="2"/>
      <c r="M21" s="2">
        <v>0.58757448324324002</v>
      </c>
      <c r="N21" s="2">
        <v>314.27777777777698</v>
      </c>
      <c r="O21" s="2">
        <v>2.5891511550577899</v>
      </c>
      <c r="P21" s="2">
        <v>19.922163218833301</v>
      </c>
      <c r="Q21" s="2">
        <v>0.59974562346453097</v>
      </c>
      <c r="R21" s="2">
        <v>6.6195399539611097</v>
      </c>
      <c r="S21" s="2">
        <v>1.68617210094652</v>
      </c>
      <c r="T21" s="2">
        <v>4.8733849725055496</v>
      </c>
      <c r="U21" s="2">
        <v>0.15536329069830701</v>
      </c>
      <c r="V21" s="2">
        <v>0.48971068612055502</v>
      </c>
      <c r="W21" s="2">
        <v>0.12009955502620399</v>
      </c>
      <c r="X21" s="2">
        <v>3.12307038365</v>
      </c>
      <c r="Y21" s="2">
        <v>0.60726288025158603</v>
      </c>
      <c r="Z21" s="7">
        <v>87.698628013332296</v>
      </c>
      <c r="AA21" s="2">
        <v>0.72249780313216505</v>
      </c>
      <c r="AB21" s="7">
        <v>100.37315971116</v>
      </c>
      <c r="AC21" s="2">
        <v>1.2790563215462001</v>
      </c>
      <c r="AD21" s="2">
        <v>110.45523380617701</v>
      </c>
      <c r="AE21" s="2">
        <v>3.5213078170091201</v>
      </c>
      <c r="AF21" s="2">
        <v>103.396459348542</v>
      </c>
      <c r="AG21" s="2">
        <v>3.1126927982094998</v>
      </c>
      <c r="AH21" s="2">
        <v>118.026209438702</v>
      </c>
      <c r="AI21" s="2">
        <v>30.064400686474102</v>
      </c>
      <c r="AJ21" s="2">
        <v>121.344567372949</v>
      </c>
      <c r="AK21" s="2">
        <v>29.759261864975699</v>
      </c>
      <c r="AL21" s="2">
        <v>92.857237782602994</v>
      </c>
      <c r="AM21" s="2">
        <v>18.0555500648586</v>
      </c>
      <c r="AN21"/>
      <c r="AO21"/>
    </row>
    <row r="22" spans="1:41" ht="15.75" hidden="1" customHeight="1" x14ac:dyDescent="0.45">
      <c r="A22" s="2" t="s">
        <v>99</v>
      </c>
      <c r="B22" s="2" t="s">
        <v>100</v>
      </c>
      <c r="C22" s="2">
        <v>0.3</v>
      </c>
      <c r="D22" s="2"/>
      <c r="E22" s="2" t="s">
        <v>83</v>
      </c>
      <c r="F22" s="2" t="s">
        <v>84</v>
      </c>
      <c r="H22" s="2">
        <v>5.2</v>
      </c>
      <c r="J22" s="2">
        <v>5.1483668590000002</v>
      </c>
      <c r="K22" s="2">
        <v>42.8156225875777</v>
      </c>
      <c r="L22" s="2"/>
      <c r="M22" s="2">
        <v>1.5044730905029</v>
      </c>
      <c r="N22" s="2">
        <v>270.53333333333302</v>
      </c>
      <c r="O22" s="2">
        <v>37.3349404415994</v>
      </c>
      <c r="P22" s="2">
        <v>17.4507142273333</v>
      </c>
      <c r="Q22" s="2">
        <v>0.14990293813056799</v>
      </c>
      <c r="R22" s="2">
        <v>5.3864440737827701</v>
      </c>
      <c r="S22" s="2">
        <v>1.17122441073784</v>
      </c>
      <c r="T22" s="2">
        <v>4.4572638548655501</v>
      </c>
      <c r="U22" s="2">
        <v>0.92597498063082295</v>
      </c>
      <c r="V22" s="2">
        <v>0.370296904368</v>
      </c>
      <c r="W22" s="2">
        <v>7.4832606246668806E-2</v>
      </c>
      <c r="X22" s="2">
        <v>3.6178225935928801</v>
      </c>
      <c r="Y22" s="2">
        <v>1.1135823190335701</v>
      </c>
      <c r="Z22" s="7">
        <v>75.491822339353504</v>
      </c>
      <c r="AA22" s="2">
        <v>10.418245530560201</v>
      </c>
      <c r="AB22" s="7">
        <v>93.202809674951396</v>
      </c>
      <c r="AC22" s="2">
        <v>3.27499895227287</v>
      </c>
      <c r="AD22" s="2">
        <v>101.02385179964</v>
      </c>
      <c r="AE22" s="2">
        <v>20.9872159825828</v>
      </c>
      <c r="AF22" s="2">
        <v>90.569585460668193</v>
      </c>
      <c r="AG22" s="2">
        <v>0.77799950127866002</v>
      </c>
      <c r="AH22" s="2">
        <v>96.040144904891505</v>
      </c>
      <c r="AI22" s="2">
        <v>20.882897990327301</v>
      </c>
      <c r="AJ22" s="2">
        <v>91.755232086186894</v>
      </c>
      <c r="AK22" s="2">
        <v>18.5426426005269</v>
      </c>
      <c r="AL22" s="2">
        <v>107.56754461483</v>
      </c>
      <c r="AM22" s="2">
        <v>33.1097815567488</v>
      </c>
      <c r="AN22"/>
      <c r="AO22"/>
    </row>
    <row r="23" spans="1:41" ht="15.75" hidden="1" customHeight="1" x14ac:dyDescent="0.45">
      <c r="A23" s="2" t="s">
        <v>99</v>
      </c>
      <c r="B23" s="2" t="s">
        <v>100</v>
      </c>
      <c r="C23" s="2">
        <v>1</v>
      </c>
      <c r="D23" s="2"/>
      <c r="E23" s="2" t="s">
        <v>83</v>
      </c>
      <c r="F23" s="2" t="s">
        <v>84</v>
      </c>
      <c r="H23" s="2">
        <v>5.2</v>
      </c>
      <c r="J23" s="2">
        <v>5.1483668590000002</v>
      </c>
      <c r="K23" s="2">
        <v>41.509399671388799</v>
      </c>
      <c r="L23" s="2"/>
      <c r="M23" s="2">
        <v>2.6193838544864199</v>
      </c>
      <c r="N23" s="2">
        <v>270</v>
      </c>
      <c r="O23" s="2">
        <v>19.2035876277792</v>
      </c>
      <c r="P23" s="2">
        <v>18.399979974166602</v>
      </c>
      <c r="Q23" s="2">
        <v>1.46381162298914</v>
      </c>
      <c r="R23" s="2">
        <v>5.2835895505222199</v>
      </c>
      <c r="S23" s="2">
        <v>0.58141695832340301</v>
      </c>
      <c r="T23" s="2">
        <v>3.59063633845888</v>
      </c>
      <c r="U23" s="2">
        <v>1.2029815851160599</v>
      </c>
      <c r="V23" s="2">
        <v>0.28822983270444402</v>
      </c>
      <c r="W23" s="2">
        <v>8.9360070168196901E-2</v>
      </c>
      <c r="X23" s="2">
        <v>3.4661873849111098</v>
      </c>
      <c r="Y23" s="2">
        <v>0.50723244827645697</v>
      </c>
      <c r="Z23" s="7">
        <v>75.342996666925004</v>
      </c>
      <c r="AA23" s="2">
        <v>5.3587253282695304</v>
      </c>
      <c r="AB23" s="7">
        <v>90.359369862728897</v>
      </c>
      <c r="AC23" s="2">
        <v>5.7019825965620701</v>
      </c>
      <c r="AD23" s="2">
        <v>81.381745648040905</v>
      </c>
      <c r="AE23" s="2">
        <v>27.265568593117901</v>
      </c>
      <c r="AF23" s="2">
        <v>95.496295282552893</v>
      </c>
      <c r="AG23" s="2">
        <v>7.5972140830188701</v>
      </c>
      <c r="AH23" s="2">
        <v>94.206251675377302</v>
      </c>
      <c r="AI23" s="2">
        <v>10.366647859452501</v>
      </c>
      <c r="AJ23" s="2">
        <v>71.419973761586107</v>
      </c>
      <c r="AK23" s="2">
        <v>22.1423778616644</v>
      </c>
      <c r="AL23" s="2">
        <v>103.05902418490599</v>
      </c>
      <c r="AM23" s="2">
        <v>15.081377706771899</v>
      </c>
      <c r="AN23"/>
      <c r="AO23"/>
    </row>
    <row r="24" spans="1:41" ht="15.75" hidden="1" customHeight="1" x14ac:dyDescent="0.45">
      <c r="A24" s="2" t="s">
        <v>99</v>
      </c>
      <c r="B24" s="2" t="s">
        <v>100</v>
      </c>
      <c r="C24" s="2">
        <v>3</v>
      </c>
      <c r="D24" s="2"/>
      <c r="E24" s="2" t="s">
        <v>83</v>
      </c>
      <c r="F24" s="2" t="s">
        <v>84</v>
      </c>
      <c r="H24" s="2">
        <v>5.2</v>
      </c>
      <c r="J24" s="2">
        <v>5.1483668590000002</v>
      </c>
      <c r="K24" s="2">
        <v>39.474974302666602</v>
      </c>
      <c r="L24" s="2"/>
      <c r="M24" s="2">
        <v>2.28719059815421</v>
      </c>
      <c r="N24" s="2">
        <v>253.555555555555</v>
      </c>
      <c r="O24" s="2">
        <v>21.364777174211401</v>
      </c>
      <c r="P24" s="2">
        <v>24.5603385673333</v>
      </c>
      <c r="Q24" s="2">
        <v>1.97733107546718</v>
      </c>
      <c r="R24" s="2">
        <v>4.9071353870683296</v>
      </c>
      <c r="S24" s="2">
        <v>1.12624072910977</v>
      </c>
      <c r="T24" s="2">
        <v>4.2256161419666602</v>
      </c>
      <c r="U24" s="2">
        <v>0.96628237919040005</v>
      </c>
      <c r="V24" s="2">
        <v>0.50196079242666602</v>
      </c>
      <c r="W24" s="2">
        <v>0.38530125423209999</v>
      </c>
      <c r="X24" s="2">
        <v>3.6529075703333298</v>
      </c>
      <c r="Y24" s="2">
        <v>0.33091812280879801</v>
      </c>
      <c r="Z24" s="7">
        <v>70.754205100379806</v>
      </c>
      <c r="AA24" s="2">
        <v>5.9618012423193001</v>
      </c>
      <c r="AB24" s="7">
        <v>85.930748976717894</v>
      </c>
      <c r="AC24" s="2">
        <v>4.9788506420540504</v>
      </c>
      <c r="AD24" s="2">
        <v>95.773558126297203</v>
      </c>
      <c r="AE24" s="2">
        <v>21.9007828682557</v>
      </c>
      <c r="AF24" s="2">
        <v>127.468690039797</v>
      </c>
      <c r="AG24" s="2">
        <v>10.262391182995501</v>
      </c>
      <c r="AH24" s="2">
        <v>87.494084629192699</v>
      </c>
      <c r="AI24" s="2">
        <v>20.080840224064801</v>
      </c>
      <c r="AJ24" s="2">
        <v>124.38000011337699</v>
      </c>
      <c r="AK24" s="2">
        <v>95.473134093584505</v>
      </c>
      <c r="AL24" s="2">
        <v>108.610714837583</v>
      </c>
      <c r="AM24" s="2">
        <v>9.8390811097624304</v>
      </c>
      <c r="AN24"/>
      <c r="AO24"/>
    </row>
    <row r="25" spans="1:41" s="8" customFormat="1" ht="15.75" hidden="1" customHeight="1" x14ac:dyDescent="0.45">
      <c r="A25" s="7" t="s">
        <v>99</v>
      </c>
      <c r="B25" s="7" t="s">
        <v>100</v>
      </c>
      <c r="C25" s="7">
        <v>10</v>
      </c>
      <c r="D25" s="7"/>
      <c r="E25" s="7" t="s">
        <v>83</v>
      </c>
      <c r="F25" s="7" t="s">
        <v>84</v>
      </c>
      <c r="H25" s="7">
        <v>5.2</v>
      </c>
      <c r="J25" s="7">
        <v>5.1483668590000002</v>
      </c>
      <c r="K25" s="7">
        <v>27.714170876444399</v>
      </c>
      <c r="L25" s="7"/>
      <c r="M25" s="7">
        <v>1.1988895697881099</v>
      </c>
      <c r="N25" s="7">
        <v>154.611111111111</v>
      </c>
      <c r="O25" s="7">
        <v>1.66944213347729</v>
      </c>
      <c r="P25" s="7">
        <v>25.123165429555499</v>
      </c>
      <c r="Q25" s="7">
        <v>4.3249302136983996</v>
      </c>
      <c r="R25" s="7">
        <v>4.5226401915555501</v>
      </c>
      <c r="S25" s="7">
        <v>0.521540734687306</v>
      </c>
      <c r="T25" s="7">
        <v>5.3369651850777702</v>
      </c>
      <c r="U25" s="7">
        <v>1.59687565054634</v>
      </c>
      <c r="V25" s="7">
        <v>0.95897927709777697</v>
      </c>
      <c r="W25" s="7">
        <v>0.16324400170415501</v>
      </c>
      <c r="X25" s="7">
        <v>4.1194190892999902</v>
      </c>
      <c r="Y25" s="7">
        <v>0.42904545368357599</v>
      </c>
      <c r="Z25" s="7">
        <v>43.1439423300519</v>
      </c>
      <c r="AA25" s="7">
        <v>0.465854715178533</v>
      </c>
      <c r="AB25" s="7">
        <v>60.329347966687202</v>
      </c>
      <c r="AC25" s="7">
        <v>2.6097921655976402</v>
      </c>
      <c r="AD25" s="7">
        <v>120.962275842968</v>
      </c>
      <c r="AE25" s="7">
        <v>36.193174628230501</v>
      </c>
      <c r="AF25" s="7">
        <v>130.38977366614799</v>
      </c>
      <c r="AG25" s="7">
        <v>22.446481645286799</v>
      </c>
      <c r="AH25" s="7">
        <v>80.638546209697196</v>
      </c>
      <c r="AI25" s="7">
        <v>9.2990564920125909</v>
      </c>
      <c r="AJ25" s="7">
        <v>237.62382320243401</v>
      </c>
      <c r="AK25" s="7">
        <v>40.449949989744198</v>
      </c>
      <c r="AL25" s="7">
        <v>122.481350373624</v>
      </c>
      <c r="AM25" s="7">
        <v>12.756669180692199</v>
      </c>
    </row>
    <row r="26" spans="1:41" ht="15.75" hidden="1" customHeight="1" x14ac:dyDescent="0.45">
      <c r="A26" s="2" t="s">
        <v>101</v>
      </c>
      <c r="B26" s="2" t="s">
        <v>102</v>
      </c>
      <c r="C26" s="2">
        <v>3.0000000000000001E-3</v>
      </c>
      <c r="D26" s="2"/>
      <c r="E26" s="2" t="s">
        <v>83</v>
      </c>
      <c r="F26" s="2" t="s">
        <v>84</v>
      </c>
      <c r="H26" s="2">
        <v>1.8</v>
      </c>
      <c r="J26" s="2">
        <v>1.848210852</v>
      </c>
      <c r="K26" s="2">
        <v>36.861331627222199</v>
      </c>
      <c r="L26" s="2"/>
      <c r="M26" s="2">
        <v>1.7015903387817799</v>
      </c>
      <c r="N26" s="2">
        <v>272.83333333333297</v>
      </c>
      <c r="O26" s="2">
        <v>21.020492646727099</v>
      </c>
      <c r="P26" s="2">
        <v>34.9497070283333</v>
      </c>
      <c r="Q26" s="2">
        <v>2.4285492626841299</v>
      </c>
      <c r="R26" s="2">
        <v>3.612574113</v>
      </c>
      <c r="S26" s="2">
        <v>0.25209493312342302</v>
      </c>
      <c r="T26" s="2">
        <v>4.3814614934999998</v>
      </c>
      <c r="U26" s="2">
        <v>1.6639424692924401</v>
      </c>
      <c r="V26" s="2">
        <v>0.28675098766666601</v>
      </c>
      <c r="W26" s="2">
        <v>0.1138622950843</v>
      </c>
      <c r="X26" s="2">
        <v>3.4892401184444402</v>
      </c>
      <c r="Y26" s="2">
        <v>0.340554834174571</v>
      </c>
      <c r="Z26" s="7">
        <v>97.8286852589641</v>
      </c>
      <c r="AA26" s="2">
        <v>7.5372284390655002</v>
      </c>
      <c r="AB26" s="7">
        <v>92.337502057297797</v>
      </c>
      <c r="AC26" s="2">
        <v>4.26247762823379</v>
      </c>
      <c r="AD26" s="2">
        <v>98.962155978709504</v>
      </c>
      <c r="AE26" s="2">
        <v>37.5827413820722</v>
      </c>
      <c r="AF26" s="2">
        <v>103.35277244062399</v>
      </c>
      <c r="AG26" s="2">
        <v>7.1816710538820603</v>
      </c>
      <c r="AH26" s="2">
        <v>96.714277681276499</v>
      </c>
      <c r="AI26" s="2">
        <v>6.7489769348689297</v>
      </c>
      <c r="AJ26" s="2">
        <v>60.972096392790498</v>
      </c>
      <c r="AK26" s="2">
        <v>24.210632674278799</v>
      </c>
      <c r="AL26" s="2">
        <v>103.631922087738</v>
      </c>
      <c r="AM26" s="2">
        <v>10.1146240567461</v>
      </c>
      <c r="AN26"/>
      <c r="AO26"/>
    </row>
    <row r="27" spans="1:41" ht="15.75" hidden="1" customHeight="1" x14ac:dyDescent="0.45">
      <c r="A27" s="2" t="s">
        <v>101</v>
      </c>
      <c r="B27" s="2" t="s">
        <v>102</v>
      </c>
      <c r="C27" s="2">
        <v>0.01</v>
      </c>
      <c r="D27" s="2"/>
      <c r="E27" s="2" t="s">
        <v>83</v>
      </c>
      <c r="F27" s="2" t="s">
        <v>84</v>
      </c>
      <c r="H27" s="2">
        <v>1.8</v>
      </c>
      <c r="J27" s="2">
        <v>1.848210852</v>
      </c>
      <c r="K27" s="2">
        <v>38.072612053888797</v>
      </c>
      <c r="L27" s="2"/>
      <c r="M27" s="2">
        <v>2.0545358047503299</v>
      </c>
      <c r="N27" s="2">
        <v>256.888888888888</v>
      </c>
      <c r="O27" s="2">
        <v>11.336192449815499</v>
      </c>
      <c r="P27" s="2">
        <v>34.516264486111098</v>
      </c>
      <c r="Q27" s="2">
        <v>3.00224985011012</v>
      </c>
      <c r="R27" s="2">
        <v>3.1269144603333299</v>
      </c>
      <c r="S27" s="2">
        <v>0.62425059740728095</v>
      </c>
      <c r="T27" s="2">
        <v>3.8690953651666602</v>
      </c>
      <c r="U27" s="2">
        <v>1.56772491735426</v>
      </c>
      <c r="V27" s="2">
        <v>0.41112369144444399</v>
      </c>
      <c r="W27" s="2">
        <v>9.8324957712706204E-2</v>
      </c>
      <c r="X27" s="2">
        <v>2.9587401046111101</v>
      </c>
      <c r="Y27" s="2">
        <v>0.53746205871275698</v>
      </c>
      <c r="Z27" s="7">
        <v>92.111553784860504</v>
      </c>
      <c r="AA27" s="2">
        <v>4.0647702011290896</v>
      </c>
      <c r="AB27" s="7">
        <v>95.371755133676004</v>
      </c>
      <c r="AC27" s="2">
        <v>5.1466047406118101</v>
      </c>
      <c r="AD27" s="2">
        <v>87.389566150965294</v>
      </c>
      <c r="AE27" s="2">
        <v>35.409517585190102</v>
      </c>
      <c r="AF27" s="2">
        <v>102.07100237039</v>
      </c>
      <c r="AG27" s="2">
        <v>8.8782102040735609</v>
      </c>
      <c r="AH27" s="2">
        <v>83.712406705793398</v>
      </c>
      <c r="AI27" s="2">
        <v>16.712168036384998</v>
      </c>
      <c r="AJ27" s="2">
        <v>87.417565840260394</v>
      </c>
      <c r="AK27" s="2">
        <v>20.906915956101699</v>
      </c>
      <c r="AL27" s="2">
        <v>87.8758450523665</v>
      </c>
      <c r="AM27" s="2">
        <v>15.9628527424094</v>
      </c>
      <c r="AN27"/>
      <c r="AO27"/>
    </row>
    <row r="28" spans="1:41" ht="15.75" hidden="1" customHeight="1" x14ac:dyDescent="0.45">
      <c r="A28" s="2" t="s">
        <v>101</v>
      </c>
      <c r="B28" s="2" t="s">
        <v>102</v>
      </c>
      <c r="C28" s="2">
        <v>0.03</v>
      </c>
      <c r="D28" s="2"/>
      <c r="E28" s="2" t="s">
        <v>83</v>
      </c>
      <c r="F28" s="2" t="s">
        <v>84</v>
      </c>
      <c r="H28" s="2">
        <v>1.8</v>
      </c>
      <c r="J28" s="2">
        <v>1.848210852</v>
      </c>
      <c r="K28" s="2">
        <v>41.470729159444403</v>
      </c>
      <c r="L28" s="2"/>
      <c r="M28" s="2">
        <v>1.3627575462288499</v>
      </c>
      <c r="N28" s="2">
        <v>250.611111111111</v>
      </c>
      <c r="O28" s="2">
        <v>26.434580326477999</v>
      </c>
      <c r="P28" s="2">
        <v>37.4028692533333</v>
      </c>
      <c r="Q28" s="2">
        <v>2.7851270298870801</v>
      </c>
      <c r="R28" s="2">
        <v>2.80812552566666</v>
      </c>
      <c r="S28" s="2">
        <v>0.54763392695046798</v>
      </c>
      <c r="T28" s="2">
        <v>4.0935171948888804</v>
      </c>
      <c r="U28" s="2">
        <v>0.73513997444294499</v>
      </c>
      <c r="V28" s="2">
        <v>0.44636338133333298</v>
      </c>
      <c r="W28" s="2">
        <v>0.17831430843743501</v>
      </c>
      <c r="X28" s="2">
        <v>2.9427143283333299</v>
      </c>
      <c r="Y28" s="2">
        <v>0.65764549210225598</v>
      </c>
      <c r="Z28" s="7">
        <v>89.860557768924295</v>
      </c>
      <c r="AA28" s="2">
        <v>9.47853477841843</v>
      </c>
      <c r="AB28" s="7">
        <v>103.884026160625</v>
      </c>
      <c r="AC28" s="2">
        <v>3.4137027115856098</v>
      </c>
      <c r="AD28" s="2">
        <v>92.458483942653302</v>
      </c>
      <c r="AE28" s="2">
        <v>16.6042853337716</v>
      </c>
      <c r="AF28" s="2">
        <v>110.607228593713</v>
      </c>
      <c r="AG28" s="2">
        <v>8.2361377136808294</v>
      </c>
      <c r="AH28" s="2">
        <v>75.177926696615998</v>
      </c>
      <c r="AI28" s="2">
        <v>14.661019545088999</v>
      </c>
      <c r="AJ28" s="2">
        <v>94.910609844192706</v>
      </c>
      <c r="AK28" s="2">
        <v>37.915116843117801</v>
      </c>
      <c r="AL28" s="2">
        <v>87.399872650858498</v>
      </c>
      <c r="AM28" s="2">
        <v>19.532352055288399</v>
      </c>
      <c r="AN28"/>
      <c r="AO28"/>
    </row>
    <row r="29" spans="1:41" ht="15.75" hidden="1" customHeight="1" x14ac:dyDescent="0.45">
      <c r="A29" s="2" t="s">
        <v>101</v>
      </c>
      <c r="B29" s="2" t="s">
        <v>102</v>
      </c>
      <c r="C29" s="2">
        <v>0.1</v>
      </c>
      <c r="D29" s="2"/>
      <c r="E29" s="2" t="s">
        <v>83</v>
      </c>
      <c r="F29" s="2" t="s">
        <v>84</v>
      </c>
      <c r="H29" s="2">
        <v>1.8</v>
      </c>
      <c r="J29" s="2">
        <v>1.848210852</v>
      </c>
      <c r="K29" s="2">
        <v>40.502943928333302</v>
      </c>
      <c r="L29" s="2"/>
      <c r="M29" s="2">
        <v>1.6257244779825499</v>
      </c>
      <c r="N29" s="2">
        <v>293.222222222222</v>
      </c>
      <c r="O29" s="2">
        <v>46.851518810117703</v>
      </c>
      <c r="P29" s="2">
        <v>32.4503044722222</v>
      </c>
      <c r="Q29" s="2">
        <v>0.35543725068610199</v>
      </c>
      <c r="R29" s="2">
        <v>3.31141773416666</v>
      </c>
      <c r="S29" s="2">
        <v>0.49678439538469799</v>
      </c>
      <c r="T29" s="2">
        <v>4.0501917542222197</v>
      </c>
      <c r="U29" s="2">
        <v>1.81853051390707</v>
      </c>
      <c r="V29" s="2">
        <v>0.38145208555555499</v>
      </c>
      <c r="W29" s="2">
        <v>7.6521082157940998E-2</v>
      </c>
      <c r="X29" s="2">
        <v>3.00779085972222</v>
      </c>
      <c r="Y29" s="2">
        <v>0.43052216291341799</v>
      </c>
      <c r="Z29" s="7">
        <v>105.13944223107499</v>
      </c>
      <c r="AA29" s="2">
        <v>16.799349374145802</v>
      </c>
      <c r="AB29" s="7">
        <v>101.459727666136</v>
      </c>
      <c r="AC29" s="2">
        <v>4.0724339220413102</v>
      </c>
      <c r="AD29" s="2">
        <v>91.4799111482874</v>
      </c>
      <c r="AE29" s="2">
        <v>41.074353988115099</v>
      </c>
      <c r="AF29" s="2">
        <v>95.961575043466098</v>
      </c>
      <c r="AG29" s="2">
        <v>1.0510939407103099</v>
      </c>
      <c r="AH29" s="2">
        <v>88.651848859909705</v>
      </c>
      <c r="AI29" s="2">
        <v>13.299697794451999</v>
      </c>
      <c r="AJ29" s="2">
        <v>81.108468078793294</v>
      </c>
      <c r="AK29" s="2">
        <v>16.270740112805399</v>
      </c>
      <c r="AL29" s="2">
        <v>89.332673433178996</v>
      </c>
      <c r="AM29" s="2">
        <v>12.786692153470399</v>
      </c>
      <c r="AN29"/>
      <c r="AO29"/>
    </row>
    <row r="30" spans="1:41" ht="15.75" hidden="1" customHeight="1" x14ac:dyDescent="0.45">
      <c r="A30" s="2" t="s">
        <v>101</v>
      </c>
      <c r="B30" s="2" t="s">
        <v>102</v>
      </c>
      <c r="C30" s="2">
        <v>0.3</v>
      </c>
      <c r="D30" s="2"/>
      <c r="E30" s="2" t="s">
        <v>83</v>
      </c>
      <c r="F30" s="2" t="s">
        <v>84</v>
      </c>
      <c r="H30" s="2">
        <v>1.8</v>
      </c>
      <c r="J30" s="2">
        <v>1.848210852</v>
      </c>
      <c r="K30" s="2">
        <v>34.629761261666602</v>
      </c>
      <c r="L30" s="2"/>
      <c r="M30" s="2">
        <v>2.4814094117871099</v>
      </c>
      <c r="N30" s="2">
        <v>209.944444444444</v>
      </c>
      <c r="O30" s="2">
        <v>25.891511550513599</v>
      </c>
      <c r="P30" s="2">
        <v>38.859681032777701</v>
      </c>
      <c r="Q30" s="2">
        <v>1.4502281874776299</v>
      </c>
      <c r="R30" s="2">
        <v>2.3777565867777701</v>
      </c>
      <c r="S30" s="2">
        <v>0.41035986868913998</v>
      </c>
      <c r="T30" s="2">
        <v>3.25502259955555</v>
      </c>
      <c r="U30" s="2">
        <v>0.29724309685859501</v>
      </c>
      <c r="V30" s="2">
        <v>0.50498245188888802</v>
      </c>
      <c r="W30" s="2">
        <v>5.0605395088044E-2</v>
      </c>
      <c r="X30" s="2">
        <v>2.65552287327777</v>
      </c>
      <c r="Y30" s="2">
        <v>0.29212448942948299</v>
      </c>
      <c r="Z30" s="7">
        <v>75.278884462151396</v>
      </c>
      <c r="AA30" s="2">
        <v>9.2838089224949201</v>
      </c>
      <c r="AB30" s="7">
        <v>86.747426383842793</v>
      </c>
      <c r="AC30" s="2">
        <v>6.2159215782828596</v>
      </c>
      <c r="AD30" s="2">
        <v>73.519772954599702</v>
      </c>
      <c r="AE30" s="2">
        <v>6.7136999283353296</v>
      </c>
      <c r="AF30" s="2">
        <v>114.915291497007</v>
      </c>
      <c r="AG30" s="2">
        <v>4.2885939995389597</v>
      </c>
      <c r="AH30" s="2">
        <v>63.656274888473199</v>
      </c>
      <c r="AI30" s="2">
        <v>10.985977601631999</v>
      </c>
      <c r="AJ30" s="2">
        <v>107.374830628407</v>
      </c>
      <c r="AK30" s="2">
        <v>10.760266433293699</v>
      </c>
      <c r="AL30" s="2">
        <v>78.870163750271303</v>
      </c>
      <c r="AM30" s="2">
        <v>8.6762221288378498</v>
      </c>
      <c r="AN30"/>
      <c r="AO30"/>
    </row>
    <row r="31" spans="1:41" ht="15.75" hidden="1" customHeight="1" x14ac:dyDescent="0.45">
      <c r="A31" s="2" t="s">
        <v>101</v>
      </c>
      <c r="B31" s="2" t="s">
        <v>102</v>
      </c>
      <c r="C31" s="2">
        <v>1</v>
      </c>
      <c r="D31" s="2"/>
      <c r="E31" s="2" t="s">
        <v>83</v>
      </c>
      <c r="F31" s="2" t="s">
        <v>84</v>
      </c>
      <c r="H31" s="2">
        <v>1.8</v>
      </c>
      <c r="J31" s="2">
        <v>1.848210852</v>
      </c>
      <c r="K31" s="2">
        <v>37.120814376111099</v>
      </c>
      <c r="L31" s="2"/>
      <c r="M31" s="2">
        <v>2.0815230470706698</v>
      </c>
      <c r="N31" s="2">
        <v>241</v>
      </c>
      <c r="O31" s="2">
        <v>30.024064422467301</v>
      </c>
      <c r="P31" s="2">
        <v>28.703081805555499</v>
      </c>
      <c r="Q31" s="2">
        <v>0.94480121064018996</v>
      </c>
      <c r="R31" s="2">
        <v>3.4878080955000001</v>
      </c>
      <c r="S31" s="2">
        <v>0.57080427331289896</v>
      </c>
      <c r="T31" s="2">
        <v>4.3713970016111103</v>
      </c>
      <c r="U31" s="2">
        <v>1.7477656990950301</v>
      </c>
      <c r="V31" s="2">
        <v>0.28920415783333298</v>
      </c>
      <c r="W31" s="2">
        <v>0.155204222511894</v>
      </c>
      <c r="X31" s="2">
        <v>3.44463344444444</v>
      </c>
      <c r="Y31" s="2">
        <v>0.385651243922216</v>
      </c>
      <c r="Z31" s="7">
        <v>86.414342629481993</v>
      </c>
      <c r="AA31" s="2">
        <v>10.765600788932501</v>
      </c>
      <c r="AB31" s="7">
        <v>92.987505402311697</v>
      </c>
      <c r="AC31" s="2">
        <v>5.21420768476142</v>
      </c>
      <c r="AD31" s="2">
        <v>98.7348336987734</v>
      </c>
      <c r="AE31" s="2">
        <v>39.476020041412099</v>
      </c>
      <c r="AF31" s="2">
        <v>84.880341909283302</v>
      </c>
      <c r="AG31" s="2">
        <v>2.7939525915270198</v>
      </c>
      <c r="AH31" s="2">
        <v>93.3740956160118</v>
      </c>
      <c r="AI31" s="2">
        <v>15.2813260749961</v>
      </c>
      <c r="AJ31" s="2">
        <v>61.493715966229502</v>
      </c>
      <c r="AK31" s="2">
        <v>33.0012004232876</v>
      </c>
      <c r="AL31" s="2">
        <v>102.307084814394</v>
      </c>
      <c r="AM31" s="2">
        <v>11.454006691005199</v>
      </c>
      <c r="AN31"/>
      <c r="AO31"/>
    </row>
    <row r="32" spans="1:41" ht="15.75" hidden="1" customHeight="1" x14ac:dyDescent="0.45">
      <c r="A32" s="2" t="s">
        <v>101</v>
      </c>
      <c r="B32" s="2" t="s">
        <v>102</v>
      </c>
      <c r="C32" s="2">
        <v>3</v>
      </c>
      <c r="D32" s="2"/>
      <c r="E32" s="2" t="s">
        <v>83</v>
      </c>
      <c r="F32" s="2" t="s">
        <v>84</v>
      </c>
      <c r="H32" s="2">
        <v>1.8</v>
      </c>
      <c r="J32" s="2">
        <v>1.848210852</v>
      </c>
      <c r="K32" s="2">
        <v>11.0363360405</v>
      </c>
      <c r="L32" s="2"/>
      <c r="M32" s="2">
        <v>9.2676527525408599</v>
      </c>
      <c r="N32" s="2">
        <v>57.3888888888888</v>
      </c>
      <c r="O32" s="2">
        <v>29.704719664901202</v>
      </c>
      <c r="P32" s="2">
        <v>4.1866424706111101</v>
      </c>
      <c r="Q32" s="2">
        <v>1.9598445422970301</v>
      </c>
      <c r="R32" s="2">
        <v>2.62271033911111</v>
      </c>
      <c r="S32" s="2">
        <v>1.2401173842022699</v>
      </c>
      <c r="T32" s="2">
        <v>8.2068588872222197</v>
      </c>
      <c r="U32" s="2">
        <v>1.50628636500396</v>
      </c>
      <c r="V32" s="2">
        <v>0.14814814816666599</v>
      </c>
      <c r="W32" s="2">
        <v>0.25660011967190799</v>
      </c>
      <c r="X32" s="2">
        <v>3.0415248425555501</v>
      </c>
      <c r="Y32" s="2">
        <v>0.27426318428392499</v>
      </c>
      <c r="Z32" s="7">
        <v>20.577689243027798</v>
      </c>
      <c r="AA32" s="2">
        <v>10.6510947005621</v>
      </c>
      <c r="AB32" s="7">
        <v>27.6459817607922</v>
      </c>
      <c r="AC32" s="2">
        <v>23.2154365381658</v>
      </c>
      <c r="AD32" s="2">
        <v>185.364735145433</v>
      </c>
      <c r="AE32" s="2">
        <v>34.021831852971403</v>
      </c>
      <c r="AF32" s="2">
        <v>12.3806790770674</v>
      </c>
      <c r="AG32" s="2">
        <v>5.7956241760429101</v>
      </c>
      <c r="AH32" s="2">
        <v>70.214071207996497</v>
      </c>
      <c r="AI32" s="2">
        <v>33.199888307209598</v>
      </c>
      <c r="AJ32" s="2">
        <v>31.5008615800539</v>
      </c>
      <c r="AK32" s="2">
        <v>54.561092738847698</v>
      </c>
      <c r="AL32" s="2">
        <v>90.334587134163201</v>
      </c>
      <c r="AM32" s="2">
        <v>8.1457337358363997</v>
      </c>
      <c r="AN32"/>
      <c r="AO32"/>
    </row>
    <row r="33" spans="1:41" ht="15.75" hidden="1" customHeight="1" x14ac:dyDescent="0.45">
      <c r="A33" s="2" t="s">
        <v>101</v>
      </c>
      <c r="B33" s="2" t="s">
        <v>102</v>
      </c>
      <c r="C33" s="2">
        <v>10</v>
      </c>
      <c r="D33" s="2"/>
      <c r="E33" s="2" t="s">
        <v>83</v>
      </c>
      <c r="F33" s="2" t="s">
        <v>84</v>
      </c>
      <c r="H33" s="2">
        <v>1.8</v>
      </c>
      <c r="J33" s="2">
        <v>1.848210852</v>
      </c>
      <c r="K33" s="2">
        <v>0</v>
      </c>
      <c r="L33" s="2"/>
      <c r="M33" s="2">
        <v>0</v>
      </c>
      <c r="N33" s="2">
        <v>13.799999999999899</v>
      </c>
      <c r="O33" s="2">
        <v>3.7040518354904299</v>
      </c>
      <c r="P33" s="2">
        <v>0</v>
      </c>
      <c r="Q33" s="2">
        <v>0</v>
      </c>
      <c r="R33" s="2">
        <v>17.222241695777701</v>
      </c>
      <c r="S33" s="2">
        <v>12.780744200260401</v>
      </c>
      <c r="T33" s="2">
        <v>27.691876980122199</v>
      </c>
      <c r="U33" s="2">
        <v>6.4385721890656997</v>
      </c>
      <c r="V33" s="2">
        <v>0</v>
      </c>
      <c r="W33" s="2">
        <v>0</v>
      </c>
      <c r="X33" s="2">
        <v>2.461081402</v>
      </c>
      <c r="Y33" s="2">
        <v>2.2315990156760401</v>
      </c>
      <c r="Z33" s="7">
        <v>4.9482071713147402</v>
      </c>
      <c r="AA33" s="2">
        <v>1.3281460764706701</v>
      </c>
      <c r="AB33" s="7">
        <v>0</v>
      </c>
      <c r="AC33" s="2">
        <v>0</v>
      </c>
      <c r="AD33" s="2">
        <v>625.46432351753106</v>
      </c>
      <c r="AE33" s="2">
        <v>145.42521626625299</v>
      </c>
      <c r="AF33" s="2">
        <v>0</v>
      </c>
      <c r="AG33" s="2">
        <v>0</v>
      </c>
      <c r="AH33" s="2">
        <v>461.06643450321098</v>
      </c>
      <c r="AI33" s="2">
        <v>342.16057716553399</v>
      </c>
      <c r="AJ33" s="2">
        <v>0</v>
      </c>
      <c r="AK33" s="2">
        <v>0</v>
      </c>
      <c r="AL33" s="2">
        <v>73.095168989788206</v>
      </c>
      <c r="AM33" s="2">
        <v>66.279444083290699</v>
      </c>
      <c r="AN33"/>
      <c r="AO33"/>
    </row>
    <row r="34" spans="1:41" ht="15.75" hidden="1" customHeight="1" x14ac:dyDescent="0.45">
      <c r="A34" s="2" t="s">
        <v>103</v>
      </c>
      <c r="B34" s="2" t="s">
        <v>104</v>
      </c>
      <c r="C34" s="2">
        <v>3.0000000000000001E-3</v>
      </c>
      <c r="D34" s="2"/>
      <c r="E34" s="2" t="s">
        <v>83</v>
      </c>
      <c r="F34" s="2" t="s">
        <v>84</v>
      </c>
      <c r="H34" s="2">
        <v>2</v>
      </c>
      <c r="J34" s="2">
        <v>1.9948649169999999</v>
      </c>
      <c r="K34" s="2">
        <v>40.906836932777701</v>
      </c>
      <c r="L34" s="2"/>
      <c r="M34" s="2">
        <v>3.2724929866598602</v>
      </c>
      <c r="N34" s="2">
        <v>278.888888888888</v>
      </c>
      <c r="O34" s="2">
        <v>24.228273963682501</v>
      </c>
      <c r="P34" s="2">
        <v>34.158903112222198</v>
      </c>
      <c r="Q34" s="2">
        <v>4.5709752350702502</v>
      </c>
      <c r="R34" s="2">
        <v>2.7893112264444402</v>
      </c>
      <c r="S34" s="2">
        <v>0.35996516629174502</v>
      </c>
      <c r="T34" s="2">
        <v>3.7029714077222202</v>
      </c>
      <c r="U34" s="2">
        <v>1.7573847916969201</v>
      </c>
      <c r="V34" s="2">
        <v>0.237773865944444</v>
      </c>
      <c r="W34" s="2">
        <v>0.11267722832799899</v>
      </c>
      <c r="X34" s="2">
        <v>2.9741868230000001</v>
      </c>
      <c r="Y34" s="2">
        <v>0.38540998999954001</v>
      </c>
      <c r="Z34" s="7">
        <v>100</v>
      </c>
      <c r="AA34" s="2">
        <v>8.6874289112805805</v>
      </c>
      <c r="AB34" s="7">
        <v>102.471478177647</v>
      </c>
      <c r="AC34" s="2">
        <v>8.1975830646617602</v>
      </c>
      <c r="AD34" s="2">
        <v>83.637396923230099</v>
      </c>
      <c r="AE34" s="2">
        <v>39.693282282299798</v>
      </c>
      <c r="AF34" s="2">
        <v>101.01421844013601</v>
      </c>
      <c r="AG34" s="2">
        <v>13.5172224167418</v>
      </c>
      <c r="AH34" s="2">
        <v>74.674238383950296</v>
      </c>
      <c r="AI34" s="2">
        <v>9.6368323415284198</v>
      </c>
      <c r="AJ34" s="2">
        <v>50.558051053354298</v>
      </c>
      <c r="AK34" s="2">
        <v>23.958650963300101</v>
      </c>
      <c r="AL34" s="2">
        <v>88.334619187206599</v>
      </c>
      <c r="AM34" s="2">
        <v>11.4468413464403</v>
      </c>
      <c r="AN34"/>
      <c r="AO34"/>
    </row>
    <row r="35" spans="1:41" ht="15.75" hidden="1" customHeight="1" x14ac:dyDescent="0.45">
      <c r="A35" s="2" t="s">
        <v>103</v>
      </c>
      <c r="B35" s="2" t="s">
        <v>104</v>
      </c>
      <c r="C35" s="2">
        <v>0.01</v>
      </c>
      <c r="D35" s="2"/>
      <c r="E35" s="2" t="s">
        <v>83</v>
      </c>
      <c r="F35" s="2" t="s">
        <v>84</v>
      </c>
      <c r="H35" s="2">
        <v>2</v>
      </c>
      <c r="J35" s="2">
        <v>1.9948649169999999</v>
      </c>
      <c r="K35" s="2">
        <v>38.665549513888799</v>
      </c>
      <c r="L35" s="2"/>
      <c r="M35" s="2">
        <v>0.69668026857829501</v>
      </c>
      <c r="N35" s="2">
        <v>263.61111111111097</v>
      </c>
      <c r="O35" s="2">
        <v>9.3159560452511201</v>
      </c>
      <c r="P35" s="2">
        <v>34.155406155555497</v>
      </c>
      <c r="Q35" s="2">
        <v>2.71310453609154</v>
      </c>
      <c r="R35" s="2">
        <v>3.6159685561666599</v>
      </c>
      <c r="S35" s="2">
        <v>0.24529575317284999</v>
      </c>
      <c r="T35" s="2">
        <v>4.2557289317222198</v>
      </c>
      <c r="U35" s="2">
        <v>0.191649788212087</v>
      </c>
      <c r="V35" s="2">
        <v>0.344073032666666</v>
      </c>
      <c r="W35" s="2">
        <v>0.241823638055679</v>
      </c>
      <c r="X35" s="2">
        <v>3.8205103069444402</v>
      </c>
      <c r="Y35" s="2">
        <v>1.1101831256113299</v>
      </c>
      <c r="Z35" s="7">
        <v>94.521912350597603</v>
      </c>
      <c r="AA35" s="2">
        <v>3.34038264570757</v>
      </c>
      <c r="AB35" s="7">
        <v>96.857061320828706</v>
      </c>
      <c r="AC35" s="2">
        <v>1.74518154644254</v>
      </c>
      <c r="AD35" s="2">
        <v>96.122289553153905</v>
      </c>
      <c r="AE35" s="2">
        <v>4.3287100120514301</v>
      </c>
      <c r="AF35" s="2">
        <v>101.003877290028</v>
      </c>
      <c r="AG35" s="2">
        <v>8.0231538278410408</v>
      </c>
      <c r="AH35" s="2">
        <v>96.805152251243896</v>
      </c>
      <c r="AI35" s="2">
        <v>6.5669522186483498</v>
      </c>
      <c r="AJ35" s="2">
        <v>73.160529575223606</v>
      </c>
      <c r="AK35" s="2">
        <v>51.419157400517399</v>
      </c>
      <c r="AL35" s="2">
        <v>113.47078820163701</v>
      </c>
      <c r="AM35" s="2">
        <v>32.972913090247999</v>
      </c>
      <c r="AN35"/>
      <c r="AO35"/>
    </row>
    <row r="36" spans="1:41" ht="15.75" hidden="1" customHeight="1" x14ac:dyDescent="0.45">
      <c r="A36" s="2" t="s">
        <v>103</v>
      </c>
      <c r="B36" s="2" t="s">
        <v>104</v>
      </c>
      <c r="C36" s="2">
        <v>0.03</v>
      </c>
      <c r="D36" s="2"/>
      <c r="E36" s="2" t="s">
        <v>83</v>
      </c>
      <c r="F36" s="2" t="s">
        <v>84</v>
      </c>
      <c r="H36" s="2">
        <v>2</v>
      </c>
      <c r="J36" s="2">
        <v>1.9948649169999999</v>
      </c>
      <c r="K36" s="2">
        <v>39.071282343888797</v>
      </c>
      <c r="L36" s="2"/>
      <c r="M36" s="2">
        <v>1.12216408826104</v>
      </c>
      <c r="N36" s="2">
        <v>225.555555555555</v>
      </c>
      <c r="O36" s="2">
        <v>6.0926488796212697</v>
      </c>
      <c r="P36" s="2">
        <v>37.798324710000003</v>
      </c>
      <c r="Q36" s="2">
        <v>1.26563068760598</v>
      </c>
      <c r="R36" s="2">
        <v>2.8603985470555502</v>
      </c>
      <c r="S36" s="2">
        <v>0.90046203470036501</v>
      </c>
      <c r="T36" s="2">
        <v>3.19944057111111</v>
      </c>
      <c r="U36" s="2">
        <v>9.3612200001640694E-2</v>
      </c>
      <c r="V36" s="2">
        <v>0.55783065461111103</v>
      </c>
      <c r="W36" s="2">
        <v>0.38275694006515198</v>
      </c>
      <c r="X36" s="2">
        <v>2.9884788341666599</v>
      </c>
      <c r="Y36" s="2">
        <v>0.47493717691993498</v>
      </c>
      <c r="Z36" s="7">
        <v>80.876494023904399</v>
      </c>
      <c r="AA36" s="2">
        <v>2.1846151361191799</v>
      </c>
      <c r="AB36" s="7">
        <v>97.873420588684695</v>
      </c>
      <c r="AC36" s="2">
        <v>2.8110169718314602</v>
      </c>
      <c r="AD36" s="2">
        <v>72.264365968439407</v>
      </c>
      <c r="AE36" s="2">
        <v>2.1143778512754201</v>
      </c>
      <c r="AF36" s="2">
        <v>111.776663799283</v>
      </c>
      <c r="AG36" s="2">
        <v>3.7427049200718301</v>
      </c>
      <c r="AH36" s="2">
        <v>76.577357503488997</v>
      </c>
      <c r="AI36" s="2">
        <v>24.1067816303256</v>
      </c>
      <c r="AJ36" s="2">
        <v>118.611987078277</v>
      </c>
      <c r="AK36" s="2">
        <v>81.385920357458801</v>
      </c>
      <c r="AL36" s="2">
        <v>88.759098024266805</v>
      </c>
      <c r="AM36" s="2">
        <v>14.105837043132301</v>
      </c>
      <c r="AN36"/>
      <c r="AO36"/>
    </row>
    <row r="37" spans="1:41" ht="15.75" hidden="1" customHeight="1" x14ac:dyDescent="0.45">
      <c r="A37" s="2" t="s">
        <v>103</v>
      </c>
      <c r="B37" s="2" t="s">
        <v>104</v>
      </c>
      <c r="C37" s="2">
        <v>0.1</v>
      </c>
      <c r="D37" s="2"/>
      <c r="E37" s="2" t="s">
        <v>83</v>
      </c>
      <c r="F37" s="2" t="s">
        <v>84</v>
      </c>
      <c r="H37" s="2">
        <v>2</v>
      </c>
      <c r="J37" s="2">
        <v>1.9948649169999999</v>
      </c>
      <c r="K37" s="2">
        <v>36.479245755555503</v>
      </c>
      <c r="L37" s="2"/>
      <c r="M37" s="2">
        <v>2.0024785205591198</v>
      </c>
      <c r="N37" s="2">
        <v>225.055555555555</v>
      </c>
      <c r="O37" s="2">
        <v>31.029257400312002</v>
      </c>
      <c r="P37" s="2">
        <v>36.987584101111104</v>
      </c>
      <c r="Q37" s="2">
        <v>4.6269035022601601</v>
      </c>
      <c r="R37" s="2">
        <v>4.1000601042777696</v>
      </c>
      <c r="S37" s="2">
        <v>1.22256194031007</v>
      </c>
      <c r="T37" s="2">
        <v>3.4441944163888798</v>
      </c>
      <c r="U37" s="2">
        <v>0.70130111135792905</v>
      </c>
      <c r="V37" s="2">
        <v>0.46295114405555499</v>
      </c>
      <c r="W37" s="2">
        <v>0.480207631607383</v>
      </c>
      <c r="X37" s="2">
        <v>3.09996129327777</v>
      </c>
      <c r="Y37" s="2">
        <v>0.37566354282686099</v>
      </c>
      <c r="Z37" s="7">
        <v>80.697211155378497</v>
      </c>
      <c r="AA37" s="2">
        <v>11.126028549912601</v>
      </c>
      <c r="AB37" s="7">
        <v>91.380378334316802</v>
      </c>
      <c r="AC37" s="2">
        <v>5.0162014324862598</v>
      </c>
      <c r="AD37" s="2">
        <v>77.792514110035796</v>
      </c>
      <c r="AE37" s="2">
        <v>15.8399817214428</v>
      </c>
      <c r="AF37" s="2">
        <v>109.379153296808</v>
      </c>
      <c r="AG37" s="2">
        <v>13.6826126864568</v>
      </c>
      <c r="AH37" s="2">
        <v>109.765042607181</v>
      </c>
      <c r="AI37" s="2">
        <v>32.729901527063497</v>
      </c>
      <c r="AJ37" s="2">
        <v>98.437679361441397</v>
      </c>
      <c r="AK37" s="2">
        <v>102.106940384647</v>
      </c>
      <c r="AL37" s="2">
        <v>92.070174684104899</v>
      </c>
      <c r="AM37" s="2">
        <v>11.157367701822899</v>
      </c>
      <c r="AN37"/>
      <c r="AO37"/>
    </row>
    <row r="38" spans="1:41" ht="15.75" hidden="1" customHeight="1" x14ac:dyDescent="0.45">
      <c r="A38" s="2" t="s">
        <v>103</v>
      </c>
      <c r="B38" s="2" t="s">
        <v>104</v>
      </c>
      <c r="C38" s="2">
        <v>0.3</v>
      </c>
      <c r="D38" s="2"/>
      <c r="E38" s="2" t="s">
        <v>83</v>
      </c>
      <c r="F38" s="2" t="s">
        <v>84</v>
      </c>
      <c r="H38" s="2">
        <v>2</v>
      </c>
      <c r="J38" s="2">
        <v>1.9948649169999999</v>
      </c>
      <c r="K38" s="2">
        <v>33.947916522222201</v>
      </c>
      <c r="L38" s="2"/>
      <c r="M38" s="2">
        <v>7.6351270696616904</v>
      </c>
      <c r="N38" s="2">
        <v>232.722222222222</v>
      </c>
      <c r="O38" s="2">
        <v>43.835973726981301</v>
      </c>
      <c r="P38" s="2">
        <v>35.611237426111103</v>
      </c>
      <c r="Q38" s="2">
        <v>3.6314234094751598</v>
      </c>
      <c r="R38" s="2">
        <v>3.1214198813333298</v>
      </c>
      <c r="S38" s="2">
        <v>1.6410406984699699</v>
      </c>
      <c r="T38" s="2">
        <v>4.0306802341666597</v>
      </c>
      <c r="U38" s="2">
        <v>1.5864674264415399</v>
      </c>
      <c r="V38" s="2">
        <v>0.38055849866666602</v>
      </c>
      <c r="W38" s="2">
        <v>0.30346341917618802</v>
      </c>
      <c r="X38" s="2">
        <v>2.9782735359444401</v>
      </c>
      <c r="Y38" s="2">
        <v>0.641029607158766</v>
      </c>
      <c r="Z38" s="7">
        <v>83.446215139442202</v>
      </c>
      <c r="AA38" s="2">
        <v>15.718078228797999</v>
      </c>
      <c r="AB38" s="7">
        <v>85.039407784083096</v>
      </c>
      <c r="AC38" s="2">
        <v>19.125965622521498</v>
      </c>
      <c r="AD38" s="2">
        <v>91.039212971666601</v>
      </c>
      <c r="AE38" s="2">
        <v>35.832846447141797</v>
      </c>
      <c r="AF38" s="2">
        <v>105.309040646496</v>
      </c>
      <c r="AG38" s="2">
        <v>10.738793231393201</v>
      </c>
      <c r="AH38" s="2">
        <v>83.565308204136201</v>
      </c>
      <c r="AI38" s="2">
        <v>43.933234539595603</v>
      </c>
      <c r="AJ38" s="2">
        <v>80.918463969764701</v>
      </c>
      <c r="AK38" s="2">
        <v>64.525674335967295</v>
      </c>
      <c r="AL38" s="2">
        <v>88.455996307461206</v>
      </c>
      <c r="AM38" s="2">
        <v>19.0388531743199</v>
      </c>
      <c r="AN38"/>
      <c r="AO38"/>
    </row>
    <row r="39" spans="1:41" ht="15.75" hidden="1" customHeight="1" x14ac:dyDescent="0.45">
      <c r="A39" s="2" t="s">
        <v>103</v>
      </c>
      <c r="B39" s="2" t="s">
        <v>104</v>
      </c>
      <c r="C39" s="2">
        <v>1</v>
      </c>
      <c r="D39" s="2"/>
      <c r="E39" s="2" t="s">
        <v>83</v>
      </c>
      <c r="F39" s="2" t="s">
        <v>84</v>
      </c>
      <c r="H39" s="2">
        <v>2</v>
      </c>
      <c r="J39" s="2">
        <v>1.9948649169999999</v>
      </c>
      <c r="K39" s="2">
        <v>36.282252157222203</v>
      </c>
      <c r="L39" s="2"/>
      <c r="M39" s="2">
        <v>1.57765749541442</v>
      </c>
      <c r="N39" s="2">
        <v>211.444444444444</v>
      </c>
      <c r="O39" s="2">
        <v>9.0405465255972697</v>
      </c>
      <c r="P39" s="2">
        <v>31.066998621666599</v>
      </c>
      <c r="Q39" s="2">
        <v>1.9524482205446601</v>
      </c>
      <c r="R39" s="2">
        <v>2.3736541866666601</v>
      </c>
      <c r="S39" s="2">
        <v>0.59581988220369597</v>
      </c>
      <c r="T39" s="2">
        <v>5.2150674958888796</v>
      </c>
      <c r="U39" s="2">
        <v>1.34726826731727</v>
      </c>
      <c r="V39" s="2">
        <v>0.38406504455555501</v>
      </c>
      <c r="W39" s="2">
        <v>0.14133865838630999</v>
      </c>
      <c r="X39" s="2">
        <v>3.38950411722222</v>
      </c>
      <c r="Y39" s="2">
        <v>0.39363545371356501</v>
      </c>
      <c r="Z39" s="7">
        <v>75.816733067729103</v>
      </c>
      <c r="AA39" s="2">
        <v>3.2416302283018101</v>
      </c>
      <c r="AB39" s="7">
        <v>90.886910084842398</v>
      </c>
      <c r="AC39" s="2">
        <v>3.9520263050116702</v>
      </c>
      <c r="AD39" s="2">
        <v>117.790450454327</v>
      </c>
      <c r="AE39" s="2">
        <v>30.430159574200001</v>
      </c>
      <c r="AF39" s="2">
        <v>91.8708828189977</v>
      </c>
      <c r="AG39" s="2">
        <v>5.7737518794210496</v>
      </c>
      <c r="AH39" s="2">
        <v>63.546447200211198</v>
      </c>
      <c r="AI39" s="2">
        <v>15.951033178284201</v>
      </c>
      <c r="AJ39" s="2">
        <v>81.664063682193998</v>
      </c>
      <c r="AK39" s="2">
        <v>30.052954213972701</v>
      </c>
      <c r="AL39" s="2">
        <v>100.66972024517401</v>
      </c>
      <c r="AM39" s="2">
        <v>11.6911411325861</v>
      </c>
      <c r="AN39"/>
      <c r="AO39"/>
    </row>
    <row r="40" spans="1:41" ht="15.75" hidden="1" customHeight="1" x14ac:dyDescent="0.45">
      <c r="A40" s="2" t="s">
        <v>103</v>
      </c>
      <c r="B40" s="2" t="s">
        <v>104</v>
      </c>
      <c r="C40" s="2">
        <v>3</v>
      </c>
      <c r="D40" s="2"/>
      <c r="E40" s="2" t="s">
        <v>83</v>
      </c>
      <c r="F40" s="2" t="s">
        <v>84</v>
      </c>
      <c r="H40" s="2">
        <v>2</v>
      </c>
      <c r="J40" s="2">
        <v>1.9948649169999999</v>
      </c>
      <c r="K40" s="2">
        <v>20.193248626111099</v>
      </c>
      <c r="L40" s="2"/>
      <c r="M40" s="2">
        <v>2.4591775845256101</v>
      </c>
      <c r="N40" s="2">
        <v>122.944444444444</v>
      </c>
      <c r="O40" s="2">
        <v>11.453205923492799</v>
      </c>
      <c r="P40" s="2">
        <v>25.236900182777699</v>
      </c>
      <c r="Q40" s="2">
        <v>2.2126482961705798</v>
      </c>
      <c r="R40" s="2">
        <v>2.6869437699999899</v>
      </c>
      <c r="S40" s="2">
        <v>0.77428251560886796</v>
      </c>
      <c r="T40" s="2">
        <v>5.9897807547222204</v>
      </c>
      <c r="U40" s="2">
        <v>2.4914629897145399</v>
      </c>
      <c r="V40" s="2">
        <v>0.255664224</v>
      </c>
      <c r="W40" s="2">
        <v>0.125220881097279</v>
      </c>
      <c r="X40" s="2">
        <v>6.1216026533888801</v>
      </c>
      <c r="Y40" s="2">
        <v>0.23906453494190699</v>
      </c>
      <c r="Z40" s="7">
        <v>44.083665338645403</v>
      </c>
      <c r="AA40" s="2">
        <v>4.1067272235631496</v>
      </c>
      <c r="AB40" s="7">
        <v>50.584014582371999</v>
      </c>
      <c r="AC40" s="2">
        <v>6.1602309316112498</v>
      </c>
      <c r="AD40" s="2">
        <v>135.28856026841001</v>
      </c>
      <c r="AE40" s="2">
        <v>56.273585735967501</v>
      </c>
      <c r="AF40" s="2">
        <v>74.630199319921701</v>
      </c>
      <c r="AG40" s="2">
        <v>6.5432118117574802</v>
      </c>
      <c r="AH40" s="2">
        <v>71.933700944879604</v>
      </c>
      <c r="AI40" s="2">
        <v>20.728757909458299</v>
      </c>
      <c r="AJ40" s="2">
        <v>54.362092478777001</v>
      </c>
      <c r="AK40" s="2">
        <v>26.6258180827217</v>
      </c>
      <c r="AL40" s="2">
        <v>181.81421389563499</v>
      </c>
      <c r="AM40" s="2">
        <v>7.1003188138528097</v>
      </c>
      <c r="AN40"/>
      <c r="AO40"/>
    </row>
    <row r="41" spans="1:41" ht="15.75" hidden="1" customHeight="1" x14ac:dyDescent="0.45">
      <c r="A41" s="2" t="s">
        <v>103</v>
      </c>
      <c r="B41" s="2" t="s">
        <v>104</v>
      </c>
      <c r="C41" s="2">
        <v>10</v>
      </c>
      <c r="D41" s="2"/>
      <c r="E41" s="2" t="s">
        <v>83</v>
      </c>
      <c r="F41" s="2" t="s">
        <v>84</v>
      </c>
      <c r="H41" s="2">
        <v>2</v>
      </c>
      <c r="J41" s="2">
        <v>1.9948649169999999</v>
      </c>
      <c r="K41" s="2">
        <v>0</v>
      </c>
      <c r="L41" s="2"/>
      <c r="M41" s="2">
        <v>0</v>
      </c>
      <c r="N41" s="2">
        <v>19.855555555555501</v>
      </c>
      <c r="O41" s="2">
        <v>10.006460875817099</v>
      </c>
      <c r="P41" s="2">
        <v>0</v>
      </c>
      <c r="Q41" s="2">
        <v>0</v>
      </c>
      <c r="R41" s="2">
        <v>3.55775239145555</v>
      </c>
      <c r="S41" s="2">
        <v>3.29575673457096</v>
      </c>
      <c r="T41" s="2">
        <v>10.142803743222199</v>
      </c>
      <c r="U41" s="2">
        <v>8.3235307236345708</v>
      </c>
      <c r="V41" s="2">
        <v>0</v>
      </c>
      <c r="W41" s="2">
        <v>0</v>
      </c>
      <c r="X41" s="2">
        <v>0.80542421860000002</v>
      </c>
      <c r="Y41" s="2">
        <v>1.39503566826166</v>
      </c>
      <c r="Z41" s="7">
        <v>7.1195219123505904</v>
      </c>
      <c r="AA41" s="2">
        <v>3.5879740192173002</v>
      </c>
      <c r="AB41" s="7">
        <v>0</v>
      </c>
      <c r="AC41" s="2">
        <v>0</v>
      </c>
      <c r="AD41" s="2">
        <v>229.09107556628899</v>
      </c>
      <c r="AE41" s="2">
        <v>187.99995092685501</v>
      </c>
      <c r="AF41" s="2">
        <v>0</v>
      </c>
      <c r="AG41" s="2">
        <v>0</v>
      </c>
      <c r="AH41" s="2">
        <v>95.246614171942397</v>
      </c>
      <c r="AI41" s="2">
        <v>88.232579326250999</v>
      </c>
      <c r="AJ41" s="2">
        <v>0</v>
      </c>
      <c r="AK41" s="2">
        <v>0</v>
      </c>
      <c r="AL41" s="2">
        <v>23.9214433619271</v>
      </c>
      <c r="AM41" s="2">
        <v>41.433155293238997</v>
      </c>
      <c r="AN41"/>
      <c r="AO41"/>
    </row>
    <row r="42" spans="1:41" ht="15.75" hidden="1" customHeight="1" x14ac:dyDescent="0.45">
      <c r="A42" s="2" t="s">
        <v>105</v>
      </c>
      <c r="B42" s="2" t="s">
        <v>106</v>
      </c>
      <c r="C42" s="2">
        <v>3.0000000000000001E-3</v>
      </c>
      <c r="D42" s="2"/>
      <c r="E42" s="2" t="s">
        <v>83</v>
      </c>
      <c r="F42" s="2" t="s">
        <v>84</v>
      </c>
      <c r="H42" s="2">
        <v>0.7</v>
      </c>
      <c r="J42" s="2">
        <v>0.70106849999999998</v>
      </c>
      <c r="K42" s="2">
        <v>35.390012734444397</v>
      </c>
      <c r="L42" s="2"/>
      <c r="M42" s="2">
        <v>0.83305799769793398</v>
      </c>
      <c r="N42" s="2">
        <v>262.888888888888</v>
      </c>
      <c r="O42" s="2">
        <v>14.2841533538751</v>
      </c>
      <c r="P42" s="2">
        <v>36.947730745000001</v>
      </c>
      <c r="Q42" s="2">
        <v>1.9267603395434301</v>
      </c>
      <c r="R42" s="2">
        <v>8.8832489826111107</v>
      </c>
      <c r="S42" s="2">
        <v>7.24501754491751</v>
      </c>
      <c r="T42" s="2">
        <v>3.60688057044444</v>
      </c>
      <c r="U42" s="2">
        <v>0.248833786625209</v>
      </c>
      <c r="V42" s="2">
        <v>0.78667052149999905</v>
      </c>
      <c r="W42" s="2">
        <v>0.47190728979945701</v>
      </c>
      <c r="X42" s="2">
        <v>3.5559641484444402</v>
      </c>
      <c r="Y42" s="2">
        <v>0.481225501668059</v>
      </c>
      <c r="Z42" s="7">
        <v>94.262948207171306</v>
      </c>
      <c r="AA42" s="2">
        <v>5.1218079754930699</v>
      </c>
      <c r="AB42" s="7">
        <v>88.6518535662792</v>
      </c>
      <c r="AC42" s="2">
        <v>2.0868072633456798</v>
      </c>
      <c r="AD42" s="2">
        <v>81.467035175006203</v>
      </c>
      <c r="AE42" s="2">
        <v>5.6202999938054603</v>
      </c>
      <c r="AF42" s="2">
        <v>109.26129952361801</v>
      </c>
      <c r="AG42" s="2">
        <v>5.6977880460919401</v>
      </c>
      <c r="AH42" s="2">
        <v>237.81851442840301</v>
      </c>
      <c r="AI42" s="2">
        <v>193.96048820794701</v>
      </c>
      <c r="AJ42" s="2">
        <v>167.27039462553299</v>
      </c>
      <c r="AK42" s="2">
        <v>100.34203193594701</v>
      </c>
      <c r="AL42" s="2">
        <v>105.613654282604</v>
      </c>
      <c r="AM42" s="2">
        <v>14.2926029744636</v>
      </c>
      <c r="AN42"/>
      <c r="AO42"/>
    </row>
    <row r="43" spans="1:41" ht="15.75" hidden="1" customHeight="1" x14ac:dyDescent="0.45">
      <c r="A43" s="2" t="s">
        <v>105</v>
      </c>
      <c r="B43" s="2" t="s">
        <v>106</v>
      </c>
      <c r="C43" s="2">
        <v>0.01</v>
      </c>
      <c r="D43" s="2"/>
      <c r="E43" s="2" t="s">
        <v>83</v>
      </c>
      <c r="F43" s="2" t="s">
        <v>84</v>
      </c>
      <c r="H43" s="2">
        <v>0.7</v>
      </c>
      <c r="J43" s="2">
        <v>0.70106849999999998</v>
      </c>
      <c r="K43" s="2">
        <v>35.2475829688888</v>
      </c>
      <c r="L43" s="2"/>
      <c r="M43" s="2">
        <v>6.17078686248749</v>
      </c>
      <c r="N43" s="2">
        <v>290.166666666666</v>
      </c>
      <c r="O43" s="2">
        <v>12.9142470852077</v>
      </c>
      <c r="P43" s="2">
        <v>33.505042650555502</v>
      </c>
      <c r="Q43" s="2">
        <v>1.6195884770031601</v>
      </c>
      <c r="R43" s="2">
        <v>3.6621426799444401</v>
      </c>
      <c r="S43" s="2">
        <v>0.57662479279932</v>
      </c>
      <c r="T43" s="2">
        <v>4.1032675952222197</v>
      </c>
      <c r="U43" s="2">
        <v>1.4356106844419101</v>
      </c>
      <c r="V43" s="2">
        <v>0.51806703272222199</v>
      </c>
      <c r="W43" s="2">
        <v>0.15156039889200201</v>
      </c>
      <c r="X43" s="2">
        <v>3.4366763239999898</v>
      </c>
      <c r="Y43" s="2">
        <v>0.72763113092916398</v>
      </c>
      <c r="Z43" s="7">
        <v>104.04382470119501</v>
      </c>
      <c r="AA43" s="2">
        <v>4.6306065245764598</v>
      </c>
      <c r="AB43" s="7">
        <v>88.295067520050296</v>
      </c>
      <c r="AC43" s="2">
        <v>15.457798713633199</v>
      </c>
      <c r="AD43" s="2">
        <v>92.678711973887502</v>
      </c>
      <c r="AE43" s="2">
        <v>32.425511142619399</v>
      </c>
      <c r="AF43" s="2">
        <v>99.080631659344206</v>
      </c>
      <c r="AG43" s="2">
        <v>4.7894238190742398</v>
      </c>
      <c r="AH43" s="2">
        <v>98.041305998972902</v>
      </c>
      <c r="AI43" s="2">
        <v>15.437150514924801</v>
      </c>
      <c r="AJ43" s="2">
        <v>110.157015723291</v>
      </c>
      <c r="AK43" s="2">
        <v>32.226411234946099</v>
      </c>
      <c r="AL43" s="2">
        <v>102.07075493798899</v>
      </c>
      <c r="AM43" s="2">
        <v>21.610955425641801</v>
      </c>
      <c r="AN43"/>
      <c r="AO43"/>
    </row>
    <row r="44" spans="1:41" ht="15.75" hidden="1" customHeight="1" x14ac:dyDescent="0.45">
      <c r="A44" s="2" t="s">
        <v>105</v>
      </c>
      <c r="B44" s="2" t="s">
        <v>106</v>
      </c>
      <c r="C44" s="2">
        <v>0.03</v>
      </c>
      <c r="D44" s="2"/>
      <c r="E44" s="2" t="s">
        <v>83</v>
      </c>
      <c r="F44" s="2" t="s">
        <v>84</v>
      </c>
      <c r="H44" s="2">
        <v>0.7</v>
      </c>
      <c r="J44" s="2">
        <v>0.70106849999999998</v>
      </c>
      <c r="K44" s="2">
        <v>37.983473747222199</v>
      </c>
      <c r="L44" s="2"/>
      <c r="M44" s="2">
        <v>6.2663285090747296</v>
      </c>
      <c r="N44" s="2">
        <v>219.111111111111</v>
      </c>
      <c r="O44" s="2">
        <v>11.8747319657858</v>
      </c>
      <c r="P44" s="2">
        <v>36.945591330555501</v>
      </c>
      <c r="Q44" s="2">
        <v>0.18594927141838299</v>
      </c>
      <c r="R44" s="2">
        <v>3.2997969903333302</v>
      </c>
      <c r="S44" s="2">
        <v>0.137653901069828</v>
      </c>
      <c r="T44" s="2">
        <v>2.9171493243333302</v>
      </c>
      <c r="U44" s="2">
        <v>0.88972583144055695</v>
      </c>
      <c r="V44" s="2">
        <v>0.51295085733333301</v>
      </c>
      <c r="W44" s="2">
        <v>0.20484628176474001</v>
      </c>
      <c r="X44" s="2">
        <v>3.2244619235555501</v>
      </c>
      <c r="Y44" s="2">
        <v>0.21310249300836401</v>
      </c>
      <c r="Z44" s="7">
        <v>78.565737051792794</v>
      </c>
      <c r="AA44" s="2">
        <v>4.2578720196044699</v>
      </c>
      <c r="AB44" s="7">
        <v>95.148463998715002</v>
      </c>
      <c r="AC44" s="2">
        <v>15.6971301918751</v>
      </c>
      <c r="AD44" s="2">
        <v>65.888376943660603</v>
      </c>
      <c r="AE44" s="2">
        <v>20.095848529065101</v>
      </c>
      <c r="AF44" s="2">
        <v>109.254972877903</v>
      </c>
      <c r="AG44" s="2">
        <v>0.54988651890054296</v>
      </c>
      <c r="AH44" s="2">
        <v>88.340743312783204</v>
      </c>
      <c r="AI44" s="2">
        <v>3.6852109314714299</v>
      </c>
      <c r="AJ44" s="2">
        <v>109.0691591774</v>
      </c>
      <c r="AK44" s="2">
        <v>43.556631972209097</v>
      </c>
      <c r="AL44" s="2">
        <v>95.767896588830894</v>
      </c>
      <c r="AM44" s="2">
        <v>6.3292350776911004</v>
      </c>
      <c r="AN44"/>
      <c r="AO44"/>
    </row>
    <row r="45" spans="1:41" ht="15.75" hidden="1" customHeight="1" x14ac:dyDescent="0.45">
      <c r="A45" s="2" t="s">
        <v>105</v>
      </c>
      <c r="B45" s="2" t="s">
        <v>106</v>
      </c>
      <c r="C45" s="2">
        <v>0.1</v>
      </c>
      <c r="D45" s="2"/>
      <c r="E45" s="2" t="s">
        <v>83</v>
      </c>
      <c r="F45" s="2" t="s">
        <v>84</v>
      </c>
      <c r="H45" s="2">
        <v>0.7</v>
      </c>
      <c r="J45" s="2">
        <v>0.70106849999999998</v>
      </c>
      <c r="K45" s="2">
        <v>39.744428880555503</v>
      </c>
      <c r="L45" s="2"/>
      <c r="M45" s="2">
        <v>1.39072837595751</v>
      </c>
      <c r="N45" s="2">
        <v>276</v>
      </c>
      <c r="O45" s="2">
        <v>42.621395253244899</v>
      </c>
      <c r="P45" s="2">
        <v>37.200871822222197</v>
      </c>
      <c r="Q45" s="2">
        <v>3.3513851765592402</v>
      </c>
      <c r="R45" s="2">
        <v>3.9014959767777699</v>
      </c>
      <c r="S45" s="2">
        <v>1.8712948347489999</v>
      </c>
      <c r="T45" s="2">
        <v>3.5601746419999998</v>
      </c>
      <c r="U45" s="2">
        <v>2.6012362831898499</v>
      </c>
      <c r="V45" s="2">
        <v>0.45916735688888799</v>
      </c>
      <c r="W45" s="2">
        <v>0.14479522784673399</v>
      </c>
      <c r="X45" s="2">
        <v>3.3556629691111102</v>
      </c>
      <c r="Y45" s="2">
        <v>0.25752846599175899</v>
      </c>
      <c r="Z45" s="7">
        <v>98.964143426294797</v>
      </c>
      <c r="AA45" s="2">
        <v>15.282572003155501</v>
      </c>
      <c r="AB45" s="7">
        <v>99.559650222028097</v>
      </c>
      <c r="AC45" s="2">
        <v>3.4837695386263001</v>
      </c>
      <c r="AD45" s="2">
        <v>80.412108780535604</v>
      </c>
      <c r="AE45" s="2">
        <v>58.752987142853399</v>
      </c>
      <c r="AF45" s="2">
        <v>110.009884687102</v>
      </c>
      <c r="AG45" s="2">
        <v>9.9106681848007394</v>
      </c>
      <c r="AH45" s="2">
        <v>104.449169336797</v>
      </c>
      <c r="AI45" s="2">
        <v>50.097499071420202</v>
      </c>
      <c r="AJ45" s="2">
        <v>97.633129609989496</v>
      </c>
      <c r="AK45" s="2">
        <v>30.787927397654801</v>
      </c>
      <c r="AL45" s="2">
        <v>99.664623689660203</v>
      </c>
      <c r="AM45" s="2">
        <v>7.6487054536478203</v>
      </c>
      <c r="AN45"/>
      <c r="AO45"/>
    </row>
    <row r="46" spans="1:41" ht="15.75" hidden="1" customHeight="1" x14ac:dyDescent="0.45">
      <c r="A46" s="2" t="s">
        <v>105</v>
      </c>
      <c r="B46" s="2" t="s">
        <v>106</v>
      </c>
      <c r="C46" s="2">
        <v>0.3</v>
      </c>
      <c r="D46" s="2"/>
      <c r="E46" s="2" t="s">
        <v>83</v>
      </c>
      <c r="F46" s="2" t="s">
        <v>84</v>
      </c>
      <c r="H46" s="2">
        <v>0.7</v>
      </c>
      <c r="J46" s="2">
        <v>0.70106849999999998</v>
      </c>
      <c r="K46" s="2">
        <v>28.722065965555501</v>
      </c>
      <c r="L46" s="2"/>
      <c r="M46" s="2">
        <v>2.4597508764038598</v>
      </c>
      <c r="N46" s="2">
        <v>206.944444444444</v>
      </c>
      <c r="O46" s="2">
        <v>4.4917620068225199</v>
      </c>
      <c r="P46" s="2">
        <v>46.836611425000001</v>
      </c>
      <c r="Q46" s="2">
        <v>2.8465175321076499</v>
      </c>
      <c r="R46" s="2">
        <v>5.6208654913888898</v>
      </c>
      <c r="S46" s="2">
        <v>3.5473973656568201</v>
      </c>
      <c r="T46" s="2">
        <v>3.1709232749999998</v>
      </c>
      <c r="U46" s="2">
        <v>0.70393588052449396</v>
      </c>
      <c r="V46" s="2">
        <v>0.54410174911111098</v>
      </c>
      <c r="W46" s="2">
        <v>7.5383220736872703E-2</v>
      </c>
      <c r="X46" s="2">
        <v>3.2994026512222199</v>
      </c>
      <c r="Y46" s="2">
        <v>0.65224116140811705</v>
      </c>
      <c r="Z46" s="7">
        <v>74.203187250995995</v>
      </c>
      <c r="AA46" s="2">
        <v>1.61059195463755</v>
      </c>
      <c r="AB46" s="7">
        <v>71.948671089943105</v>
      </c>
      <c r="AC46" s="2">
        <v>6.16166702568737</v>
      </c>
      <c r="AD46" s="2">
        <v>71.620258263732794</v>
      </c>
      <c r="AE46" s="2">
        <v>15.899492101168001</v>
      </c>
      <c r="AF46" s="2">
        <v>138.50455566261701</v>
      </c>
      <c r="AG46" s="2">
        <v>8.4176808264993195</v>
      </c>
      <c r="AH46" s="2">
        <v>150.479389194275</v>
      </c>
      <c r="AI46" s="2">
        <v>94.969393882705702</v>
      </c>
      <c r="AJ46" s="2">
        <v>115.69279870398501</v>
      </c>
      <c r="AK46" s="2">
        <v>16.028795710759798</v>
      </c>
      <c r="AL46" s="2">
        <v>97.993668214491606</v>
      </c>
      <c r="AM46" s="2">
        <v>19.371841124994202</v>
      </c>
      <c r="AN46"/>
      <c r="AO46"/>
    </row>
    <row r="47" spans="1:41" ht="15.75" hidden="1" customHeight="1" x14ac:dyDescent="0.45">
      <c r="A47" s="2" t="s">
        <v>105</v>
      </c>
      <c r="B47" s="2" t="s">
        <v>106</v>
      </c>
      <c r="C47" s="2">
        <v>1</v>
      </c>
      <c r="D47" s="2"/>
      <c r="E47" s="2" t="s">
        <v>83</v>
      </c>
      <c r="F47" s="2" t="s">
        <v>84</v>
      </c>
      <c r="H47" s="2">
        <v>0.7</v>
      </c>
      <c r="J47" s="2">
        <v>0.70106849999999998</v>
      </c>
      <c r="K47" s="2">
        <v>13.408973550555499</v>
      </c>
      <c r="L47" s="2"/>
      <c r="M47" s="2">
        <v>6.5065658411819802</v>
      </c>
      <c r="N47" s="2">
        <v>113.777777777777</v>
      </c>
      <c r="O47" s="2">
        <v>10.165755879057601</v>
      </c>
      <c r="P47" s="2">
        <v>49.071918567777701</v>
      </c>
      <c r="Q47" s="2">
        <v>2.9350310354879299</v>
      </c>
      <c r="R47" s="2">
        <v>2.4430490644999998</v>
      </c>
      <c r="S47" s="2">
        <v>0.74401336275413299</v>
      </c>
      <c r="T47" s="2">
        <v>4.7223122555555497</v>
      </c>
      <c r="U47" s="2">
        <v>1.25505705220715</v>
      </c>
      <c r="V47" s="2">
        <v>0.98977004411111102</v>
      </c>
      <c r="W47" s="2">
        <v>0.43396019194236501</v>
      </c>
      <c r="X47" s="2">
        <v>4.2105458275555501</v>
      </c>
      <c r="Y47" s="2">
        <v>0.45766095940402202</v>
      </c>
      <c r="Z47" s="7">
        <v>40.796812749003998</v>
      </c>
      <c r="AA47" s="2">
        <v>3.6450917494628898</v>
      </c>
      <c r="AB47" s="7">
        <v>33.589430119672997</v>
      </c>
      <c r="AC47" s="2">
        <v>16.298923837639901</v>
      </c>
      <c r="AD47" s="2">
        <v>106.660803183539</v>
      </c>
      <c r="AE47" s="2">
        <v>28.347425156414499</v>
      </c>
      <c r="AF47" s="2">
        <v>145.114773890631</v>
      </c>
      <c r="AG47" s="2">
        <v>8.6794316893997792</v>
      </c>
      <c r="AH47" s="2">
        <v>65.404256970889605</v>
      </c>
      <c r="AI47" s="2">
        <v>19.918405190649001</v>
      </c>
      <c r="AJ47" s="2">
        <v>210.45561177418099</v>
      </c>
      <c r="AK47" s="2">
        <v>92.2733095674688</v>
      </c>
      <c r="AL47" s="2">
        <v>125.05500978322399</v>
      </c>
      <c r="AM47" s="2">
        <v>13.5927260026751</v>
      </c>
      <c r="AN47"/>
      <c r="AO47"/>
    </row>
    <row r="48" spans="1:41" ht="15.75" hidden="1" customHeight="1" x14ac:dyDescent="0.45">
      <c r="A48" s="2" t="s">
        <v>105</v>
      </c>
      <c r="B48" s="2" t="s">
        <v>106</v>
      </c>
      <c r="C48" s="2">
        <v>3</v>
      </c>
      <c r="D48" s="2"/>
      <c r="E48" s="2" t="s">
        <v>83</v>
      </c>
      <c r="F48" s="2" t="s">
        <v>84</v>
      </c>
      <c r="H48" s="2">
        <v>0.7</v>
      </c>
      <c r="J48" s="2">
        <v>0.70106849999999998</v>
      </c>
      <c r="K48" s="2">
        <v>7.0023648577222204</v>
      </c>
      <c r="L48" s="2"/>
      <c r="M48" s="2">
        <v>5.2589915844758703</v>
      </c>
      <c r="N48" s="2">
        <v>23.5555555555555</v>
      </c>
      <c r="O48" s="2">
        <v>7.34342739638147</v>
      </c>
      <c r="P48" s="2">
        <v>32.091279540000002</v>
      </c>
      <c r="Q48" s="2">
        <v>5.9325752694777902</v>
      </c>
      <c r="R48" s="2">
        <v>5.8427436271666604</v>
      </c>
      <c r="S48" s="2">
        <v>1.9315780064105399</v>
      </c>
      <c r="T48" s="2">
        <v>8.2581887491666599</v>
      </c>
      <c r="U48" s="2">
        <v>5.5033713597966001</v>
      </c>
      <c r="V48" s="2">
        <v>0.60258671372222194</v>
      </c>
      <c r="W48" s="2">
        <v>0.59537416522485997</v>
      </c>
      <c r="X48" s="2">
        <v>12.379951957333301</v>
      </c>
      <c r="Y48" s="2">
        <v>1.43834573285172</v>
      </c>
      <c r="Z48" s="7">
        <v>8.4462151394422307</v>
      </c>
      <c r="AA48" s="2">
        <v>2.6331014568698499</v>
      </c>
      <c r="AB48" s="7">
        <v>17.540898576175501</v>
      </c>
      <c r="AC48" s="2">
        <v>13.173754848623901</v>
      </c>
      <c r="AD48" s="2">
        <v>186.524100305129</v>
      </c>
      <c r="AE48" s="2">
        <v>124.302243834601</v>
      </c>
      <c r="AF48" s="2">
        <v>94.899871662365001</v>
      </c>
      <c r="AG48" s="2">
        <v>17.543726512961701</v>
      </c>
      <c r="AH48" s="2">
        <v>156.41941504946601</v>
      </c>
      <c r="AI48" s="2">
        <v>51.711374170231601</v>
      </c>
      <c r="AJ48" s="2">
        <v>128.12850443185101</v>
      </c>
      <c r="AK48" s="2">
        <v>126.594894362022</v>
      </c>
      <c r="AL48" s="2">
        <v>367.68986172962798</v>
      </c>
      <c r="AM48" s="2">
        <v>42.719482713208301</v>
      </c>
      <c r="AN48"/>
      <c r="AO48"/>
    </row>
    <row r="49" spans="1:41" ht="15.75" hidden="1" customHeight="1" x14ac:dyDescent="0.45">
      <c r="A49" s="2" t="s">
        <v>105</v>
      </c>
      <c r="B49" s="2" t="s">
        <v>106</v>
      </c>
      <c r="C49" s="2">
        <v>10</v>
      </c>
      <c r="D49" s="2"/>
      <c r="E49" s="2" t="s">
        <v>83</v>
      </c>
      <c r="F49" s="2" t="s">
        <v>84</v>
      </c>
      <c r="H49" s="2">
        <v>0.7</v>
      </c>
      <c r="J49" s="2">
        <v>0.70106849999999998</v>
      </c>
      <c r="K49" s="2">
        <v>0</v>
      </c>
      <c r="L49" s="2"/>
      <c r="M49" s="2">
        <v>0</v>
      </c>
      <c r="N49" s="2">
        <v>16.6111111111111</v>
      </c>
      <c r="O49" s="2">
        <v>3.2159901418680299</v>
      </c>
      <c r="P49" s="2">
        <v>1.19454619455555</v>
      </c>
      <c r="Q49" s="2">
        <v>8.55427331857673E-2</v>
      </c>
      <c r="R49" s="2">
        <v>21.3553236697222</v>
      </c>
      <c r="S49" s="2">
        <v>7.3878629824222797</v>
      </c>
      <c r="T49" s="2">
        <v>24.6155509061111</v>
      </c>
      <c r="U49" s="2">
        <v>8.9545418819160592</v>
      </c>
      <c r="V49" s="2">
        <v>0</v>
      </c>
      <c r="W49" s="2">
        <v>0</v>
      </c>
      <c r="X49" s="2">
        <v>1.7803541487777701</v>
      </c>
      <c r="Y49" s="2">
        <v>1.8398341553247699</v>
      </c>
      <c r="Z49" s="7">
        <v>5.95617529880478</v>
      </c>
      <c r="AA49" s="2">
        <v>1.1531438755702099</v>
      </c>
      <c r="AB49" s="7">
        <v>0</v>
      </c>
      <c r="AC49" s="2">
        <v>0</v>
      </c>
      <c r="AD49" s="2">
        <v>555.98069089190994</v>
      </c>
      <c r="AE49" s="2">
        <v>202.25232419609401</v>
      </c>
      <c r="AF49" s="2">
        <v>3.5324948765844302</v>
      </c>
      <c r="AG49" s="2">
        <v>0.25296574388249699</v>
      </c>
      <c r="AH49" s="2">
        <v>571.71552437768605</v>
      </c>
      <c r="AI49" s="2">
        <v>197.784684716089</v>
      </c>
      <c r="AJ49" s="2">
        <v>0</v>
      </c>
      <c r="AK49" s="2">
        <v>0</v>
      </c>
      <c r="AL49" s="2">
        <v>52.877278768929699</v>
      </c>
      <c r="AM49" s="2">
        <v>54.6438603726642</v>
      </c>
      <c r="AN49"/>
      <c r="AO49"/>
    </row>
    <row r="50" spans="1:41" ht="15.75" customHeight="1" x14ac:dyDescent="0.45">
      <c r="A50" s="2" t="s">
        <v>107</v>
      </c>
      <c r="B50" s="2" t="s">
        <v>108</v>
      </c>
      <c r="C50" s="2">
        <v>3.0000000000000001E-3</v>
      </c>
      <c r="D50" s="2"/>
      <c r="E50" s="2" t="s">
        <v>109</v>
      </c>
      <c r="F50" s="2" t="s">
        <v>84</v>
      </c>
      <c r="H50" s="2">
        <v>0.1</v>
      </c>
      <c r="J50" s="2">
        <v>0.1</v>
      </c>
      <c r="K50" s="2">
        <v>32.3333333333333</v>
      </c>
      <c r="L50" s="2"/>
      <c r="M50" s="2">
        <v>1.25830573921185</v>
      </c>
      <c r="N50" s="2">
        <v>140.555555555555</v>
      </c>
      <c r="O50" s="2">
        <v>7.3036013440355898</v>
      </c>
      <c r="P50" s="2">
        <v>22.1111111111111</v>
      </c>
      <c r="Q50" s="2">
        <v>2.42861033271046</v>
      </c>
      <c r="R50" s="2">
        <v>2</v>
      </c>
      <c r="S50" s="2">
        <v>1.0929064207170001</v>
      </c>
      <c r="T50" s="2">
        <v>5.2777777777777697</v>
      </c>
      <c r="U50" s="2">
        <v>0.94770678384621898</v>
      </c>
      <c r="V50" s="2">
        <v>1</v>
      </c>
      <c r="W50" s="2">
        <v>0.33333333333333298</v>
      </c>
      <c r="X50" s="2">
        <v>1.7777777777777699</v>
      </c>
      <c r="Y50" s="2">
        <v>0.41943524640392998</v>
      </c>
      <c r="Z50" s="7">
        <v>97.900744896972</v>
      </c>
      <c r="AA50" s="2">
        <v>5.0871558166833903</v>
      </c>
      <c r="AB50" s="7">
        <v>90.9375</v>
      </c>
      <c r="AC50" s="2">
        <v>3.53898489153333</v>
      </c>
      <c r="AD50" s="2">
        <v>107.954545454545</v>
      </c>
      <c r="AE50" s="2">
        <v>19.3849114877635</v>
      </c>
      <c r="AF50" s="2">
        <v>131.788079470198</v>
      </c>
      <c r="AG50" s="2">
        <v>14.4751609234398</v>
      </c>
      <c r="AH50" s="2">
        <v>85.714285714285694</v>
      </c>
      <c r="AI50" s="2">
        <v>46.838846602157098</v>
      </c>
      <c r="AJ50" s="2">
        <v>163.636363636363</v>
      </c>
      <c r="AK50" s="2">
        <v>54.545454545454596</v>
      </c>
      <c r="AL50" s="2">
        <v>79.012345679012299</v>
      </c>
      <c r="AM50" s="2">
        <v>18.641566506841301</v>
      </c>
      <c r="AN50"/>
      <c r="AO50"/>
    </row>
    <row r="51" spans="1:41" ht="15.75" customHeight="1" x14ac:dyDescent="0.45">
      <c r="A51" s="2" t="s">
        <v>107</v>
      </c>
      <c r="B51" s="2" t="s">
        <v>108</v>
      </c>
      <c r="C51" s="2">
        <v>0.01</v>
      </c>
      <c r="D51" s="2"/>
      <c r="E51" s="2" t="s">
        <v>109</v>
      </c>
      <c r="F51" s="2" t="s">
        <v>84</v>
      </c>
      <c r="H51" s="2">
        <v>0.1</v>
      </c>
      <c r="J51" s="2">
        <v>0.1</v>
      </c>
      <c r="K51" s="2">
        <v>30.9444444444444</v>
      </c>
      <c r="L51" s="2"/>
      <c r="M51" s="2">
        <v>2.6736020923368602</v>
      </c>
      <c r="N51" s="2">
        <v>113.555555555555</v>
      </c>
      <c r="O51" s="2">
        <v>5.5934816560918899</v>
      </c>
      <c r="P51" s="2">
        <v>23.6666666666666</v>
      </c>
      <c r="Q51" s="2">
        <v>2.4209731743890099</v>
      </c>
      <c r="R51" s="2">
        <v>2.7222222222222201</v>
      </c>
      <c r="S51" s="2">
        <v>0.58531409738070805</v>
      </c>
      <c r="T51" s="2">
        <v>4.6111111111111098</v>
      </c>
      <c r="U51" s="2">
        <v>1.20569635634504</v>
      </c>
      <c r="V51" s="2">
        <v>1</v>
      </c>
      <c r="W51" s="2">
        <v>0.33333333333333298</v>
      </c>
      <c r="X51" s="2">
        <v>2.6111111111111098</v>
      </c>
      <c r="Y51" s="2">
        <v>1.1097213530798899</v>
      </c>
      <c r="Z51" s="7">
        <v>79.094514849569407</v>
      </c>
      <c r="AA51" s="2">
        <v>3.8960112144588899</v>
      </c>
      <c r="AB51" s="7">
        <v>87.03125</v>
      </c>
      <c r="AC51" s="2">
        <v>7.5195058846974199</v>
      </c>
      <c r="AD51" s="2">
        <v>94.318181818181799</v>
      </c>
      <c r="AE51" s="2">
        <v>24.661970925239402</v>
      </c>
      <c r="AF51" s="2">
        <v>141.059602649006</v>
      </c>
      <c r="AG51" s="2">
        <v>14.429641436755601</v>
      </c>
      <c r="AH51" s="2">
        <v>116.666666666666</v>
      </c>
      <c r="AI51" s="2">
        <v>25.084889887744598</v>
      </c>
      <c r="AJ51" s="2">
        <v>163.636363636363</v>
      </c>
      <c r="AK51" s="2">
        <v>54.545454545454596</v>
      </c>
      <c r="AL51" s="2">
        <v>116.049382716049</v>
      </c>
      <c r="AM51" s="2">
        <v>49.320949025773302</v>
      </c>
      <c r="AN51"/>
      <c r="AO51"/>
    </row>
    <row r="52" spans="1:41" ht="15.75" customHeight="1" x14ac:dyDescent="0.45">
      <c r="A52" s="2" t="s">
        <v>107</v>
      </c>
      <c r="B52" s="2" t="s">
        <v>108</v>
      </c>
      <c r="C52" s="2">
        <v>0.03</v>
      </c>
      <c r="D52" s="2"/>
      <c r="E52" s="2" t="s">
        <v>109</v>
      </c>
      <c r="F52" s="2" t="s">
        <v>84</v>
      </c>
      <c r="H52" s="2">
        <v>0.1</v>
      </c>
      <c r="J52" s="2">
        <v>0.1</v>
      </c>
      <c r="K52" s="2">
        <v>26.1111111111111</v>
      </c>
      <c r="L52" s="2"/>
      <c r="M52" s="2">
        <v>3.1284240500668701</v>
      </c>
      <c r="N52" s="2">
        <v>111.055555555555</v>
      </c>
      <c r="O52" s="2">
        <v>2.0161385901820199</v>
      </c>
      <c r="P52" s="2">
        <v>30</v>
      </c>
      <c r="Q52" s="2">
        <v>3.3829638550307499</v>
      </c>
      <c r="R52" s="2">
        <v>2.1111111111111098</v>
      </c>
      <c r="S52" s="2">
        <v>0.25458753860865702</v>
      </c>
      <c r="T52" s="2">
        <v>5.6111111111111098</v>
      </c>
      <c r="U52" s="2">
        <v>1.61875580937038</v>
      </c>
      <c r="V52" s="2">
        <v>1.2777777777777699</v>
      </c>
      <c r="W52" s="2">
        <v>0.48112522432468802</v>
      </c>
      <c r="X52" s="2">
        <v>2.5</v>
      </c>
      <c r="Y52" s="2">
        <v>0.16666666666666899</v>
      </c>
      <c r="Z52" s="7">
        <v>77.353197252587705</v>
      </c>
      <c r="AA52" s="2">
        <v>1.4042950420151401</v>
      </c>
      <c r="AB52" s="7">
        <v>73.4375</v>
      </c>
      <c r="AC52" s="2">
        <v>8.7986926408130905</v>
      </c>
      <c r="AD52" s="2">
        <v>114.772727272727</v>
      </c>
      <c r="AE52" s="2">
        <v>33.110914282575898</v>
      </c>
      <c r="AF52" s="2">
        <v>178.80794701986699</v>
      </c>
      <c r="AG52" s="2">
        <v>20.163360725348799</v>
      </c>
      <c r="AH52" s="2">
        <v>90.476190476190396</v>
      </c>
      <c r="AI52" s="2">
        <v>10.910894511799601</v>
      </c>
      <c r="AJ52" s="2">
        <v>209.09090909090901</v>
      </c>
      <c r="AK52" s="2">
        <v>78.729582162221604</v>
      </c>
      <c r="AL52" s="2">
        <v>111.111111111111</v>
      </c>
      <c r="AM52" s="2">
        <v>7.4074074074075096</v>
      </c>
      <c r="AN52"/>
      <c r="AO52"/>
    </row>
    <row r="53" spans="1:41" ht="15.75" customHeight="1" x14ac:dyDescent="0.45">
      <c r="A53" s="2" t="s">
        <v>107</v>
      </c>
      <c r="B53" s="2" t="s">
        <v>108</v>
      </c>
      <c r="C53" s="2">
        <v>0.1</v>
      </c>
      <c r="D53" s="2"/>
      <c r="E53" s="2" t="s">
        <v>109</v>
      </c>
      <c r="F53" s="2" t="s">
        <v>84</v>
      </c>
      <c r="H53" s="2">
        <v>0.1</v>
      </c>
      <c r="J53" s="2">
        <v>0.1</v>
      </c>
      <c r="K53" s="2">
        <v>17.9444444444444</v>
      </c>
      <c r="L53" s="2"/>
      <c r="M53" s="2">
        <v>2.34125638952283</v>
      </c>
      <c r="N53" s="2">
        <v>75.1111111111111</v>
      </c>
      <c r="O53" s="2">
        <v>11.5834332529662</v>
      </c>
      <c r="P53" s="2">
        <v>32.8333333333333</v>
      </c>
      <c r="Q53" s="2">
        <v>4.7521924764610697</v>
      </c>
      <c r="R53" s="2">
        <v>1.7777777777777699</v>
      </c>
      <c r="S53" s="2">
        <v>0.38490017945975102</v>
      </c>
      <c r="T53" s="2">
        <v>4.8333333333333304</v>
      </c>
      <c r="U53" s="2">
        <v>1.8027756377319899</v>
      </c>
      <c r="V53" s="2">
        <v>1.44444444444444</v>
      </c>
      <c r="W53" s="2">
        <v>0.58531409738070705</v>
      </c>
      <c r="X53" s="2">
        <v>2.6666666666666599</v>
      </c>
      <c r="Y53" s="2">
        <v>1.20185042515466</v>
      </c>
      <c r="Z53" s="7">
        <v>52.316919802650602</v>
      </c>
      <c r="AA53" s="2">
        <v>8.0681744627412897</v>
      </c>
      <c r="AB53" s="7">
        <v>50.46875</v>
      </c>
      <c r="AC53" s="2">
        <v>6.5847835955329801</v>
      </c>
      <c r="AD53" s="2">
        <v>98.863636363636303</v>
      </c>
      <c r="AE53" s="2">
        <v>36.874956226336202</v>
      </c>
      <c r="AF53" s="2">
        <v>195.69536423841001</v>
      </c>
      <c r="AG53" s="2">
        <v>28.3243260186421</v>
      </c>
      <c r="AH53" s="2">
        <v>76.190476190476105</v>
      </c>
      <c r="AI53" s="2">
        <v>16.495721976846401</v>
      </c>
      <c r="AJ53" s="2">
        <v>236.363636363636</v>
      </c>
      <c r="AK53" s="2">
        <v>95.778670480479306</v>
      </c>
      <c r="AL53" s="2">
        <v>118.51851851851799</v>
      </c>
      <c r="AM53" s="2">
        <v>53.415574451318399</v>
      </c>
      <c r="AN53"/>
      <c r="AO53"/>
    </row>
    <row r="54" spans="1:41" ht="15.75" customHeight="1" x14ac:dyDescent="0.45">
      <c r="A54" s="2" t="s">
        <v>107</v>
      </c>
      <c r="B54" s="2" t="s">
        <v>108</v>
      </c>
      <c r="C54" s="2">
        <v>0.3</v>
      </c>
      <c r="D54" s="2"/>
      <c r="E54" s="2" t="s">
        <v>109</v>
      </c>
      <c r="F54" s="2" t="s">
        <v>84</v>
      </c>
      <c r="H54" s="2">
        <v>0.1</v>
      </c>
      <c r="J54" s="2">
        <v>0.1</v>
      </c>
      <c r="K54" s="2">
        <v>8.5</v>
      </c>
      <c r="L54" s="2"/>
      <c r="M54" s="2">
        <v>3.1928740101113302</v>
      </c>
      <c r="N54" s="2">
        <v>50.5</v>
      </c>
      <c r="O54" s="2">
        <v>4.9525526527013</v>
      </c>
      <c r="P54" s="2">
        <v>39.6666666666666</v>
      </c>
      <c r="Q54" s="2">
        <v>8.2781506254584603</v>
      </c>
      <c r="R54" s="2">
        <v>0</v>
      </c>
      <c r="S54" s="2">
        <v>0</v>
      </c>
      <c r="T54" s="2">
        <v>2.5</v>
      </c>
      <c r="U54" s="2">
        <v>0.88191710368819698</v>
      </c>
      <c r="V54" s="2">
        <v>1.44444444444444</v>
      </c>
      <c r="W54" s="2">
        <v>0.69388866648870995</v>
      </c>
      <c r="X54" s="2">
        <v>1.6666666666666601</v>
      </c>
      <c r="Y54" s="2">
        <v>0.76376261582597305</v>
      </c>
      <c r="Z54" s="7">
        <v>35.174615459030598</v>
      </c>
      <c r="AA54" s="2">
        <v>3.4495868336508999</v>
      </c>
      <c r="AB54" s="7">
        <v>23.90625</v>
      </c>
      <c r="AC54" s="2">
        <v>8.9799581534381403</v>
      </c>
      <c r="AD54" s="2">
        <v>51.136363636363598</v>
      </c>
      <c r="AE54" s="2">
        <v>18.039213484531299</v>
      </c>
      <c r="AF54" s="2">
        <v>236.42384105960201</v>
      </c>
      <c r="AG54" s="2">
        <v>49.339970615315302</v>
      </c>
      <c r="AH54" s="2">
        <v>0</v>
      </c>
      <c r="AI54" s="2">
        <v>0</v>
      </c>
      <c r="AJ54" s="2">
        <v>236.363636363636</v>
      </c>
      <c r="AK54" s="2">
        <v>113.54541815269801</v>
      </c>
      <c r="AL54" s="2">
        <v>74.074074074074005</v>
      </c>
      <c r="AM54" s="2">
        <v>33.945005147821</v>
      </c>
      <c r="AN54"/>
      <c r="AO54"/>
    </row>
    <row r="55" spans="1:41" ht="15.75" customHeight="1" x14ac:dyDescent="0.45">
      <c r="A55" s="2" t="s">
        <v>107</v>
      </c>
      <c r="B55" s="2" t="s">
        <v>108</v>
      </c>
      <c r="C55" s="2">
        <v>1</v>
      </c>
      <c r="D55" s="2"/>
      <c r="E55" s="2" t="s">
        <v>109</v>
      </c>
      <c r="F55" s="2" t="s">
        <v>84</v>
      </c>
      <c r="H55" s="2">
        <v>0.1</v>
      </c>
      <c r="J55" s="2">
        <v>0.1</v>
      </c>
      <c r="K55" s="2">
        <v>0</v>
      </c>
      <c r="L55" s="2"/>
      <c r="M55" s="2">
        <v>0</v>
      </c>
      <c r="N55" s="2">
        <v>36</v>
      </c>
      <c r="O55" s="2">
        <v>7.3654599313281404</v>
      </c>
      <c r="P55" s="2">
        <v>26.7777777777777</v>
      </c>
      <c r="Q55" s="2">
        <v>1.10972135307981</v>
      </c>
      <c r="R55" s="2">
        <v>0</v>
      </c>
      <c r="S55" s="2">
        <v>0</v>
      </c>
      <c r="T55" s="2">
        <v>14.6111111111111</v>
      </c>
      <c r="U55" s="2">
        <v>20.2761034316352</v>
      </c>
      <c r="V55" s="2">
        <v>0.66666666666666596</v>
      </c>
      <c r="W55" s="2">
        <v>0.28867513459481298</v>
      </c>
      <c r="X55" s="2">
        <v>0.88888888888888795</v>
      </c>
      <c r="Y55" s="2">
        <v>0.78763593770876805</v>
      </c>
      <c r="Z55" s="7">
        <v>25.074973396536699</v>
      </c>
      <c r="AA55" s="2">
        <v>5.1302419953141696</v>
      </c>
      <c r="AB55" s="7">
        <v>0</v>
      </c>
      <c r="AC55" s="2">
        <v>0</v>
      </c>
      <c r="AD55" s="2">
        <v>298.86363636363598</v>
      </c>
      <c r="AE55" s="2">
        <v>414.73847928344799</v>
      </c>
      <c r="AF55" s="2">
        <v>159.60264900662199</v>
      </c>
      <c r="AG55" s="2">
        <v>6.6142332302770397</v>
      </c>
      <c r="AH55" s="2">
        <v>0</v>
      </c>
      <c r="AI55" s="2">
        <v>0</v>
      </c>
      <c r="AJ55" s="2">
        <v>109.09090909090899</v>
      </c>
      <c r="AK55" s="2">
        <v>47.237749297333004</v>
      </c>
      <c r="AL55" s="2">
        <v>39.5061728395061</v>
      </c>
      <c r="AM55" s="2">
        <v>35.006041675945198</v>
      </c>
      <c r="AN55"/>
      <c r="AO55"/>
    </row>
    <row r="56" spans="1:41" ht="15.75" customHeight="1" x14ac:dyDescent="0.45">
      <c r="A56" s="2" t="s">
        <v>107</v>
      </c>
      <c r="B56" s="2" t="s">
        <v>108</v>
      </c>
      <c r="C56" s="2">
        <v>3</v>
      </c>
      <c r="D56" s="2"/>
      <c r="E56" s="2" t="s">
        <v>109</v>
      </c>
      <c r="F56" s="2" t="s">
        <v>84</v>
      </c>
      <c r="H56" s="2">
        <v>0.1</v>
      </c>
      <c r="J56" s="2">
        <v>0.1</v>
      </c>
      <c r="K56" s="2">
        <v>0</v>
      </c>
      <c r="L56" s="2"/>
      <c r="M56" s="2">
        <v>0</v>
      </c>
      <c r="N56" s="2">
        <v>22.8888888888888</v>
      </c>
      <c r="O56" s="2">
        <v>2.8593576072128002</v>
      </c>
      <c r="P56" s="2">
        <v>20.2222222222222</v>
      </c>
      <c r="Q56" s="2">
        <v>5.2023854927153197</v>
      </c>
      <c r="R56" s="2">
        <v>0</v>
      </c>
      <c r="S56" s="2">
        <v>0</v>
      </c>
      <c r="T56" s="2">
        <v>5.05555555555555</v>
      </c>
      <c r="U56" s="2">
        <v>0.82214714371937303</v>
      </c>
      <c r="V56" s="2">
        <v>0.16666666666666599</v>
      </c>
      <c r="W56" s="2">
        <v>0.28867513459481198</v>
      </c>
      <c r="X56" s="2">
        <v>2</v>
      </c>
      <c r="Y56" s="2">
        <v>1.25830573921179</v>
      </c>
      <c r="Z56" s="7">
        <v>15.942729999032601</v>
      </c>
      <c r="AA56" s="2">
        <v>1.99161988700127</v>
      </c>
      <c r="AB56" s="7">
        <v>0</v>
      </c>
      <c r="AC56" s="2">
        <v>0</v>
      </c>
      <c r="AD56" s="2">
        <v>103.40909090909</v>
      </c>
      <c r="AE56" s="2">
        <v>16.8166461215326</v>
      </c>
      <c r="AF56" s="2">
        <v>120.529801324503</v>
      </c>
      <c r="AG56" s="2">
        <v>31.0075956519456</v>
      </c>
      <c r="AH56" s="2">
        <v>0</v>
      </c>
      <c r="AI56" s="2">
        <v>0</v>
      </c>
      <c r="AJ56" s="2">
        <v>27.272727272727199</v>
      </c>
      <c r="AK56" s="2">
        <v>47.237749297333004</v>
      </c>
      <c r="AL56" s="2">
        <v>88.8888888888888</v>
      </c>
      <c r="AM56" s="2">
        <v>55.924699520524001</v>
      </c>
      <c r="AN56"/>
      <c r="AO56"/>
    </row>
    <row r="57" spans="1:41" s="8" customFormat="1" ht="15.75" customHeight="1" x14ac:dyDescent="0.45">
      <c r="A57" s="7" t="s">
        <v>107</v>
      </c>
      <c r="B57" s="7" t="s">
        <v>108</v>
      </c>
      <c r="C57" s="7">
        <v>10</v>
      </c>
      <c r="D57" s="7"/>
      <c r="E57" s="7" t="s">
        <v>109</v>
      </c>
      <c r="F57" s="7" t="s">
        <v>84</v>
      </c>
      <c r="H57" s="7">
        <v>0.1</v>
      </c>
      <c r="J57" s="7">
        <v>0.1</v>
      </c>
      <c r="K57" s="7">
        <v>0</v>
      </c>
      <c r="L57" s="7"/>
      <c r="M57" s="7">
        <v>0</v>
      </c>
      <c r="N57" s="7">
        <v>5.3888888888888804</v>
      </c>
      <c r="O57" s="7">
        <v>0.53575837561072004</v>
      </c>
      <c r="P57" s="7">
        <v>15.9444444444444</v>
      </c>
      <c r="Q57" s="7">
        <v>4.8572206654209698</v>
      </c>
      <c r="R57" s="7">
        <v>0</v>
      </c>
      <c r="S57" s="7">
        <v>0</v>
      </c>
      <c r="T57" s="7">
        <v>22.2777777777777</v>
      </c>
      <c r="U57" s="7">
        <v>15.070513274947499</v>
      </c>
      <c r="V57" s="7">
        <v>0</v>
      </c>
      <c r="W57" s="7">
        <v>0</v>
      </c>
      <c r="X57" s="7">
        <v>3.55555555555555</v>
      </c>
      <c r="Y57" s="7">
        <v>3.2928092250527601</v>
      </c>
      <c r="Z57" s="7">
        <v>3.7535068201605801</v>
      </c>
      <c r="AA57" s="7">
        <v>0.37317019487251502</v>
      </c>
      <c r="AB57" s="7">
        <v>0</v>
      </c>
      <c r="AC57" s="7">
        <v>0</v>
      </c>
      <c r="AD57" s="7">
        <v>455.68181818181802</v>
      </c>
      <c r="AE57" s="7">
        <v>308.26049880574499</v>
      </c>
      <c r="AF57" s="7">
        <v>95.033112582781399</v>
      </c>
      <c r="AG57" s="7">
        <v>28.950321846880001</v>
      </c>
      <c r="AH57" s="7">
        <v>0</v>
      </c>
      <c r="AI57" s="7">
        <v>0</v>
      </c>
      <c r="AJ57" s="7">
        <v>0</v>
      </c>
      <c r="AK57" s="7">
        <v>0</v>
      </c>
      <c r="AL57" s="7">
        <v>158.024691358024</v>
      </c>
      <c r="AM57" s="7">
        <v>146.34707666901099</v>
      </c>
    </row>
    <row r="58" spans="1:41" ht="15.75" customHeight="1" x14ac:dyDescent="0.45">
      <c r="A58" s="2" t="s">
        <v>107</v>
      </c>
      <c r="B58" s="2" t="s">
        <v>108</v>
      </c>
      <c r="C58" s="2">
        <v>3.0000000000000001E-3</v>
      </c>
      <c r="D58" s="2"/>
      <c r="E58" s="2" t="s">
        <v>109</v>
      </c>
      <c r="F58" s="2" t="s">
        <v>84</v>
      </c>
      <c r="H58" s="2">
        <v>0.1</v>
      </c>
      <c r="J58" s="2">
        <v>0.1</v>
      </c>
      <c r="K58" s="2">
        <v>33.2222222222222</v>
      </c>
      <c r="L58" s="2"/>
      <c r="M58" s="2">
        <v>3.1681283176407402</v>
      </c>
      <c r="N58" s="2">
        <v>258.888888888888</v>
      </c>
      <c r="O58" s="2">
        <v>15.302807779159201</v>
      </c>
      <c r="P58" s="2">
        <v>12.3888888888888</v>
      </c>
      <c r="Q58" s="2">
        <v>3.6717136981907199</v>
      </c>
      <c r="R58" s="2">
        <v>2.05555555555555</v>
      </c>
      <c r="S58" s="2">
        <v>0.69388866648871095</v>
      </c>
      <c r="T58" s="2">
        <v>8.9444444444444393</v>
      </c>
      <c r="U58" s="2">
        <v>0.9477067838462</v>
      </c>
      <c r="V58" s="2">
        <v>0.55555555555555503</v>
      </c>
      <c r="W58" s="2">
        <v>0.25458753860865702</v>
      </c>
      <c r="X58" s="2">
        <v>2.88888888888888</v>
      </c>
      <c r="Y58" s="2">
        <v>9.6225044864948206E-2</v>
      </c>
      <c r="Z58" s="7">
        <v>109.242220008204</v>
      </c>
      <c r="AA58" s="2">
        <v>6.4572593336427797</v>
      </c>
      <c r="AB58" s="7">
        <v>94.845360824742201</v>
      </c>
      <c r="AC58" s="2">
        <v>9.0446169258578006</v>
      </c>
      <c r="AD58" s="2">
        <v>112.19512195121899</v>
      </c>
      <c r="AE58" s="2">
        <v>11.8876112259453</v>
      </c>
      <c r="AF58" s="2">
        <v>89.2</v>
      </c>
      <c r="AG58" s="2">
        <v>26.4363386269732</v>
      </c>
      <c r="AH58" s="2">
        <v>112.977099236641</v>
      </c>
      <c r="AI58" s="2">
        <v>38.137392356631402</v>
      </c>
      <c r="AJ58" s="2">
        <v>85.106382978723303</v>
      </c>
      <c r="AK58" s="2">
        <v>39.0006442123901</v>
      </c>
      <c r="AL58" s="2">
        <v>75.636363636363598</v>
      </c>
      <c r="AM58" s="2">
        <v>2.5193466291913702</v>
      </c>
      <c r="AN58"/>
      <c r="AO58"/>
    </row>
    <row r="59" spans="1:41" ht="15.75" customHeight="1" x14ac:dyDescent="0.45">
      <c r="A59" s="2" t="s">
        <v>107</v>
      </c>
      <c r="B59" s="2" t="s">
        <v>108</v>
      </c>
      <c r="C59" s="2">
        <v>0.01</v>
      </c>
      <c r="D59" s="2"/>
      <c r="E59" s="2" t="s">
        <v>109</v>
      </c>
      <c r="F59" s="2" t="s">
        <v>84</v>
      </c>
      <c r="H59" s="2">
        <v>0.1</v>
      </c>
      <c r="J59" s="2">
        <v>0.1</v>
      </c>
      <c r="K59" s="2">
        <v>31.6666666666666</v>
      </c>
      <c r="L59" s="2"/>
      <c r="M59" s="2">
        <v>1.3017082793178201</v>
      </c>
      <c r="N59" s="2">
        <v>198.888888888888</v>
      </c>
      <c r="O59" s="2">
        <v>20.172405060525399</v>
      </c>
      <c r="P59" s="2">
        <v>14</v>
      </c>
      <c r="Q59" s="2">
        <v>3.5000000000000102</v>
      </c>
      <c r="R59" s="2">
        <v>1.8333333333333299</v>
      </c>
      <c r="S59" s="2">
        <v>0.44095855184409899</v>
      </c>
      <c r="T59" s="2">
        <v>9.8333333333333304</v>
      </c>
      <c r="U59" s="2">
        <v>3.11359028204489</v>
      </c>
      <c r="V59" s="2">
        <v>0.88888888888888795</v>
      </c>
      <c r="W59" s="2">
        <v>0.38490017945975002</v>
      </c>
      <c r="X59" s="2">
        <v>3.6666666666666599</v>
      </c>
      <c r="Y59" s="2">
        <v>0.60092521257732801</v>
      </c>
      <c r="Z59" s="7">
        <v>83.924280607161705</v>
      </c>
      <c r="AA59" s="2">
        <v>8.5120621482613306</v>
      </c>
      <c r="AB59" s="7">
        <v>90.4044409199048</v>
      </c>
      <c r="AC59" s="2">
        <v>3.7162171336591299</v>
      </c>
      <c r="AD59" s="2">
        <v>123.344947735191</v>
      </c>
      <c r="AE59" s="2">
        <v>39.055487858402898</v>
      </c>
      <c r="AF59" s="2">
        <v>100.8</v>
      </c>
      <c r="AG59" s="2">
        <v>25.200000000000099</v>
      </c>
      <c r="AH59" s="2">
        <v>100.763358778625</v>
      </c>
      <c r="AI59" s="2">
        <v>24.2358898723474</v>
      </c>
      <c r="AJ59" s="2">
        <v>136.17021276595699</v>
      </c>
      <c r="AK59" s="2">
        <v>58.963431747025602</v>
      </c>
      <c r="AL59" s="2">
        <v>96</v>
      </c>
      <c r="AM59" s="2">
        <v>15.73331465657</v>
      </c>
      <c r="AN59"/>
      <c r="AO59"/>
    </row>
    <row r="60" spans="1:41" ht="15.75" customHeight="1" x14ac:dyDescent="0.45">
      <c r="A60" s="2" t="s">
        <v>107</v>
      </c>
      <c r="B60" s="2" t="s">
        <v>108</v>
      </c>
      <c r="C60" s="2">
        <v>0.03</v>
      </c>
      <c r="D60" s="2"/>
      <c r="E60" s="2" t="s">
        <v>109</v>
      </c>
      <c r="F60" s="2" t="s">
        <v>84</v>
      </c>
      <c r="H60" s="2">
        <v>0.1</v>
      </c>
      <c r="J60" s="2">
        <v>0.1</v>
      </c>
      <c r="K60" s="2">
        <v>24.0555555555555</v>
      </c>
      <c r="L60" s="2"/>
      <c r="M60" s="2">
        <v>1.8733017000097001</v>
      </c>
      <c r="N60" s="2">
        <v>198.611111111111</v>
      </c>
      <c r="O60" s="2">
        <v>21.961034516548199</v>
      </c>
      <c r="P60" s="2">
        <v>17.2222222222222</v>
      </c>
      <c r="Q60" s="2">
        <v>1.1097213530799099</v>
      </c>
      <c r="R60" s="2">
        <v>1.1666666666666601</v>
      </c>
      <c r="S60" s="2">
        <v>1.0137937550497</v>
      </c>
      <c r="T60" s="2">
        <v>8.1666666666666607</v>
      </c>
      <c r="U60" s="2">
        <v>1.42400062421958</v>
      </c>
      <c r="V60" s="2">
        <v>1</v>
      </c>
      <c r="W60" s="2">
        <v>0.28867513459481298</v>
      </c>
      <c r="X60" s="2">
        <v>3.2777777777777701</v>
      </c>
      <c r="Y60" s="2">
        <v>0.67357531405456195</v>
      </c>
      <c r="Z60" s="7">
        <v>83.807067924749404</v>
      </c>
      <c r="AA60" s="2">
        <v>9.2668023512364197</v>
      </c>
      <c r="AB60" s="7">
        <v>68.675654242664507</v>
      </c>
      <c r="AC60" s="2">
        <v>5.3480460904321303</v>
      </c>
      <c r="AD60" s="2">
        <v>102.43902439024301</v>
      </c>
      <c r="AE60" s="2">
        <v>17.8620287358554</v>
      </c>
      <c r="AF60" s="2">
        <v>124</v>
      </c>
      <c r="AG60" s="2">
        <v>7.9899937421754004</v>
      </c>
      <c r="AH60" s="2">
        <v>64.122137404580101</v>
      </c>
      <c r="AI60" s="2">
        <v>55.719962109602001</v>
      </c>
      <c r="AJ60" s="2">
        <v>153.191489361702</v>
      </c>
      <c r="AK60" s="2">
        <v>44.222573810269203</v>
      </c>
      <c r="AL60" s="2">
        <v>85.818181818181799</v>
      </c>
      <c r="AM60" s="2">
        <v>17.635426404337601</v>
      </c>
      <c r="AN60"/>
      <c r="AO60"/>
    </row>
    <row r="61" spans="1:41" ht="15.75" customHeight="1" x14ac:dyDescent="0.45">
      <c r="A61" s="2" t="s">
        <v>107</v>
      </c>
      <c r="B61" s="2" t="s">
        <v>108</v>
      </c>
      <c r="C61" s="2">
        <v>0.1</v>
      </c>
      <c r="D61" s="2"/>
      <c r="E61" s="2" t="s">
        <v>109</v>
      </c>
      <c r="F61" s="2" t="s">
        <v>84</v>
      </c>
      <c r="H61" s="2">
        <v>0.1</v>
      </c>
      <c r="J61" s="2">
        <v>0.1</v>
      </c>
      <c r="K61" s="2">
        <v>20.6666666666666</v>
      </c>
      <c r="L61" s="2"/>
      <c r="M61" s="2">
        <v>3.3458099833141399</v>
      </c>
      <c r="N61" s="2">
        <v>161.777777777777</v>
      </c>
      <c r="O61" s="2">
        <v>12.782728509521901</v>
      </c>
      <c r="P61" s="2">
        <v>21.2777777777777</v>
      </c>
      <c r="Q61" s="2">
        <v>2.3114048958571698</v>
      </c>
      <c r="R61" s="2">
        <v>1.88888888888888</v>
      </c>
      <c r="S61" s="2">
        <v>0.63098981620003003</v>
      </c>
      <c r="T61" s="2">
        <v>9.55555555555555</v>
      </c>
      <c r="U61" s="2">
        <v>1.3368010461684501</v>
      </c>
      <c r="V61" s="2">
        <v>1.55555555555555</v>
      </c>
      <c r="W61" s="2">
        <v>0.41943524640392998</v>
      </c>
      <c r="X61" s="2">
        <v>2.8333333333333299</v>
      </c>
      <c r="Y61" s="2">
        <v>1.1666666666666601</v>
      </c>
      <c r="Z61" s="7">
        <v>68.264666236886796</v>
      </c>
      <c r="AA61" s="2">
        <v>5.3938724297344098</v>
      </c>
      <c r="AB61" s="7">
        <v>59.000793021411504</v>
      </c>
      <c r="AC61" s="2">
        <v>9.5518762410237095</v>
      </c>
      <c r="AD61" s="2">
        <v>119.8606271777</v>
      </c>
      <c r="AE61" s="2">
        <v>16.768236119186099</v>
      </c>
      <c r="AF61" s="2">
        <v>153.19999999999999</v>
      </c>
      <c r="AG61" s="2">
        <v>16.642115250171599</v>
      </c>
      <c r="AH61" s="2">
        <v>103.816793893129</v>
      </c>
      <c r="AI61" s="2">
        <v>34.6803563102307</v>
      </c>
      <c r="AJ61" s="2">
        <v>238.29787234042499</v>
      </c>
      <c r="AK61" s="2">
        <v>64.253910087410503</v>
      </c>
      <c r="AL61" s="2">
        <v>74.181818181818102</v>
      </c>
      <c r="AM61" s="2">
        <v>30.545454545454501</v>
      </c>
      <c r="AN61"/>
      <c r="AO61"/>
    </row>
    <row r="62" spans="1:41" ht="15.75" customHeight="1" x14ac:dyDescent="0.45">
      <c r="A62" s="2" t="s">
        <v>107</v>
      </c>
      <c r="B62" s="2" t="s">
        <v>108</v>
      </c>
      <c r="C62" s="2">
        <v>0.3</v>
      </c>
      <c r="D62" s="2"/>
      <c r="E62" s="2" t="s">
        <v>109</v>
      </c>
      <c r="F62" s="2" t="s">
        <v>84</v>
      </c>
      <c r="H62" s="2">
        <v>0.1</v>
      </c>
      <c r="J62" s="2">
        <v>0.1</v>
      </c>
      <c r="K62" s="2">
        <v>8.3333333333333304</v>
      </c>
      <c r="L62" s="2"/>
      <c r="M62" s="2">
        <v>1.32287565553229</v>
      </c>
      <c r="N62" s="2">
        <v>104.944444444444</v>
      </c>
      <c r="O62" s="2">
        <v>15.9080110263607</v>
      </c>
      <c r="P62" s="2">
        <v>25.5</v>
      </c>
      <c r="Q62" s="2">
        <v>4.3108390521258704</v>
      </c>
      <c r="R62" s="2">
        <v>0.77777777777777701</v>
      </c>
      <c r="S62" s="2">
        <v>1.0584754935143099</v>
      </c>
      <c r="T62" s="2">
        <v>12.8333333333333</v>
      </c>
      <c r="U62" s="2">
        <v>3.84418753155694</v>
      </c>
      <c r="V62" s="2">
        <v>1.1111111111111101</v>
      </c>
      <c r="W62" s="2">
        <v>0.63098981620003003</v>
      </c>
      <c r="X62" s="2">
        <v>2.05555555555555</v>
      </c>
      <c r="Y62" s="2">
        <v>0.82214714371937403</v>
      </c>
      <c r="Z62" s="7">
        <v>44.282951415343099</v>
      </c>
      <c r="AA62" s="2">
        <v>6.7126343192754501</v>
      </c>
      <c r="AB62" s="7">
        <v>23.790642347343301</v>
      </c>
      <c r="AC62" s="2">
        <v>3.77664739089313</v>
      </c>
      <c r="AD62" s="2">
        <v>160.97560975609699</v>
      </c>
      <c r="AE62" s="2">
        <v>48.219773914999898</v>
      </c>
      <c r="AF62" s="2">
        <v>183.6</v>
      </c>
      <c r="AG62" s="2">
        <v>31.038041175306201</v>
      </c>
      <c r="AH62" s="2">
        <v>42.748091603053403</v>
      </c>
      <c r="AI62" s="2">
        <v>58.175752315290502</v>
      </c>
      <c r="AJ62" s="2">
        <v>170.21276595744601</v>
      </c>
      <c r="AK62" s="2">
        <v>96.662269715749304</v>
      </c>
      <c r="AL62" s="2">
        <v>53.818181818181799</v>
      </c>
      <c r="AM62" s="2">
        <v>21.525307035561799</v>
      </c>
      <c r="AN62"/>
      <c r="AO62"/>
    </row>
    <row r="63" spans="1:41" ht="15.75" customHeight="1" x14ac:dyDescent="0.45">
      <c r="A63" s="2" t="s">
        <v>107</v>
      </c>
      <c r="B63" s="2" t="s">
        <v>108</v>
      </c>
      <c r="C63" s="2">
        <v>1</v>
      </c>
      <c r="D63" s="2"/>
      <c r="E63" s="2" t="s">
        <v>109</v>
      </c>
      <c r="F63" s="2" t="s">
        <v>84</v>
      </c>
      <c r="H63" s="2">
        <v>0.1</v>
      </c>
      <c r="J63" s="2">
        <v>0.1</v>
      </c>
      <c r="K63" s="2">
        <v>0</v>
      </c>
      <c r="L63" s="2"/>
      <c r="M63" s="2">
        <v>0</v>
      </c>
      <c r="N63" s="2">
        <v>63</v>
      </c>
      <c r="O63" s="2">
        <v>3.2998316455373198</v>
      </c>
      <c r="P63" s="2">
        <v>21.75</v>
      </c>
      <c r="Q63" s="2">
        <v>2.71057599454846</v>
      </c>
      <c r="R63" s="2">
        <v>0</v>
      </c>
      <c r="S63" s="2">
        <v>0</v>
      </c>
      <c r="T63" s="2">
        <v>16.75</v>
      </c>
      <c r="U63" s="2">
        <v>7.6603234628542696</v>
      </c>
      <c r="V63" s="2">
        <v>1.0833333333333299</v>
      </c>
      <c r="W63" s="2">
        <v>0.117851130197757</v>
      </c>
      <c r="X63" s="2">
        <v>1.5</v>
      </c>
      <c r="Y63" s="2">
        <v>1.6499158227686099</v>
      </c>
      <c r="Z63" s="7">
        <v>26.583836371095298</v>
      </c>
      <c r="AA63" s="2">
        <v>1.39241562725597</v>
      </c>
      <c r="AB63" s="7">
        <v>0</v>
      </c>
      <c r="AC63" s="2">
        <v>0</v>
      </c>
      <c r="AD63" s="2">
        <v>210.10452961672399</v>
      </c>
      <c r="AE63" s="2">
        <v>96.087681067161597</v>
      </c>
      <c r="AF63" s="2">
        <v>156.6</v>
      </c>
      <c r="AG63" s="2">
        <v>19.516147160748901</v>
      </c>
      <c r="AH63" s="2">
        <v>0</v>
      </c>
      <c r="AI63" s="2">
        <v>0</v>
      </c>
      <c r="AJ63" s="2">
        <v>165.95744680851001</v>
      </c>
      <c r="AK63" s="2">
        <v>18.0537901579543</v>
      </c>
      <c r="AL63" s="2">
        <v>39.272727272727202</v>
      </c>
      <c r="AM63" s="2">
        <v>43.1977960870327</v>
      </c>
      <c r="AN63"/>
      <c r="AO63"/>
    </row>
    <row r="64" spans="1:41" ht="15.75" customHeight="1" x14ac:dyDescent="0.45">
      <c r="A64" s="2" t="s">
        <v>107</v>
      </c>
      <c r="B64" s="2" t="s">
        <v>108</v>
      </c>
      <c r="C64" s="2">
        <v>3</v>
      </c>
      <c r="D64" s="2"/>
      <c r="E64" s="2" t="s">
        <v>109</v>
      </c>
      <c r="F64" s="2" t="s">
        <v>84</v>
      </c>
      <c r="H64" s="2">
        <v>0.1</v>
      </c>
      <c r="J64" s="2">
        <v>0.1</v>
      </c>
      <c r="K64" s="2">
        <v>0</v>
      </c>
      <c r="L64" s="2"/>
      <c r="M64" s="2">
        <v>0</v>
      </c>
      <c r="N64" s="2">
        <v>26.7777777777777</v>
      </c>
      <c r="O64" s="2">
        <v>1.4369463507086</v>
      </c>
      <c r="P64" s="2">
        <v>21.3888888888888</v>
      </c>
      <c r="Q64" s="2">
        <v>1.0844011831079701</v>
      </c>
      <c r="R64" s="2">
        <v>0.44444444444444398</v>
      </c>
      <c r="S64" s="2">
        <v>0.76980035891950105</v>
      </c>
      <c r="T64" s="2">
        <v>10.7222222222222</v>
      </c>
      <c r="U64" s="2">
        <v>7.0913353493567701</v>
      </c>
      <c r="V64" s="2">
        <v>1.8333333333333299</v>
      </c>
      <c r="W64" s="2">
        <v>1.4433756729740601</v>
      </c>
      <c r="X64" s="2">
        <v>2.55555555555555</v>
      </c>
      <c r="Y64" s="2">
        <v>0.25458753860865702</v>
      </c>
      <c r="Z64" s="7">
        <v>11.2993025845396</v>
      </c>
      <c r="AA64" s="2">
        <v>0.60634201049651104</v>
      </c>
      <c r="AB64" s="7">
        <v>0</v>
      </c>
      <c r="AC64" s="2">
        <v>0</v>
      </c>
      <c r="AD64" s="2">
        <v>134.494773519163</v>
      </c>
      <c r="AE64" s="2">
        <v>88.950547936182502</v>
      </c>
      <c r="AF64" s="2">
        <v>154</v>
      </c>
      <c r="AG64" s="2">
        <v>7.8076885183774296</v>
      </c>
      <c r="AH64" s="2">
        <v>24.4274809160305</v>
      </c>
      <c r="AI64" s="2">
        <v>42.309638047484</v>
      </c>
      <c r="AJ64" s="2">
        <v>280.85106382978699</v>
      </c>
      <c r="AK64" s="2">
        <v>221.112869051345</v>
      </c>
      <c r="AL64" s="2">
        <v>66.909090909090907</v>
      </c>
      <c r="AM64" s="2">
        <v>6.6655646472084999</v>
      </c>
      <c r="AN64"/>
      <c r="AO64"/>
    </row>
    <row r="65" spans="1:41" s="8" customFormat="1" ht="15.75" customHeight="1" x14ac:dyDescent="0.45">
      <c r="A65" s="7" t="s">
        <v>107</v>
      </c>
      <c r="B65" s="7" t="s">
        <v>108</v>
      </c>
      <c r="C65" s="7">
        <v>10</v>
      </c>
      <c r="D65" s="7"/>
      <c r="E65" s="7" t="s">
        <v>109</v>
      </c>
      <c r="F65" s="7" t="s">
        <v>84</v>
      </c>
      <c r="H65" s="7">
        <v>0.1</v>
      </c>
      <c r="J65" s="7">
        <v>0.1</v>
      </c>
      <c r="K65" s="7">
        <v>0.83333333333333304</v>
      </c>
      <c r="L65" s="7"/>
      <c r="M65" s="7">
        <v>1.4433756729740601</v>
      </c>
      <c r="N65" s="7">
        <v>38.6666666666666</v>
      </c>
      <c r="O65" s="7">
        <v>11.3920049937567</v>
      </c>
      <c r="P65" s="7">
        <v>27.5555555555555</v>
      </c>
      <c r="Q65" s="7">
        <v>4.2470033008036596</v>
      </c>
      <c r="R65" s="7">
        <v>0</v>
      </c>
      <c r="S65" s="7">
        <v>0</v>
      </c>
      <c r="T65" s="7">
        <v>13.4444444444444</v>
      </c>
      <c r="U65" s="7">
        <v>6.1380718410528399</v>
      </c>
      <c r="V65" s="7">
        <v>1.55555555555555</v>
      </c>
      <c r="W65" s="7">
        <v>0.34694433324435697</v>
      </c>
      <c r="X65" s="7">
        <v>1.5</v>
      </c>
      <c r="Y65" s="7">
        <v>0.92796072713833699</v>
      </c>
      <c r="Z65" s="7">
        <v>16.3160053917833</v>
      </c>
      <c r="AA65" s="7">
        <v>4.8070348681385697</v>
      </c>
      <c r="AB65" s="7">
        <v>2.3790642347343298</v>
      </c>
      <c r="AC65" s="7">
        <v>4.1206601290298401</v>
      </c>
      <c r="AD65" s="7">
        <v>168.64111498257799</v>
      </c>
      <c r="AE65" s="7">
        <v>76.993235636899797</v>
      </c>
      <c r="AF65" s="7">
        <v>198.4</v>
      </c>
      <c r="AG65" s="7">
        <v>30.578423765786301</v>
      </c>
      <c r="AH65" s="7">
        <v>0</v>
      </c>
      <c r="AI65" s="7">
        <v>0</v>
      </c>
      <c r="AJ65" s="7">
        <v>238.29787234042499</v>
      </c>
      <c r="AK65" s="7">
        <v>53.148919135305697</v>
      </c>
      <c r="AL65" s="7">
        <v>39.272727272727202</v>
      </c>
      <c r="AM65" s="7">
        <v>24.295699037803701</v>
      </c>
    </row>
    <row r="66" spans="1:41" ht="15.75" customHeight="1" x14ac:dyDescent="0.45">
      <c r="A66" s="2" t="s">
        <v>107</v>
      </c>
      <c r="B66" s="2" t="s">
        <v>108</v>
      </c>
      <c r="C66" s="2">
        <v>3.0000000000000001E-3</v>
      </c>
      <c r="D66" s="2"/>
      <c r="E66" s="2" t="s">
        <v>83</v>
      </c>
      <c r="F66" s="2" t="s">
        <v>110</v>
      </c>
      <c r="H66" s="2">
        <v>1.1000000000000001</v>
      </c>
      <c r="J66" s="2">
        <v>1.1000000000000001</v>
      </c>
      <c r="K66" s="2">
        <v>38.5555555555555</v>
      </c>
      <c r="L66" s="2"/>
      <c r="M66" s="2">
        <v>3.7280220155128099</v>
      </c>
      <c r="N66" s="2">
        <v>274.944444444444</v>
      </c>
      <c r="O66" s="2">
        <v>23.919037822838199</v>
      </c>
      <c r="P66" s="2">
        <v>11.1111111111111</v>
      </c>
      <c r="Q66" s="2">
        <v>0.85526690657447202</v>
      </c>
      <c r="R66" s="2">
        <v>2.7777777777777701</v>
      </c>
      <c r="S66" s="2">
        <v>0.63098981620003003</v>
      </c>
      <c r="T66" s="2">
        <v>9.3333333333333304</v>
      </c>
      <c r="U66" s="2">
        <v>3.17542648054294</v>
      </c>
      <c r="V66" s="2">
        <v>0.66666666666666596</v>
      </c>
      <c r="W66" s="2">
        <v>0.33333333333333298</v>
      </c>
      <c r="X66" s="2">
        <v>1.38888888888888</v>
      </c>
      <c r="Y66" s="2">
        <v>0.50917507721731503</v>
      </c>
      <c r="Z66" s="7">
        <v>120.238095238095</v>
      </c>
      <c r="AA66" s="2">
        <v>10.4602206222324</v>
      </c>
      <c r="AB66" s="7">
        <v>107.181467181467</v>
      </c>
      <c r="AC66" s="2">
        <v>10.363613324977701</v>
      </c>
      <c r="AD66" s="2">
        <v>106.32911392405001</v>
      </c>
      <c r="AE66" s="2">
        <v>36.1757447150461</v>
      </c>
      <c r="AF66" s="2">
        <v>106.10079575596799</v>
      </c>
      <c r="AG66" s="2">
        <v>8.1670049434166998</v>
      </c>
      <c r="AH66" s="2">
        <v>102.04081632653001</v>
      </c>
      <c r="AI66" s="2">
        <v>23.1792177379603</v>
      </c>
      <c r="AJ66" s="2">
        <v>141.17647058823499</v>
      </c>
      <c r="AK66" s="2">
        <v>70.588235294117695</v>
      </c>
      <c r="AL66" s="2">
        <v>80.645161290322505</v>
      </c>
      <c r="AM66" s="2">
        <v>29.565004483586002</v>
      </c>
      <c r="AN66"/>
      <c r="AO66"/>
    </row>
    <row r="67" spans="1:41" ht="15.75" customHeight="1" x14ac:dyDescent="0.45">
      <c r="A67" s="2" t="s">
        <v>107</v>
      </c>
      <c r="B67" s="2" t="s">
        <v>108</v>
      </c>
      <c r="C67" s="2">
        <v>0.01</v>
      </c>
      <c r="D67" s="2"/>
      <c r="E67" s="2" t="s">
        <v>83</v>
      </c>
      <c r="F67" s="2" t="s">
        <v>110</v>
      </c>
      <c r="H67" s="2">
        <v>1.1000000000000001</v>
      </c>
      <c r="J67" s="2">
        <v>1.1000000000000001</v>
      </c>
      <c r="K67" s="2">
        <v>34</v>
      </c>
      <c r="L67" s="2"/>
      <c r="M67" s="2">
        <v>2.9486343354922999</v>
      </c>
      <c r="N67" s="2">
        <v>258.05555555555497</v>
      </c>
      <c r="O67" s="2">
        <v>5.2713411042169698</v>
      </c>
      <c r="P67" s="2">
        <v>13.1666666666666</v>
      </c>
      <c r="Q67" s="2">
        <v>0.28867513459487798</v>
      </c>
      <c r="R67" s="2">
        <v>2.38888888888888</v>
      </c>
      <c r="S67" s="2">
        <v>0.48112522432468502</v>
      </c>
      <c r="T67" s="2">
        <v>6.2777777777777697</v>
      </c>
      <c r="U67" s="2">
        <v>1.1097213530798899</v>
      </c>
      <c r="V67" s="2">
        <v>0.66666666666666596</v>
      </c>
      <c r="W67" s="2">
        <v>0.16666666666666699</v>
      </c>
      <c r="X67" s="2">
        <v>1.2777777777777699</v>
      </c>
      <c r="Y67" s="2">
        <v>0.41943524640392998</v>
      </c>
      <c r="Z67" s="7">
        <v>112.852283770651</v>
      </c>
      <c r="AA67" s="2">
        <v>2.3052512117566901</v>
      </c>
      <c r="AB67" s="7">
        <v>94.517374517374407</v>
      </c>
      <c r="AC67" s="2">
        <v>8.1969757588975103</v>
      </c>
      <c r="AD67" s="2">
        <v>71.518987341772103</v>
      </c>
      <c r="AE67" s="2">
        <v>12.642395161669601</v>
      </c>
      <c r="AF67" s="2">
        <v>125.72944297082201</v>
      </c>
      <c r="AG67" s="2">
        <v>2.756579534593</v>
      </c>
      <c r="AH67" s="2">
        <v>87.755102040816297</v>
      </c>
      <c r="AI67" s="2">
        <v>17.6739878323353</v>
      </c>
      <c r="AJ67" s="2">
        <v>141.17647058823499</v>
      </c>
      <c r="AK67" s="2">
        <v>35.294117647058897</v>
      </c>
      <c r="AL67" s="2">
        <v>74.193548387096698</v>
      </c>
      <c r="AM67" s="2">
        <v>24.354304629905599</v>
      </c>
      <c r="AN67"/>
      <c r="AO67"/>
    </row>
    <row r="68" spans="1:41" ht="15.75" customHeight="1" x14ac:dyDescent="0.45">
      <c r="A68" s="2" t="s">
        <v>107</v>
      </c>
      <c r="B68" s="2" t="s">
        <v>108</v>
      </c>
      <c r="C68" s="2">
        <v>0.03</v>
      </c>
      <c r="D68" s="2"/>
      <c r="E68" s="2" t="s">
        <v>83</v>
      </c>
      <c r="F68" s="2" t="s">
        <v>110</v>
      </c>
      <c r="H68" s="2">
        <v>1.1000000000000001</v>
      </c>
      <c r="J68" s="2">
        <v>1.1000000000000001</v>
      </c>
      <c r="K68" s="2">
        <v>27.8333333333333</v>
      </c>
      <c r="L68" s="2"/>
      <c r="M68" s="2">
        <v>1.0137937550496099</v>
      </c>
      <c r="N68" s="2">
        <v>247.055555555555</v>
      </c>
      <c r="O68" s="2">
        <v>20.385406908247301</v>
      </c>
      <c r="P68" s="2">
        <v>14.7777777777777</v>
      </c>
      <c r="Q68" s="2">
        <v>1.1706281947614099</v>
      </c>
      <c r="R68" s="2">
        <v>1.2777777777777699</v>
      </c>
      <c r="S68" s="2">
        <v>0.19245008972987401</v>
      </c>
      <c r="T68" s="2">
        <v>6.2777777777777697</v>
      </c>
      <c r="U68" s="2">
        <v>1.3877773329774099</v>
      </c>
      <c r="V68" s="2">
        <v>0.77777777777777701</v>
      </c>
      <c r="W68" s="2">
        <v>0.19245008972987501</v>
      </c>
      <c r="X68" s="2">
        <v>1.6111111111111101</v>
      </c>
      <c r="Y68" s="2">
        <v>0.38490017945975002</v>
      </c>
      <c r="Z68" s="7">
        <v>108.041788143828</v>
      </c>
      <c r="AA68" s="2">
        <v>8.9149009802830808</v>
      </c>
      <c r="AB68" s="7">
        <v>77.374517374517296</v>
      </c>
      <c r="AC68" s="2">
        <v>2.8182683538058799</v>
      </c>
      <c r="AD68" s="2">
        <v>71.518987341772103</v>
      </c>
      <c r="AE68" s="2">
        <v>15.8101215149326</v>
      </c>
      <c r="AF68" s="2">
        <v>141.11405835543701</v>
      </c>
      <c r="AG68" s="2">
        <v>11.178412469870301</v>
      </c>
      <c r="AH68" s="2">
        <v>46.938775510204003</v>
      </c>
      <c r="AI68" s="2">
        <v>7.0695951329341602</v>
      </c>
      <c r="AJ68" s="2">
        <v>164.70588235294099</v>
      </c>
      <c r="AK68" s="2">
        <v>40.754136648679498</v>
      </c>
      <c r="AL68" s="2">
        <v>93.548387096774107</v>
      </c>
      <c r="AM68" s="2">
        <v>22.349042678308098</v>
      </c>
      <c r="AN68"/>
      <c r="AO68"/>
    </row>
    <row r="69" spans="1:41" ht="15.75" customHeight="1" x14ac:dyDescent="0.45">
      <c r="A69" s="2" t="s">
        <v>107</v>
      </c>
      <c r="B69" s="2" t="s">
        <v>108</v>
      </c>
      <c r="C69" s="2">
        <v>0.1</v>
      </c>
      <c r="D69" s="2"/>
      <c r="E69" s="2" t="s">
        <v>83</v>
      </c>
      <c r="F69" s="2" t="s">
        <v>110</v>
      </c>
      <c r="H69" s="2">
        <v>1.1000000000000001</v>
      </c>
      <c r="J69" s="2">
        <v>1.1000000000000001</v>
      </c>
      <c r="K69" s="2">
        <v>9.7777777777777697</v>
      </c>
      <c r="L69" s="2"/>
      <c r="M69" s="2">
        <v>1.3368010461684401</v>
      </c>
      <c r="N69" s="2">
        <v>209.388888888888</v>
      </c>
      <c r="O69" s="2">
        <v>32.525346241787197</v>
      </c>
      <c r="P69" s="2">
        <v>16.3333333333333</v>
      </c>
      <c r="Q69" s="2">
        <v>0.76376261582599803</v>
      </c>
      <c r="R69" s="2">
        <v>2.1111111111111098</v>
      </c>
      <c r="S69" s="2">
        <v>0.85526690657448001</v>
      </c>
      <c r="T69" s="2">
        <v>10.0555555555555</v>
      </c>
      <c r="U69" s="2">
        <v>2.1751968833835398</v>
      </c>
      <c r="V69" s="2">
        <v>1</v>
      </c>
      <c r="W69" s="2">
        <v>0.44095855184409899</v>
      </c>
      <c r="X69" s="2">
        <v>1.6666666666666601</v>
      </c>
      <c r="Y69" s="2">
        <v>0.499999999999999</v>
      </c>
      <c r="Z69" s="7">
        <v>91.569484936831799</v>
      </c>
      <c r="AA69" s="2">
        <v>14.2239123506358</v>
      </c>
      <c r="AB69" s="7">
        <v>27.181467181467099</v>
      </c>
      <c r="AC69" s="2">
        <v>3.7162036804682499</v>
      </c>
      <c r="AD69" s="2">
        <v>114.556962025316</v>
      </c>
      <c r="AE69" s="2">
        <v>24.780723987913799</v>
      </c>
      <c r="AF69" s="2">
        <v>155.968169761273</v>
      </c>
      <c r="AG69" s="2">
        <v>7.2932239177018303</v>
      </c>
      <c r="AH69" s="2">
        <v>77.551020408163197</v>
      </c>
      <c r="AI69" s="2">
        <v>31.417967996613498</v>
      </c>
      <c r="AJ69" s="2">
        <v>211.76470588235199</v>
      </c>
      <c r="AK69" s="2">
        <v>93.379458037573897</v>
      </c>
      <c r="AL69" s="2">
        <v>96.774193548387103</v>
      </c>
      <c r="AM69" s="2">
        <v>29.032258064516</v>
      </c>
      <c r="AN69"/>
      <c r="AO69"/>
    </row>
    <row r="70" spans="1:41" ht="15.75" customHeight="1" x14ac:dyDescent="0.45">
      <c r="A70" s="2" t="s">
        <v>107</v>
      </c>
      <c r="B70" s="2" t="s">
        <v>108</v>
      </c>
      <c r="C70" s="2">
        <v>0.3</v>
      </c>
      <c r="D70" s="2"/>
      <c r="E70" s="2" t="s">
        <v>83</v>
      </c>
      <c r="F70" s="2" t="s">
        <v>110</v>
      </c>
      <c r="H70" s="2">
        <v>1.1000000000000001</v>
      </c>
      <c r="J70" s="2">
        <v>1.1000000000000001</v>
      </c>
      <c r="K70" s="2">
        <v>0.33333333333333298</v>
      </c>
      <c r="L70" s="2"/>
      <c r="M70" s="2">
        <v>0.33333333333333298</v>
      </c>
      <c r="N70" s="2">
        <v>183.166666666666</v>
      </c>
      <c r="O70" s="2">
        <v>9.6881944195564103</v>
      </c>
      <c r="P70" s="2">
        <v>19.2777777777777</v>
      </c>
      <c r="Q70" s="2">
        <v>9.6225044865418899E-2</v>
      </c>
      <c r="R70" s="2">
        <v>1.5</v>
      </c>
      <c r="S70" s="2">
        <v>0.44095855184409799</v>
      </c>
      <c r="T70" s="2">
        <v>9.1666666666666607</v>
      </c>
      <c r="U70" s="2">
        <v>1.92209376577846</v>
      </c>
      <c r="V70" s="2">
        <v>0.83333333333333304</v>
      </c>
      <c r="W70" s="2">
        <v>0.33333333333333298</v>
      </c>
      <c r="X70" s="2">
        <v>2.3333333333333299</v>
      </c>
      <c r="Y70" s="2">
        <v>0.57735026918962595</v>
      </c>
      <c r="Z70" s="7">
        <v>80.102040816326493</v>
      </c>
      <c r="AA70" s="2">
        <v>4.2368197170071697</v>
      </c>
      <c r="AB70" s="7">
        <v>0.92664092664092601</v>
      </c>
      <c r="AC70" s="2">
        <v>0.92664092664092601</v>
      </c>
      <c r="AD70" s="2">
        <v>104.430379746835</v>
      </c>
      <c r="AE70" s="2">
        <v>21.897270749374901</v>
      </c>
      <c r="AF70" s="2">
        <v>184.084880636604</v>
      </c>
      <c r="AG70" s="2">
        <v>0.91885984486872196</v>
      </c>
      <c r="AH70" s="2">
        <v>55.1020408163265</v>
      </c>
      <c r="AI70" s="2">
        <v>16.198477414681101</v>
      </c>
      <c r="AJ70" s="2">
        <v>176.470588235294</v>
      </c>
      <c r="AK70" s="2">
        <v>70.588235294117496</v>
      </c>
      <c r="AL70" s="2">
        <v>135.48387096774101</v>
      </c>
      <c r="AM70" s="2">
        <v>33.5235640174621</v>
      </c>
      <c r="AN70"/>
      <c r="AO70"/>
    </row>
    <row r="71" spans="1:41" ht="15.75" customHeight="1" x14ac:dyDescent="0.45">
      <c r="A71" s="2" t="s">
        <v>107</v>
      </c>
      <c r="B71" s="2" t="s">
        <v>108</v>
      </c>
      <c r="C71" s="2">
        <v>1</v>
      </c>
      <c r="D71" s="2"/>
      <c r="E71" s="2" t="s">
        <v>83</v>
      </c>
      <c r="F71" s="2" t="s">
        <v>110</v>
      </c>
      <c r="H71" s="2">
        <v>1.1000000000000001</v>
      </c>
      <c r="J71" s="2">
        <v>1.1000000000000001</v>
      </c>
      <c r="K71" s="2">
        <v>0.27777777777777701</v>
      </c>
      <c r="L71" s="2"/>
      <c r="M71" s="2">
        <v>0.34694433324435497</v>
      </c>
      <c r="N71" s="2">
        <v>149.833333333333</v>
      </c>
      <c r="O71" s="2">
        <v>7.2514366392691896</v>
      </c>
      <c r="P71" s="2">
        <v>17.1666666666666</v>
      </c>
      <c r="Q71" s="2">
        <v>2.1666666666666501</v>
      </c>
      <c r="R71" s="2">
        <v>1.7222222222222201</v>
      </c>
      <c r="S71" s="2">
        <v>0.76980035891950105</v>
      </c>
      <c r="T71" s="2">
        <v>8.05555555555555</v>
      </c>
      <c r="U71" s="2">
        <v>0.50917507721730804</v>
      </c>
      <c r="V71" s="2">
        <v>1.1111111111111101</v>
      </c>
      <c r="W71" s="2">
        <v>9.6225044864937798E-2</v>
      </c>
      <c r="X71" s="2">
        <v>1.7777777777777699</v>
      </c>
      <c r="Y71" s="2">
        <v>9.6225044864938894E-2</v>
      </c>
      <c r="Z71" s="7">
        <v>65.524781341107797</v>
      </c>
      <c r="AA71" s="2">
        <v>3.1711822037620299</v>
      </c>
      <c r="AB71" s="7">
        <v>0.77220077220077199</v>
      </c>
      <c r="AC71" s="2">
        <v>0.96447845535110299</v>
      </c>
      <c r="AD71" s="2">
        <v>91.772151898734094</v>
      </c>
      <c r="AE71" s="2">
        <v>5.8007287277921202</v>
      </c>
      <c r="AF71" s="2">
        <v>163.92572944297001</v>
      </c>
      <c r="AG71" s="2">
        <v>20.689655172413602</v>
      </c>
      <c r="AH71" s="2">
        <v>63.265306122448898</v>
      </c>
      <c r="AI71" s="2">
        <v>28.278380531736701</v>
      </c>
      <c r="AJ71" s="2">
        <v>235.29411764705799</v>
      </c>
      <c r="AK71" s="2">
        <v>20.3770683243397</v>
      </c>
      <c r="AL71" s="2">
        <v>103.225806451612</v>
      </c>
      <c r="AM71" s="2">
        <v>5.5872606695771001</v>
      </c>
      <c r="AN71"/>
      <c r="AO71"/>
    </row>
    <row r="72" spans="1:41" ht="15.75" customHeight="1" x14ac:dyDescent="0.45">
      <c r="A72" s="2" t="s">
        <v>107</v>
      </c>
      <c r="B72" s="2" t="s">
        <v>108</v>
      </c>
      <c r="C72" s="2">
        <v>3</v>
      </c>
      <c r="D72" s="2"/>
      <c r="E72" s="2" t="s">
        <v>83</v>
      </c>
      <c r="F72" s="2" t="s">
        <v>110</v>
      </c>
      <c r="H72" s="2">
        <v>1.1000000000000001</v>
      </c>
      <c r="J72" s="2">
        <v>1.1000000000000001</v>
      </c>
      <c r="K72" s="2">
        <v>0.16666666666666599</v>
      </c>
      <c r="L72" s="2"/>
      <c r="M72" s="2">
        <v>0.16666666666666599</v>
      </c>
      <c r="N72" s="2">
        <v>115.944444444444</v>
      </c>
      <c r="O72" s="2">
        <v>8.0005786827740799</v>
      </c>
      <c r="P72" s="2">
        <v>14.2222222222222</v>
      </c>
      <c r="Q72" s="2">
        <v>2.3353166174426399</v>
      </c>
      <c r="R72" s="2">
        <v>1.38888888888888</v>
      </c>
      <c r="S72" s="2">
        <v>0.69388866648871095</v>
      </c>
      <c r="T72" s="2">
        <v>8.2777777777777697</v>
      </c>
      <c r="U72" s="2">
        <v>1.75066125073208</v>
      </c>
      <c r="V72" s="2">
        <v>0.55555555555555503</v>
      </c>
      <c r="W72" s="2">
        <v>0.34694433324435497</v>
      </c>
      <c r="X72" s="2">
        <v>2.1666666666666599</v>
      </c>
      <c r="Y72" s="2">
        <v>0.44095855184409699</v>
      </c>
      <c r="Z72" s="7">
        <v>50.704567541302197</v>
      </c>
      <c r="AA72" s="2">
        <v>3.4987953423210199</v>
      </c>
      <c r="AB72" s="7">
        <v>0.46332046332046301</v>
      </c>
      <c r="AC72" s="2">
        <v>0.46332046332046301</v>
      </c>
      <c r="AD72" s="2">
        <v>94.303797468354404</v>
      </c>
      <c r="AE72" s="2">
        <v>19.9442420969478</v>
      </c>
      <c r="AF72" s="2">
        <v>135.80901856763899</v>
      </c>
      <c r="AG72" s="2">
        <v>22.300105630752</v>
      </c>
      <c r="AH72" s="2">
        <v>51.020408163265301</v>
      </c>
      <c r="AI72" s="2">
        <v>25.4897877485649</v>
      </c>
      <c r="AJ72" s="2">
        <v>117.64705882352899</v>
      </c>
      <c r="AK72" s="2">
        <v>73.470564687039897</v>
      </c>
      <c r="AL72" s="2">
        <v>125.806451612903</v>
      </c>
      <c r="AM72" s="2">
        <v>25.604044945786299</v>
      </c>
      <c r="AN72"/>
      <c r="AO72"/>
    </row>
    <row r="73" spans="1:41" s="8" customFormat="1" ht="15.75" customHeight="1" x14ac:dyDescent="0.45">
      <c r="A73" s="7" t="s">
        <v>107</v>
      </c>
      <c r="B73" s="7" t="s">
        <v>108</v>
      </c>
      <c r="C73" s="7">
        <v>10</v>
      </c>
      <c r="D73" s="7"/>
      <c r="E73" s="7" t="s">
        <v>83</v>
      </c>
      <c r="F73" s="7" t="s">
        <v>110</v>
      </c>
      <c r="H73" s="7">
        <v>1.1000000000000001</v>
      </c>
      <c r="J73" s="7">
        <v>1.1000000000000001</v>
      </c>
      <c r="K73" s="7">
        <v>5.5555555555555497E-2</v>
      </c>
      <c r="L73" s="7"/>
      <c r="M73" s="7">
        <v>9.6225044864937603E-2</v>
      </c>
      <c r="N73" s="7">
        <v>81.7777777777777</v>
      </c>
      <c r="O73" s="7">
        <v>4.5102763321766703</v>
      </c>
      <c r="P73" s="7">
        <v>16.7777777777777</v>
      </c>
      <c r="Q73" s="7">
        <v>0.85526690657447202</v>
      </c>
      <c r="R73" s="7">
        <v>1.94444444444444</v>
      </c>
      <c r="S73" s="7">
        <v>1.22851913263866</v>
      </c>
      <c r="T73" s="7">
        <v>8.6666666666666607</v>
      </c>
      <c r="U73" s="7">
        <v>1.36422546197873</v>
      </c>
      <c r="V73" s="7">
        <v>0.94444444444444398</v>
      </c>
      <c r="W73" s="7">
        <v>0.25458753860865801</v>
      </c>
      <c r="X73" s="7">
        <v>1.6111111111111101</v>
      </c>
      <c r="Y73" s="7">
        <v>0.53575837561071804</v>
      </c>
      <c r="Z73" s="7">
        <v>35.762876579203102</v>
      </c>
      <c r="AA73" s="7">
        <v>1.9724240519723</v>
      </c>
      <c r="AB73" s="7">
        <v>0.15444015444015399</v>
      </c>
      <c r="AC73" s="7">
        <v>0.26749819421913101</v>
      </c>
      <c r="AD73" s="7">
        <v>98.734177215189803</v>
      </c>
      <c r="AE73" s="7">
        <v>15.541809060517201</v>
      </c>
      <c r="AF73" s="7">
        <v>160.21220159151099</v>
      </c>
      <c r="AG73" s="7">
        <v>8.1670049434166998</v>
      </c>
      <c r="AH73" s="7">
        <v>71.428571428571402</v>
      </c>
      <c r="AI73" s="7">
        <v>45.1292742601958</v>
      </c>
      <c r="AJ73" s="7">
        <v>200</v>
      </c>
      <c r="AK73" s="7">
        <v>53.912655234774697</v>
      </c>
      <c r="AL73" s="7">
        <v>93.548387096774107</v>
      </c>
      <c r="AM73" s="7">
        <v>31.108550841912599</v>
      </c>
    </row>
    <row r="74" spans="1:41" ht="15.75" customHeight="1" x14ac:dyDescent="0.45">
      <c r="A74" s="2" t="s">
        <v>107</v>
      </c>
      <c r="B74" s="2" t="s">
        <v>108</v>
      </c>
      <c r="C74" s="2">
        <v>3.0000000000000001E-3</v>
      </c>
      <c r="D74" s="2"/>
      <c r="E74" s="2" t="s">
        <v>83</v>
      </c>
      <c r="F74" s="2" t="s">
        <v>110</v>
      </c>
      <c r="H74" s="2">
        <v>0.6</v>
      </c>
      <c r="J74" s="2">
        <v>0.6</v>
      </c>
      <c r="K74" s="2">
        <v>30.4444444444444</v>
      </c>
      <c r="L74" s="2"/>
      <c r="M74" s="2">
        <v>3.1461322521705899</v>
      </c>
      <c r="N74" s="2">
        <v>169.166666666666</v>
      </c>
      <c r="O74" s="2">
        <v>35.857356288493897</v>
      </c>
      <c r="P74" s="2">
        <v>14.2222222222222</v>
      </c>
      <c r="Q74" s="2">
        <v>1.6694421334796401</v>
      </c>
      <c r="R74" s="2">
        <v>4.3888888888888804</v>
      </c>
      <c r="S74" s="2">
        <v>1.5752718754175301</v>
      </c>
      <c r="T74" s="2">
        <v>10</v>
      </c>
      <c r="U74" s="2">
        <v>1.0929064207170001</v>
      </c>
      <c r="V74" s="2">
        <v>0.83333333333333304</v>
      </c>
      <c r="W74" s="2">
        <v>0.16666666666666699</v>
      </c>
      <c r="X74" s="2">
        <v>3.7777777777777701</v>
      </c>
      <c r="Y74" s="2">
        <v>0.82214714371937703</v>
      </c>
      <c r="Z74" s="7">
        <v>132.59307642063999</v>
      </c>
      <c r="AA74" s="2">
        <v>28.105047384841701</v>
      </c>
      <c r="AB74" s="7">
        <v>124.68714448236599</v>
      </c>
      <c r="AC74" s="2">
        <v>12.8851832853403</v>
      </c>
      <c r="AD74" s="2">
        <v>109.75609756097499</v>
      </c>
      <c r="AE74" s="2">
        <v>11.9953143737232</v>
      </c>
      <c r="AF74" s="2">
        <v>102.399999999999</v>
      </c>
      <c r="AG74" s="2">
        <v>12.0199833610534</v>
      </c>
      <c r="AH74" s="2">
        <v>130.57851239669401</v>
      </c>
      <c r="AI74" s="2">
        <v>46.867592987629102</v>
      </c>
      <c r="AJ74" s="2">
        <v>115.384615384615</v>
      </c>
      <c r="AK74" s="2">
        <v>23.076923076923102</v>
      </c>
      <c r="AL74" s="2">
        <v>104.615384615384</v>
      </c>
      <c r="AM74" s="2">
        <v>22.767151672228898</v>
      </c>
      <c r="AN74"/>
      <c r="AO74"/>
    </row>
    <row r="75" spans="1:41" ht="15.75" customHeight="1" x14ac:dyDescent="0.45">
      <c r="A75" s="2" t="s">
        <v>107</v>
      </c>
      <c r="B75" s="2" t="s">
        <v>108</v>
      </c>
      <c r="C75" s="2">
        <v>0.01</v>
      </c>
      <c r="D75" s="2"/>
      <c r="E75" s="2" t="s">
        <v>83</v>
      </c>
      <c r="F75" s="2" t="s">
        <v>110</v>
      </c>
      <c r="H75" s="2">
        <v>0.6</v>
      </c>
      <c r="J75" s="2">
        <v>0.6</v>
      </c>
      <c r="K75" s="2">
        <v>20.2777777777777</v>
      </c>
      <c r="L75" s="2"/>
      <c r="M75" s="2">
        <v>18.068029878869002</v>
      </c>
      <c r="N75" s="2">
        <v>159.444444444444</v>
      </c>
      <c r="O75" s="2">
        <v>3.2332187837676498</v>
      </c>
      <c r="P75" s="2">
        <v>20.1111111111111</v>
      </c>
      <c r="Q75" s="2">
        <v>1.9245008972987501</v>
      </c>
      <c r="R75" s="2">
        <v>4.05555555555555</v>
      </c>
      <c r="S75" s="2">
        <v>1.3471506281091199</v>
      </c>
      <c r="T75" s="2">
        <v>9</v>
      </c>
      <c r="U75" s="2">
        <v>1.1547005383792499</v>
      </c>
      <c r="V75" s="2">
        <v>0.88888888888888795</v>
      </c>
      <c r="W75" s="2">
        <v>0.19245008972987501</v>
      </c>
      <c r="X75" s="2">
        <v>3.2777777777777701</v>
      </c>
      <c r="Y75" s="2">
        <v>0.34694433324435497</v>
      </c>
      <c r="Z75" s="7">
        <v>124.97278467232699</v>
      </c>
      <c r="AA75" s="2">
        <v>2.5342015287532198</v>
      </c>
      <c r="AB75" s="7">
        <v>83.048919226393593</v>
      </c>
      <c r="AC75" s="2">
        <v>73.998757183081196</v>
      </c>
      <c r="AD75" s="2">
        <v>98.780487804878007</v>
      </c>
      <c r="AE75" s="2">
        <v>12.6735424944064</v>
      </c>
      <c r="AF75" s="2">
        <v>144.79999999999899</v>
      </c>
      <c r="AG75" s="2">
        <v>13.856406460551</v>
      </c>
      <c r="AH75" s="2">
        <v>120.661157024793</v>
      </c>
      <c r="AI75" s="2">
        <v>40.080514555312803</v>
      </c>
      <c r="AJ75" s="2">
        <v>123.07692307692299</v>
      </c>
      <c r="AK75" s="2">
        <v>26.646935501059598</v>
      </c>
      <c r="AL75" s="2">
        <v>90.769230769230703</v>
      </c>
      <c r="AM75" s="2">
        <v>9.6076892283052207</v>
      </c>
      <c r="AN75"/>
      <c r="AO75"/>
    </row>
    <row r="76" spans="1:41" ht="15.75" customHeight="1" x14ac:dyDescent="0.45">
      <c r="A76" s="2" t="s">
        <v>107</v>
      </c>
      <c r="B76" s="2" t="s">
        <v>108</v>
      </c>
      <c r="C76" s="2">
        <v>0.03</v>
      </c>
      <c r="D76" s="2"/>
      <c r="E76" s="2" t="s">
        <v>83</v>
      </c>
      <c r="F76" s="2" t="s">
        <v>110</v>
      </c>
      <c r="H76" s="2">
        <v>0.6</v>
      </c>
      <c r="J76" s="2">
        <v>0.6</v>
      </c>
      <c r="K76" s="2">
        <v>30.6666666666666</v>
      </c>
      <c r="L76" s="2"/>
      <c r="M76" s="2">
        <v>2.0275875100994001</v>
      </c>
      <c r="N76" s="2">
        <v>208.333333333333</v>
      </c>
      <c r="O76" s="2">
        <v>19.257754570850501</v>
      </c>
      <c r="P76" s="2">
        <v>21.2777777777777</v>
      </c>
      <c r="Q76" s="2">
        <v>1.9460310986818901</v>
      </c>
      <c r="R76" s="2">
        <v>4</v>
      </c>
      <c r="S76" s="2">
        <v>1.48136573621926</v>
      </c>
      <c r="T76" s="2">
        <v>8.9444444444444393</v>
      </c>
      <c r="U76" s="2">
        <v>2.2750661366048002</v>
      </c>
      <c r="V76" s="2">
        <v>1.2777777777777699</v>
      </c>
      <c r="W76" s="2">
        <v>9.6225044864938894E-2</v>
      </c>
      <c r="X76" s="2">
        <v>3.2222222222222201</v>
      </c>
      <c r="Y76" s="2">
        <v>1.1097213530798899</v>
      </c>
      <c r="Z76" s="7">
        <v>163.291966035271</v>
      </c>
      <c r="AA76" s="2">
        <v>15.094255705434801</v>
      </c>
      <c r="AB76" s="7">
        <v>125.597269624573</v>
      </c>
      <c r="AC76" s="2">
        <v>8.3041126693490703</v>
      </c>
      <c r="AD76" s="2">
        <v>98.170731707317003</v>
      </c>
      <c r="AE76" s="2">
        <v>24.970238084686901</v>
      </c>
      <c r="AF76" s="2">
        <v>153.19999999999899</v>
      </c>
      <c r="AG76" s="2">
        <v>14.011423910509601</v>
      </c>
      <c r="AH76" s="2">
        <v>119.008264462809</v>
      </c>
      <c r="AI76" s="2">
        <v>44.073691325531797</v>
      </c>
      <c r="AJ76" s="2">
        <v>176.923076923076</v>
      </c>
      <c r="AK76" s="2">
        <v>13.32346775053</v>
      </c>
      <c r="AL76" s="2">
        <v>89.230769230769198</v>
      </c>
      <c r="AM76" s="2">
        <v>30.7307451622125</v>
      </c>
      <c r="AN76"/>
      <c r="AO76"/>
    </row>
    <row r="77" spans="1:41" ht="15.75" customHeight="1" x14ac:dyDescent="0.45">
      <c r="A77" s="2" t="s">
        <v>107</v>
      </c>
      <c r="B77" s="2" t="s">
        <v>108</v>
      </c>
      <c r="C77" s="2">
        <v>0.1</v>
      </c>
      <c r="D77" s="2"/>
      <c r="E77" s="2" t="s">
        <v>83</v>
      </c>
      <c r="F77" s="2" t="s">
        <v>110</v>
      </c>
      <c r="H77" s="2">
        <v>0.6</v>
      </c>
      <c r="J77" s="2">
        <v>0.6</v>
      </c>
      <c r="K77" s="2">
        <v>13.8333333333333</v>
      </c>
      <c r="L77" s="2"/>
      <c r="M77" s="2">
        <v>2.6822461565718401</v>
      </c>
      <c r="N77" s="2">
        <v>147.055555555555</v>
      </c>
      <c r="O77" s="2">
        <v>11.138438616557201</v>
      </c>
      <c r="P77" s="2">
        <v>29.9444444444444</v>
      </c>
      <c r="Q77" s="2">
        <v>2.2381374531648701</v>
      </c>
      <c r="R77" s="2">
        <v>3.1666666666666599</v>
      </c>
      <c r="S77" s="2">
        <v>4.2146848510894002E-8</v>
      </c>
      <c r="T77" s="2">
        <v>6.2222222222222197</v>
      </c>
      <c r="U77" s="2">
        <v>1.1097213530798899</v>
      </c>
      <c r="V77" s="2">
        <v>1.5</v>
      </c>
      <c r="W77" s="2">
        <v>1.0137937550497</v>
      </c>
      <c r="X77" s="2">
        <v>2.6111111111111098</v>
      </c>
      <c r="Y77" s="2">
        <v>0.67357531405456295</v>
      </c>
      <c r="Z77" s="7">
        <v>115.26235575876299</v>
      </c>
      <c r="AA77" s="2">
        <v>8.7303241932519295</v>
      </c>
      <c r="AB77" s="7">
        <v>56.655290102389003</v>
      </c>
      <c r="AC77" s="2">
        <v>10.9853084910792</v>
      </c>
      <c r="AD77" s="2">
        <v>68.292682926829201</v>
      </c>
      <c r="AE77" s="2">
        <v>12.179868509413501</v>
      </c>
      <c r="AF77" s="2">
        <v>215.599999999999</v>
      </c>
      <c r="AG77" s="2">
        <v>16.114589662787001</v>
      </c>
      <c r="AH77" s="2">
        <v>94.214876033057806</v>
      </c>
      <c r="AI77" s="2">
        <v>1.25395582346461E-6</v>
      </c>
      <c r="AJ77" s="2">
        <v>207.692307692307</v>
      </c>
      <c r="AK77" s="2">
        <v>140.371443006882</v>
      </c>
      <c r="AL77" s="2">
        <v>72.307692307692193</v>
      </c>
      <c r="AM77" s="2">
        <v>18.652854850741701</v>
      </c>
      <c r="AN77"/>
      <c r="AO77"/>
    </row>
    <row r="78" spans="1:41" ht="15.75" customHeight="1" x14ac:dyDescent="0.45">
      <c r="A78" s="2" t="s">
        <v>107</v>
      </c>
      <c r="B78" s="2" t="s">
        <v>108</v>
      </c>
      <c r="C78" s="2">
        <v>0.3</v>
      </c>
      <c r="D78" s="2"/>
      <c r="E78" s="2" t="s">
        <v>83</v>
      </c>
      <c r="F78" s="2" t="s">
        <v>110</v>
      </c>
      <c r="H78" s="2">
        <v>0.6</v>
      </c>
      <c r="J78" s="2">
        <v>0.6</v>
      </c>
      <c r="K78" s="2">
        <v>1.1111111111111101</v>
      </c>
      <c r="L78" s="2"/>
      <c r="M78" s="2">
        <v>0.63098981620003003</v>
      </c>
      <c r="N78" s="2">
        <v>145.388888888888</v>
      </c>
      <c r="O78" s="2">
        <v>2.3824201824874098</v>
      </c>
      <c r="P78" s="2">
        <v>33.7777777777777</v>
      </c>
      <c r="Q78" s="2">
        <v>1.34715062810894</v>
      </c>
      <c r="R78" s="2">
        <v>2.6111111111111098</v>
      </c>
      <c r="S78" s="2">
        <v>1.9531550923607699</v>
      </c>
      <c r="T78" s="2">
        <v>6.3333333333333304</v>
      </c>
      <c r="U78" s="2">
        <v>1.85592145427667</v>
      </c>
      <c r="V78" s="2">
        <v>1.2222222222222201</v>
      </c>
      <c r="W78" s="2">
        <v>0.25458753860865801</v>
      </c>
      <c r="X78" s="2">
        <v>2.88888888888888</v>
      </c>
      <c r="Y78" s="2">
        <v>0.58531409738070805</v>
      </c>
      <c r="Z78" s="7">
        <v>113.956020030481</v>
      </c>
      <c r="AA78" s="2">
        <v>1.8673443624982999</v>
      </c>
      <c r="AB78" s="7">
        <v>4.5506257110352601</v>
      </c>
      <c r="AC78" s="2">
        <v>2.5842586329011401</v>
      </c>
      <c r="AD78" s="2">
        <v>69.512195121951194</v>
      </c>
      <c r="AE78" s="2">
        <v>20.3698696201098</v>
      </c>
      <c r="AF78" s="2">
        <v>243.19999999999899</v>
      </c>
      <c r="AG78" s="2">
        <v>9.6994845223844006</v>
      </c>
      <c r="AH78" s="2">
        <v>77.685950413223097</v>
      </c>
      <c r="AI78" s="2">
        <v>58.110399442138601</v>
      </c>
      <c r="AJ78" s="2">
        <v>169.230769230769</v>
      </c>
      <c r="AK78" s="2">
        <v>35.2505822688912</v>
      </c>
      <c r="AL78" s="2">
        <v>80</v>
      </c>
      <c r="AM78" s="2">
        <v>16.208698081311901</v>
      </c>
      <c r="AN78"/>
      <c r="AO78"/>
    </row>
    <row r="79" spans="1:41" ht="15.75" customHeight="1" x14ac:dyDescent="0.45">
      <c r="A79" s="2" t="s">
        <v>107</v>
      </c>
      <c r="B79" s="2" t="s">
        <v>108</v>
      </c>
      <c r="C79" s="2">
        <v>1</v>
      </c>
      <c r="D79" s="2"/>
      <c r="E79" s="2" t="s">
        <v>83</v>
      </c>
      <c r="F79" s="2" t="s">
        <v>110</v>
      </c>
      <c r="H79" s="2">
        <v>0.6</v>
      </c>
      <c r="J79" s="2">
        <v>0.6</v>
      </c>
      <c r="K79" s="2">
        <v>0</v>
      </c>
      <c r="L79" s="2"/>
      <c r="M79" s="2">
        <v>0</v>
      </c>
      <c r="N79" s="2">
        <v>90.3333333333333</v>
      </c>
      <c r="O79" s="2">
        <v>20.275875100994099</v>
      </c>
      <c r="P79" s="2">
        <v>28</v>
      </c>
      <c r="Q79" s="2">
        <v>1.5898986690282499</v>
      </c>
      <c r="R79" s="2">
        <v>1.38888888888888</v>
      </c>
      <c r="S79" s="2">
        <v>1.4174834246858901</v>
      </c>
      <c r="T79" s="2">
        <v>6.55555555555555</v>
      </c>
      <c r="U79" s="2">
        <v>0.50917507721730804</v>
      </c>
      <c r="V79" s="2">
        <v>1.2222222222222201</v>
      </c>
      <c r="W79" s="2">
        <v>0.67357531405456295</v>
      </c>
      <c r="X79" s="2">
        <v>1.7222222222222201</v>
      </c>
      <c r="Y79" s="2">
        <v>1.3977495139343401</v>
      </c>
      <c r="Z79" s="7">
        <v>70.803396472893496</v>
      </c>
      <c r="AA79" s="2">
        <v>15.8922600399692</v>
      </c>
      <c r="AB79" s="7">
        <v>0</v>
      </c>
      <c r="AC79" s="2">
        <v>0</v>
      </c>
      <c r="AD79" s="2">
        <v>71.951219512195095</v>
      </c>
      <c r="AE79" s="2">
        <v>5.58850694506802</v>
      </c>
      <c r="AF79" s="2">
        <v>201.599999999999</v>
      </c>
      <c r="AG79" s="2">
        <v>11.4472704170034</v>
      </c>
      <c r="AH79" s="2">
        <v>41.322314049586701</v>
      </c>
      <c r="AI79" s="2">
        <v>42.173060569167099</v>
      </c>
      <c r="AJ79" s="2">
        <v>169.230769230769</v>
      </c>
      <c r="AK79" s="2">
        <v>93.264274253708706</v>
      </c>
      <c r="AL79" s="2">
        <v>47.692307692307601</v>
      </c>
      <c r="AM79" s="2">
        <v>38.706909616643401</v>
      </c>
      <c r="AN79"/>
      <c r="AO79"/>
    </row>
    <row r="80" spans="1:41" ht="15.75" customHeight="1" x14ac:dyDescent="0.45">
      <c r="A80" s="2" t="s">
        <v>107</v>
      </c>
      <c r="B80" s="2" t="s">
        <v>108</v>
      </c>
      <c r="C80" s="2">
        <v>3</v>
      </c>
      <c r="D80" s="2"/>
      <c r="E80" s="2" t="s">
        <v>83</v>
      </c>
      <c r="F80" s="2" t="s">
        <v>110</v>
      </c>
      <c r="H80" s="2">
        <v>0.6</v>
      </c>
      <c r="J80" s="2">
        <v>0.6</v>
      </c>
      <c r="K80" s="2">
        <v>5.5555555555555497E-2</v>
      </c>
      <c r="L80" s="2"/>
      <c r="M80" s="2">
        <v>9.6225044864937603E-2</v>
      </c>
      <c r="N80" s="2">
        <v>76.6111111111111</v>
      </c>
      <c r="O80" s="2">
        <v>11.1832381184886</v>
      </c>
      <c r="P80" s="2">
        <v>20.6666666666666</v>
      </c>
      <c r="Q80" s="2">
        <v>0.50000000000011302</v>
      </c>
      <c r="R80" s="2">
        <v>2.05555555555555</v>
      </c>
      <c r="S80" s="2">
        <v>0.83887049280785997</v>
      </c>
      <c r="T80" s="2">
        <v>8.8888888888888893</v>
      </c>
      <c r="U80" s="2">
        <v>2.4171455464229998</v>
      </c>
      <c r="V80" s="2">
        <v>1.2777777777777699</v>
      </c>
      <c r="W80" s="2">
        <v>0.19245008972987401</v>
      </c>
      <c r="X80" s="2">
        <v>4.2222222222222197</v>
      </c>
      <c r="Y80" s="2">
        <v>0.91792842454768098</v>
      </c>
      <c r="Z80" s="7">
        <v>60.0478989767036</v>
      </c>
      <c r="AA80" s="2">
        <v>8.7654381072412608</v>
      </c>
      <c r="AB80" s="7">
        <v>0.227531285551763</v>
      </c>
      <c r="AC80" s="2">
        <v>0.39409574688711602</v>
      </c>
      <c r="AD80" s="2">
        <v>97.560975609755999</v>
      </c>
      <c r="AE80" s="2">
        <v>26.529646241228001</v>
      </c>
      <c r="AF80" s="2">
        <v>148.79999999999899</v>
      </c>
      <c r="AG80" s="2">
        <v>3.6000000000008101</v>
      </c>
      <c r="AH80" s="2">
        <v>61.157024793388402</v>
      </c>
      <c r="AI80" s="2">
        <v>24.9581303645313</v>
      </c>
      <c r="AJ80" s="2">
        <v>176.923076923076</v>
      </c>
      <c r="AK80" s="2">
        <v>26.646935501059499</v>
      </c>
      <c r="AL80" s="2">
        <v>116.923076923076</v>
      </c>
      <c r="AM80" s="2">
        <v>25.419556372089598</v>
      </c>
      <c r="AN80"/>
      <c r="AO80"/>
    </row>
    <row r="81" spans="1:41" s="8" customFormat="1" ht="15.75" customHeight="1" x14ac:dyDescent="0.45">
      <c r="A81" s="7" t="s">
        <v>107</v>
      </c>
      <c r="B81" s="7" t="s">
        <v>108</v>
      </c>
      <c r="C81" s="7">
        <v>10</v>
      </c>
      <c r="D81" s="7"/>
      <c r="E81" s="7" t="s">
        <v>83</v>
      </c>
      <c r="F81" s="7" t="s">
        <v>110</v>
      </c>
      <c r="H81" s="7">
        <v>0.6</v>
      </c>
      <c r="J81" s="7">
        <v>0.6</v>
      </c>
      <c r="K81" s="7">
        <v>0</v>
      </c>
      <c r="L81" s="7"/>
      <c r="M81" s="7">
        <v>0</v>
      </c>
      <c r="N81" s="7">
        <v>51.7222222222222</v>
      </c>
      <c r="O81" s="7">
        <v>13.2385520076501</v>
      </c>
      <c r="P81" s="7">
        <v>20.6666666666666</v>
      </c>
      <c r="Q81" s="7">
        <v>1.8027756377320201</v>
      </c>
      <c r="R81" s="7">
        <v>3.2222222222222201</v>
      </c>
      <c r="S81" s="7">
        <v>0.78763593770876605</v>
      </c>
      <c r="T81" s="7">
        <v>10.6111111111111</v>
      </c>
      <c r="U81" s="7">
        <v>0.25458753860859101</v>
      </c>
      <c r="V81" s="7">
        <v>1.1666666666666601</v>
      </c>
      <c r="W81" s="7">
        <v>0.44095855184409899</v>
      </c>
      <c r="X81" s="7">
        <v>3.88888888888888</v>
      </c>
      <c r="Y81" s="7">
        <v>1.1097213530798899</v>
      </c>
      <c r="Z81" s="7">
        <v>40.539952101023196</v>
      </c>
      <c r="AA81" s="7">
        <v>10.376396086989001</v>
      </c>
      <c r="AB81" s="7">
        <v>0</v>
      </c>
      <c r="AC81" s="7">
        <v>0</v>
      </c>
      <c r="AD81" s="7">
        <v>116.46341463414601</v>
      </c>
      <c r="AE81" s="7">
        <v>2.7942534725333199</v>
      </c>
      <c r="AF81" s="7">
        <v>148.79999999999899</v>
      </c>
      <c r="AG81" s="7">
        <v>12.979984591670499</v>
      </c>
      <c r="AH81" s="7">
        <v>95.867768595041298</v>
      </c>
      <c r="AI81" s="7">
        <v>23.433796493814501</v>
      </c>
      <c r="AJ81" s="7">
        <v>161.53846153846101</v>
      </c>
      <c r="AK81" s="7">
        <v>61.055799486105997</v>
      </c>
      <c r="AL81" s="7">
        <v>107.692307692307</v>
      </c>
      <c r="AM81" s="7">
        <v>30.7307451622125</v>
      </c>
    </row>
    <row r="82" spans="1:41" ht="15.75" customHeight="1" x14ac:dyDescent="0.45">
      <c r="A82" s="2" t="s">
        <v>107</v>
      </c>
      <c r="B82" s="2" t="s">
        <v>108</v>
      </c>
      <c r="C82" s="2">
        <v>3.0000000000000001E-3</v>
      </c>
      <c r="D82" s="2"/>
      <c r="E82" s="2" t="s">
        <v>85</v>
      </c>
      <c r="F82" s="2" t="s">
        <v>84</v>
      </c>
      <c r="G82" s="2" t="s">
        <v>111</v>
      </c>
      <c r="H82" s="2">
        <v>9.3000000000000007</v>
      </c>
      <c r="I82" s="2">
        <v>3539</v>
      </c>
      <c r="J82" s="2">
        <v>9.3000000000000007</v>
      </c>
      <c r="K82" s="2">
        <v>2.4444444444444402</v>
      </c>
      <c r="L82" s="2"/>
      <c r="M82" s="2">
        <v>1.0183501544346301</v>
      </c>
      <c r="N82" s="2">
        <v>322</v>
      </c>
      <c r="O82" s="2">
        <v>73.951748533155893</v>
      </c>
      <c r="P82" s="2">
        <v>0.61111111111111105</v>
      </c>
      <c r="Q82" s="2">
        <v>0.34694433324435497</v>
      </c>
      <c r="R82" s="2">
        <v>0</v>
      </c>
      <c r="S82" s="2">
        <v>0</v>
      </c>
      <c r="T82" s="2">
        <v>4.7222222222222197</v>
      </c>
      <c r="U82" s="2">
        <v>1.3574213025411801</v>
      </c>
      <c r="V82" s="2">
        <v>0</v>
      </c>
      <c r="W82" s="2">
        <v>0</v>
      </c>
      <c r="X82" s="2">
        <v>0.61111111111111105</v>
      </c>
      <c r="Y82" s="2">
        <v>0.41943524640392998</v>
      </c>
      <c r="Z82" s="7">
        <v>107.12503465483699</v>
      </c>
      <c r="AA82" s="2">
        <v>24.602744175155799</v>
      </c>
      <c r="AB82" s="7">
        <v>77.1929824561403</v>
      </c>
      <c r="AC82" s="2">
        <v>32.1584259295146</v>
      </c>
      <c r="AD82" s="2">
        <v>83.950617283950606</v>
      </c>
      <c r="AE82" s="2">
        <v>24.131934267398702</v>
      </c>
      <c r="AF82" s="2">
        <v>104.76190476190401</v>
      </c>
      <c r="AG82" s="2">
        <v>59.476171413317999</v>
      </c>
      <c r="AH82" s="2">
        <v>0</v>
      </c>
      <c r="AI82" s="2">
        <v>0</v>
      </c>
      <c r="AJ82" s="2">
        <v>0</v>
      </c>
      <c r="AK82" s="2">
        <v>0</v>
      </c>
      <c r="AL82" s="2">
        <v>104.76190476190401</v>
      </c>
      <c r="AM82" s="2">
        <v>71.903185097816603</v>
      </c>
      <c r="AN82"/>
      <c r="AO82"/>
    </row>
    <row r="83" spans="1:41" ht="15.75" customHeight="1" x14ac:dyDescent="0.45">
      <c r="A83" s="2" t="s">
        <v>107</v>
      </c>
      <c r="B83" s="2" t="s">
        <v>108</v>
      </c>
      <c r="C83" s="2">
        <v>0.01</v>
      </c>
      <c r="D83" s="2"/>
      <c r="E83" s="2" t="s">
        <v>85</v>
      </c>
      <c r="F83" s="2" t="s">
        <v>84</v>
      </c>
      <c r="G83" s="2" t="s">
        <v>111</v>
      </c>
      <c r="H83" s="2">
        <v>9.3000000000000007</v>
      </c>
      <c r="I83" s="2">
        <v>3539</v>
      </c>
      <c r="J83" s="2">
        <v>9.3000000000000007</v>
      </c>
      <c r="K83" s="2">
        <v>2.4444444444444402</v>
      </c>
      <c r="L83" s="2"/>
      <c r="M83" s="2">
        <v>0.63098981620003003</v>
      </c>
      <c r="N83" s="2">
        <v>333.388888888888</v>
      </c>
      <c r="O83" s="2">
        <v>51.043917183945197</v>
      </c>
      <c r="P83" s="2">
        <v>0.38888888888888801</v>
      </c>
      <c r="Q83" s="2">
        <v>0.25458753860865702</v>
      </c>
      <c r="R83" s="2">
        <v>1.44444444444444</v>
      </c>
      <c r="S83" s="2">
        <v>1.29457557752567</v>
      </c>
      <c r="T83" s="2">
        <v>5.8333333333333304</v>
      </c>
      <c r="U83" s="2">
        <v>2.0275875100994001</v>
      </c>
      <c r="V83" s="2">
        <v>0</v>
      </c>
      <c r="W83" s="2">
        <v>0</v>
      </c>
      <c r="X83" s="2">
        <v>0.77777777777777701</v>
      </c>
      <c r="Y83" s="2">
        <v>0.58531409738070705</v>
      </c>
      <c r="Z83" s="7">
        <v>110.91396358931701</v>
      </c>
      <c r="AA83" s="2">
        <v>16.981619246114299</v>
      </c>
      <c r="AB83" s="7">
        <v>77.1929824561403</v>
      </c>
      <c r="AC83" s="2">
        <v>19.925994195790398</v>
      </c>
      <c r="AD83" s="2">
        <v>103.703703703703</v>
      </c>
      <c r="AE83" s="2">
        <v>36.046000179544997</v>
      </c>
      <c r="AF83" s="2">
        <v>66.6666666666666</v>
      </c>
      <c r="AG83" s="2">
        <v>43.643578047198403</v>
      </c>
      <c r="AH83" s="2">
        <v>91.228070175438503</v>
      </c>
      <c r="AI83" s="2">
        <v>81.762668054252899</v>
      </c>
      <c r="AJ83" s="2">
        <v>0</v>
      </c>
      <c r="AK83" s="2">
        <v>0</v>
      </c>
      <c r="AL83" s="2">
        <v>133.333333333333</v>
      </c>
      <c r="AM83" s="2">
        <v>100.339559550978</v>
      </c>
      <c r="AN83"/>
      <c r="AO83"/>
    </row>
    <row r="84" spans="1:41" ht="15.75" customHeight="1" x14ac:dyDescent="0.45">
      <c r="A84" s="2" t="s">
        <v>107</v>
      </c>
      <c r="B84" s="2" t="s">
        <v>108</v>
      </c>
      <c r="C84" s="2">
        <v>0.03</v>
      </c>
      <c r="D84" s="2"/>
      <c r="E84" s="2" t="s">
        <v>85</v>
      </c>
      <c r="F84" s="2" t="s">
        <v>84</v>
      </c>
      <c r="G84" s="2" t="s">
        <v>111</v>
      </c>
      <c r="H84" s="2">
        <v>9.3000000000000007</v>
      </c>
      <c r="I84" s="2">
        <v>3539</v>
      </c>
      <c r="J84" s="2">
        <v>9.3000000000000007</v>
      </c>
      <c r="K84" s="2">
        <v>1.94444444444444</v>
      </c>
      <c r="L84" s="2"/>
      <c r="M84" s="2">
        <v>0.48112522432468702</v>
      </c>
      <c r="N84" s="2">
        <v>270</v>
      </c>
      <c r="O84" s="2">
        <v>54.491844445853303</v>
      </c>
      <c r="P84" s="2">
        <v>0.88888888888888795</v>
      </c>
      <c r="Q84" s="2">
        <v>0.38490017945975002</v>
      </c>
      <c r="R84" s="2">
        <v>2.1666666666666599</v>
      </c>
      <c r="S84" s="2">
        <v>3.7527767497325599</v>
      </c>
      <c r="T84" s="2">
        <v>6.1666666666666599</v>
      </c>
      <c r="U84" s="2">
        <v>6.3857480202226702</v>
      </c>
      <c r="V84" s="2">
        <v>0</v>
      </c>
      <c r="W84" s="2">
        <v>0</v>
      </c>
      <c r="X84" s="2">
        <v>0.55555555555555503</v>
      </c>
      <c r="Y84" s="2">
        <v>9.6225044864937506E-2</v>
      </c>
      <c r="Z84" s="7">
        <v>89.825339617410506</v>
      </c>
      <c r="AA84" s="2">
        <v>18.128697902695802</v>
      </c>
      <c r="AB84" s="7">
        <v>61.403508771929801</v>
      </c>
      <c r="AC84" s="2">
        <v>15.193428136569</v>
      </c>
      <c r="AD84" s="2">
        <v>109.62962962962899</v>
      </c>
      <c r="AE84" s="2">
        <v>113.524409248403</v>
      </c>
      <c r="AF84" s="2">
        <v>152.38095238095201</v>
      </c>
      <c r="AG84" s="2">
        <v>65.982887907385802</v>
      </c>
      <c r="AH84" s="2">
        <v>136.84210526315701</v>
      </c>
      <c r="AI84" s="2">
        <v>237.01747893047701</v>
      </c>
      <c r="AJ84" s="2">
        <v>0</v>
      </c>
      <c r="AK84" s="2">
        <v>0</v>
      </c>
      <c r="AL84" s="2">
        <v>95.238095238095198</v>
      </c>
      <c r="AM84" s="2">
        <v>16.495721976846401</v>
      </c>
      <c r="AN84"/>
      <c r="AO84"/>
    </row>
    <row r="85" spans="1:41" ht="15.75" customHeight="1" x14ac:dyDescent="0.45">
      <c r="A85" s="2" t="s">
        <v>107</v>
      </c>
      <c r="B85" s="2" t="s">
        <v>108</v>
      </c>
      <c r="C85" s="2">
        <v>0.1</v>
      </c>
      <c r="D85" s="2"/>
      <c r="E85" s="2" t="s">
        <v>85</v>
      </c>
      <c r="F85" s="2" t="s">
        <v>84</v>
      </c>
      <c r="G85" s="2" t="s">
        <v>111</v>
      </c>
      <c r="H85" s="2">
        <v>9.3000000000000007</v>
      </c>
      <c r="I85" s="2">
        <v>3539</v>
      </c>
      <c r="J85" s="2">
        <v>9.3000000000000007</v>
      </c>
      <c r="K85" s="2">
        <v>0.55555555555555503</v>
      </c>
      <c r="L85" s="2"/>
      <c r="M85" s="2">
        <v>9.6225044864937798E-2</v>
      </c>
      <c r="N85" s="2">
        <v>246.777777777777</v>
      </c>
      <c r="O85" s="2">
        <v>25.940280417685202</v>
      </c>
      <c r="P85" s="2">
        <v>0.88888888888888795</v>
      </c>
      <c r="Q85" s="2">
        <v>9.6225044864937798E-2</v>
      </c>
      <c r="R85" s="2">
        <v>0</v>
      </c>
      <c r="S85" s="2">
        <v>0</v>
      </c>
      <c r="T85" s="2">
        <v>4.7222222222222197</v>
      </c>
      <c r="U85" s="2">
        <v>1.5485955405295899</v>
      </c>
      <c r="V85" s="2">
        <v>0</v>
      </c>
      <c r="W85" s="2">
        <v>0</v>
      </c>
      <c r="X85" s="2">
        <v>0.66666666666666596</v>
      </c>
      <c r="Y85" s="2">
        <v>0.16666666666666699</v>
      </c>
      <c r="Z85" s="7">
        <v>82.099621107106501</v>
      </c>
      <c r="AA85" s="2">
        <v>8.6299796232942398</v>
      </c>
      <c r="AB85" s="7">
        <v>17.543859649122801</v>
      </c>
      <c r="AC85" s="2">
        <v>3.0386856273138201</v>
      </c>
      <c r="AD85" s="2">
        <v>83.950617283950606</v>
      </c>
      <c r="AE85" s="2">
        <v>27.5305873871927</v>
      </c>
      <c r="AF85" s="2">
        <v>152.38095238095201</v>
      </c>
      <c r="AG85" s="2">
        <v>16.495721976846401</v>
      </c>
      <c r="AH85" s="2">
        <v>0</v>
      </c>
      <c r="AI85" s="2">
        <v>0</v>
      </c>
      <c r="AJ85" s="2">
        <v>0</v>
      </c>
      <c r="AK85" s="2">
        <v>0</v>
      </c>
      <c r="AL85" s="2">
        <v>114.28571428571399</v>
      </c>
      <c r="AM85" s="2">
        <v>28.571428571428601</v>
      </c>
      <c r="AN85"/>
      <c r="AO85"/>
    </row>
    <row r="86" spans="1:41" ht="15.75" customHeight="1" x14ac:dyDescent="0.45">
      <c r="A86" s="2" t="s">
        <v>107</v>
      </c>
      <c r="B86" s="2" t="s">
        <v>108</v>
      </c>
      <c r="C86" s="2">
        <v>0.3</v>
      </c>
      <c r="D86" s="2"/>
      <c r="E86" s="2" t="s">
        <v>85</v>
      </c>
      <c r="F86" s="2" t="s">
        <v>84</v>
      </c>
      <c r="G86" s="2" t="s">
        <v>111</v>
      </c>
      <c r="H86" s="2">
        <v>9.3000000000000007</v>
      </c>
      <c r="I86" s="2">
        <v>3539</v>
      </c>
      <c r="J86" s="2">
        <v>9.3000000000000007</v>
      </c>
      <c r="K86" s="2">
        <v>0</v>
      </c>
      <c r="L86" s="2"/>
      <c r="M86" s="2">
        <v>0</v>
      </c>
      <c r="N86" s="2">
        <v>211.888888888888</v>
      </c>
      <c r="O86" s="2">
        <v>28.696851033854799</v>
      </c>
      <c r="P86" s="2">
        <v>0.88888888888888795</v>
      </c>
      <c r="Q86" s="2">
        <v>0.63098981620003003</v>
      </c>
      <c r="R86" s="2">
        <v>2.38888888888888</v>
      </c>
      <c r="S86" s="2">
        <v>4.1376769291923097</v>
      </c>
      <c r="T86" s="2">
        <v>4.3333333333333304</v>
      </c>
      <c r="U86" s="2">
        <v>1.85592145427667</v>
      </c>
      <c r="V86" s="2">
        <v>0.11111111111111099</v>
      </c>
      <c r="W86" s="2">
        <v>9.6225044864937603E-2</v>
      </c>
      <c r="X86" s="2">
        <v>0.44444444444444398</v>
      </c>
      <c r="Y86" s="2">
        <v>0.34694433324435497</v>
      </c>
      <c r="Z86" s="7">
        <v>70.492560761482295</v>
      </c>
      <c r="AA86" s="2">
        <v>9.5470532965416695</v>
      </c>
      <c r="AB86" s="7">
        <v>0</v>
      </c>
      <c r="AC86" s="2">
        <v>0</v>
      </c>
      <c r="AD86" s="2">
        <v>77.037037037036995</v>
      </c>
      <c r="AE86" s="2">
        <v>32.994159187140802</v>
      </c>
      <c r="AF86" s="2">
        <v>152.38095238095201</v>
      </c>
      <c r="AG86" s="2">
        <v>108.169682777148</v>
      </c>
      <c r="AH86" s="2">
        <v>150.87719298245599</v>
      </c>
      <c r="AI86" s="2">
        <v>261.32696394898801</v>
      </c>
      <c r="AJ86" s="2">
        <v>133.333333333333</v>
      </c>
      <c r="AK86" s="2">
        <v>115.47005383792499</v>
      </c>
      <c r="AL86" s="2">
        <v>76.190476190476204</v>
      </c>
      <c r="AM86" s="2">
        <v>59.476171413317999</v>
      </c>
      <c r="AN86"/>
      <c r="AO86"/>
    </row>
    <row r="87" spans="1:41" ht="15.75" customHeight="1" x14ac:dyDescent="0.45">
      <c r="A87" s="2" t="s">
        <v>107</v>
      </c>
      <c r="B87" s="2" t="s">
        <v>108</v>
      </c>
      <c r="C87" s="2">
        <v>1</v>
      </c>
      <c r="D87" s="2"/>
      <c r="E87" s="2" t="s">
        <v>85</v>
      </c>
      <c r="F87" s="2" t="s">
        <v>84</v>
      </c>
      <c r="G87" s="2" t="s">
        <v>111</v>
      </c>
      <c r="H87" s="2">
        <v>9.3000000000000007</v>
      </c>
      <c r="I87" s="2">
        <v>3539</v>
      </c>
      <c r="J87" s="2">
        <v>9.3000000000000007</v>
      </c>
      <c r="K87" s="2">
        <v>0</v>
      </c>
      <c r="L87" s="2"/>
      <c r="M87" s="2">
        <v>0</v>
      </c>
      <c r="N87" s="2">
        <v>185.388888888888</v>
      </c>
      <c r="O87" s="2">
        <v>37.581885904623697</v>
      </c>
      <c r="P87" s="2">
        <v>0.94444444444444398</v>
      </c>
      <c r="Q87" s="2">
        <v>0.41943524640392998</v>
      </c>
      <c r="R87" s="2">
        <v>0.66666666666666596</v>
      </c>
      <c r="S87" s="2">
        <v>0.66666666666666596</v>
      </c>
      <c r="T87" s="2">
        <v>3</v>
      </c>
      <c r="U87" s="2">
        <v>2.4888640871780101</v>
      </c>
      <c r="V87" s="2">
        <v>0</v>
      </c>
      <c r="W87" s="2">
        <v>0</v>
      </c>
      <c r="X87" s="2">
        <v>0.88888888888888795</v>
      </c>
      <c r="Y87" s="2">
        <v>0.25458753860865702</v>
      </c>
      <c r="Z87" s="7">
        <v>61.676370021254897</v>
      </c>
      <c r="AA87" s="2">
        <v>12.502983943872501</v>
      </c>
      <c r="AB87" s="7">
        <v>0</v>
      </c>
      <c r="AC87" s="2">
        <v>0</v>
      </c>
      <c r="AD87" s="2">
        <v>53.3333333333333</v>
      </c>
      <c r="AE87" s="2">
        <v>44.246472660942402</v>
      </c>
      <c r="AF87" s="2">
        <v>161.90476190476099</v>
      </c>
      <c r="AG87" s="2">
        <v>71.903185097816603</v>
      </c>
      <c r="AH87" s="2">
        <v>42.105263157894697</v>
      </c>
      <c r="AI87" s="2">
        <v>42.105263157894697</v>
      </c>
      <c r="AJ87" s="2">
        <v>0</v>
      </c>
      <c r="AK87" s="2">
        <v>0</v>
      </c>
      <c r="AL87" s="2">
        <v>152.38095238095201</v>
      </c>
      <c r="AM87" s="2">
        <v>43.643578047198403</v>
      </c>
      <c r="AN87"/>
      <c r="AO87"/>
    </row>
    <row r="88" spans="1:41" ht="15.75" customHeight="1" x14ac:dyDescent="0.45">
      <c r="A88" s="2" t="s">
        <v>107</v>
      </c>
      <c r="B88" s="2" t="s">
        <v>108</v>
      </c>
      <c r="C88" s="2">
        <v>3</v>
      </c>
      <c r="D88" s="2"/>
      <c r="E88" s="2" t="s">
        <v>85</v>
      </c>
      <c r="F88" s="2" t="s">
        <v>84</v>
      </c>
      <c r="G88" s="2" t="s">
        <v>111</v>
      </c>
      <c r="H88" s="2">
        <v>9.3000000000000007</v>
      </c>
      <c r="I88" s="2">
        <v>3539</v>
      </c>
      <c r="J88" s="2">
        <v>9.3000000000000007</v>
      </c>
      <c r="K88" s="2">
        <v>0</v>
      </c>
      <c r="L88" s="2"/>
      <c r="M88" s="2">
        <v>0</v>
      </c>
      <c r="N88" s="2">
        <v>203.31111111111099</v>
      </c>
      <c r="O88" s="2">
        <v>61.438508855361697</v>
      </c>
      <c r="P88" s="2">
        <v>0.79999999999999905</v>
      </c>
      <c r="Q88" s="2">
        <v>0.51961524227066302</v>
      </c>
      <c r="R88" s="2">
        <v>0.72222222222222199</v>
      </c>
      <c r="S88" s="2">
        <v>1.1097213530798899</v>
      </c>
      <c r="T88" s="2">
        <v>4.0444444444444398</v>
      </c>
      <c r="U88" s="2">
        <v>3.1667251456588601</v>
      </c>
      <c r="V88" s="2">
        <v>0</v>
      </c>
      <c r="W88" s="2">
        <v>0</v>
      </c>
      <c r="X88" s="2">
        <v>1.05555555555555</v>
      </c>
      <c r="Y88" s="2">
        <v>0.25458753860865702</v>
      </c>
      <c r="Z88" s="7">
        <v>67.6388503835135</v>
      </c>
      <c r="AA88" s="2">
        <v>20.439758976000501</v>
      </c>
      <c r="AB88" s="7">
        <v>0</v>
      </c>
      <c r="AC88" s="2">
        <v>0</v>
      </c>
      <c r="AD88" s="2">
        <v>71.901234567901199</v>
      </c>
      <c r="AE88" s="2">
        <v>56.297335922824203</v>
      </c>
      <c r="AF88" s="2">
        <v>137.142857142857</v>
      </c>
      <c r="AG88" s="2">
        <v>89.076898674970806</v>
      </c>
      <c r="AH88" s="2">
        <v>45.614035087719202</v>
      </c>
      <c r="AI88" s="2">
        <v>70.087664405046198</v>
      </c>
      <c r="AJ88" s="2">
        <v>0</v>
      </c>
      <c r="AK88" s="2">
        <v>0</v>
      </c>
      <c r="AL88" s="2">
        <v>180.95238095238</v>
      </c>
      <c r="AM88" s="2">
        <v>43.643578047198403</v>
      </c>
      <c r="AN88"/>
      <c r="AO88"/>
    </row>
    <row r="89" spans="1:41" s="8" customFormat="1" ht="15.75" customHeight="1" x14ac:dyDescent="0.45">
      <c r="A89" s="7" t="s">
        <v>107</v>
      </c>
      <c r="B89" s="7" t="s">
        <v>108</v>
      </c>
      <c r="C89" s="7">
        <v>10</v>
      </c>
      <c r="D89" s="7"/>
      <c r="E89" s="7" t="s">
        <v>85</v>
      </c>
      <c r="F89" s="7" t="s">
        <v>84</v>
      </c>
      <c r="G89" s="7" t="s">
        <v>111</v>
      </c>
      <c r="H89" s="7">
        <v>9.3000000000000007</v>
      </c>
      <c r="I89" s="7">
        <v>3539</v>
      </c>
      <c r="J89" s="7">
        <v>9.3000000000000007</v>
      </c>
      <c r="K89" s="7">
        <v>0</v>
      </c>
      <c r="L89" s="7"/>
      <c r="M89" s="7">
        <v>0</v>
      </c>
      <c r="N89" s="7">
        <v>164.888888888888</v>
      </c>
      <c r="O89" s="7">
        <v>23.404850715974</v>
      </c>
      <c r="P89" s="7">
        <v>0.94444444444444398</v>
      </c>
      <c r="Q89" s="7">
        <v>0.41943524640392998</v>
      </c>
      <c r="R89" s="7">
        <v>1.3333333333333299</v>
      </c>
      <c r="S89" s="7">
        <v>1.20185042515466</v>
      </c>
      <c r="T89" s="7">
        <v>4.2222222222222197</v>
      </c>
      <c r="U89" s="7">
        <v>1.71053381314896</v>
      </c>
      <c r="V89" s="7">
        <v>0</v>
      </c>
      <c r="W89" s="7">
        <v>0</v>
      </c>
      <c r="X89" s="7">
        <v>1.05555555555555</v>
      </c>
      <c r="Y89" s="7">
        <v>0.25458753860865702</v>
      </c>
      <c r="Z89" s="7">
        <v>54.856297939192302</v>
      </c>
      <c r="AA89" s="7">
        <v>7.7864765342857796</v>
      </c>
      <c r="AB89" s="7">
        <v>0</v>
      </c>
      <c r="AC89" s="7">
        <v>0</v>
      </c>
      <c r="AD89" s="7">
        <v>75.061728395061706</v>
      </c>
      <c r="AE89" s="7">
        <v>30.409490011536999</v>
      </c>
      <c r="AF89" s="7">
        <v>161.90476190476099</v>
      </c>
      <c r="AG89" s="7">
        <v>71.903185097816603</v>
      </c>
      <c r="AH89" s="7">
        <v>84.210526315789394</v>
      </c>
      <c r="AI89" s="7">
        <v>75.906342641347095</v>
      </c>
      <c r="AJ89" s="7">
        <v>0</v>
      </c>
      <c r="AK89" s="7">
        <v>0</v>
      </c>
      <c r="AL89" s="7">
        <v>180.95238095238</v>
      </c>
      <c r="AM89" s="7">
        <v>43.643578047198403</v>
      </c>
    </row>
    <row r="90" spans="1:41" ht="15.75" customHeight="1" x14ac:dyDescent="0.45">
      <c r="A90" s="2" t="s">
        <v>107</v>
      </c>
      <c r="B90" s="2" t="s">
        <v>108</v>
      </c>
      <c r="C90" s="2">
        <v>3.0000000000000001E-3</v>
      </c>
      <c r="D90" s="2"/>
      <c r="E90" s="2" t="s">
        <v>85</v>
      </c>
      <c r="F90" s="2" t="s">
        <v>84</v>
      </c>
      <c r="G90" s="2" t="s">
        <v>86</v>
      </c>
      <c r="H90" s="2" t="s">
        <v>87</v>
      </c>
      <c r="I90" s="2">
        <v>3539</v>
      </c>
      <c r="K90" s="2">
        <v>7.3888888888888804</v>
      </c>
      <c r="L90" s="2"/>
      <c r="M90" s="2">
        <v>1.3977495139343401</v>
      </c>
      <c r="N90" s="2">
        <v>358.83333333333297</v>
      </c>
      <c r="O90" s="2">
        <v>30.227379053508201</v>
      </c>
      <c r="P90" s="2">
        <v>0.66666666666666596</v>
      </c>
      <c r="Q90" s="2">
        <v>1.05367121277235E-8</v>
      </c>
      <c r="R90" s="2">
        <v>0.83333333333333304</v>
      </c>
      <c r="S90" s="2">
        <v>0.28867513459481298</v>
      </c>
      <c r="T90" s="2">
        <v>2.55555555555555</v>
      </c>
      <c r="U90" s="2">
        <v>0.38490017945974903</v>
      </c>
      <c r="V90" s="2">
        <v>0</v>
      </c>
      <c r="W90" s="2">
        <v>0</v>
      </c>
      <c r="X90" s="2">
        <v>0.77777777777777701</v>
      </c>
      <c r="Y90" s="2">
        <v>0.25458753860865702</v>
      </c>
      <c r="Z90" s="7">
        <v>95.434397163120494</v>
      </c>
      <c r="AA90" s="2">
        <v>8.0391965567840895</v>
      </c>
      <c r="AB90" s="7">
        <v>80.606060606060595</v>
      </c>
      <c r="AC90" s="2">
        <v>15.248176515647399</v>
      </c>
      <c r="AD90" s="2">
        <v>65.949820788530403</v>
      </c>
      <c r="AE90" s="2">
        <v>9.9329078570257803</v>
      </c>
      <c r="AF90" s="2">
        <v>133.333333333333</v>
      </c>
      <c r="AG90" s="2">
        <v>2.1073424255447E-6</v>
      </c>
      <c r="AH90" s="2">
        <v>79.999999999999901</v>
      </c>
      <c r="AI90" s="2">
        <v>27.712812921102</v>
      </c>
      <c r="AJ90"/>
      <c r="AK90"/>
      <c r="AL90" s="2">
        <v>143.58974358974299</v>
      </c>
      <c r="AM90" s="2">
        <v>47.000776358521399</v>
      </c>
      <c r="AN90"/>
      <c r="AO90"/>
    </row>
    <row r="91" spans="1:41" ht="15.75" customHeight="1" x14ac:dyDescent="0.45">
      <c r="A91" s="2" t="s">
        <v>107</v>
      </c>
      <c r="B91" s="2" t="s">
        <v>108</v>
      </c>
      <c r="C91" s="2">
        <v>0.01</v>
      </c>
      <c r="D91" s="2"/>
      <c r="E91" s="2" t="s">
        <v>85</v>
      </c>
      <c r="F91" s="2" t="s">
        <v>84</v>
      </c>
      <c r="G91" s="2" t="s">
        <v>86</v>
      </c>
      <c r="H91" s="2" t="s">
        <v>87</v>
      </c>
      <c r="I91" s="2">
        <v>3539</v>
      </c>
      <c r="K91" s="2">
        <v>6</v>
      </c>
      <c r="L91" s="2"/>
      <c r="M91" s="2">
        <v>0.72648315725678403</v>
      </c>
      <c r="N91" s="2">
        <v>294.27777777777698</v>
      </c>
      <c r="O91" s="2">
        <v>27.6030057407873</v>
      </c>
      <c r="P91" s="2">
        <v>0.72222222222222199</v>
      </c>
      <c r="Q91" s="2">
        <v>0.34694433324435497</v>
      </c>
      <c r="R91" s="2">
        <v>0.66666666666666596</v>
      </c>
      <c r="S91" s="2">
        <v>0.33333333333333298</v>
      </c>
      <c r="T91" s="2">
        <v>2.3333333333333299</v>
      </c>
      <c r="U91" s="2">
        <v>0.72648315725678003</v>
      </c>
      <c r="V91" s="2">
        <v>0</v>
      </c>
      <c r="W91" s="2">
        <v>0</v>
      </c>
      <c r="X91" s="2">
        <v>0.5</v>
      </c>
      <c r="Y91" s="2">
        <v>0.16666666666666599</v>
      </c>
      <c r="Z91" s="7">
        <v>78.265366430260002</v>
      </c>
      <c r="AA91" s="2">
        <v>7.34122493106047</v>
      </c>
      <c r="AB91" s="7">
        <v>65.454545454545396</v>
      </c>
      <c r="AC91" s="2">
        <v>7.9252708064376396</v>
      </c>
      <c r="AD91" s="2">
        <v>60.2150537634408</v>
      </c>
      <c r="AE91" s="2">
        <v>18.7479524453362</v>
      </c>
      <c r="AF91" s="2">
        <v>144.444444444444</v>
      </c>
      <c r="AG91" s="2">
        <v>69.388866648871002</v>
      </c>
      <c r="AH91" s="2">
        <v>63.999999999999901</v>
      </c>
      <c r="AI91" s="2">
        <v>32</v>
      </c>
      <c r="AJ91"/>
      <c r="AK91"/>
      <c r="AL91" s="2">
        <v>92.307692307692307</v>
      </c>
      <c r="AM91" s="2">
        <v>30.769230769230699</v>
      </c>
      <c r="AN91"/>
      <c r="AO91"/>
    </row>
    <row r="92" spans="1:41" ht="15.75" customHeight="1" x14ac:dyDescent="0.45">
      <c r="A92" s="2" t="s">
        <v>107</v>
      </c>
      <c r="B92" s="2" t="s">
        <v>108</v>
      </c>
      <c r="C92" s="2">
        <v>0.03</v>
      </c>
      <c r="D92" s="2"/>
      <c r="E92" s="2" t="s">
        <v>85</v>
      </c>
      <c r="F92" s="2" t="s">
        <v>84</v>
      </c>
      <c r="G92" s="2" t="s">
        <v>86</v>
      </c>
      <c r="H92" s="2" t="s">
        <v>87</v>
      </c>
      <c r="I92" s="2">
        <v>3539</v>
      </c>
      <c r="K92" s="2">
        <v>5.0111111111111102</v>
      </c>
      <c r="L92" s="2"/>
      <c r="M92" s="2">
        <v>0.81672335404164398</v>
      </c>
      <c r="N92" s="2">
        <v>279.28888888888798</v>
      </c>
      <c r="O92" s="2">
        <v>20.8642526115128</v>
      </c>
      <c r="P92" s="2">
        <v>0.93333333333333302</v>
      </c>
      <c r="Q92" s="2">
        <v>0.50332229568471698</v>
      </c>
      <c r="R92" s="2">
        <v>0.86666666666666603</v>
      </c>
      <c r="S92" s="2">
        <v>0.41633319989322598</v>
      </c>
      <c r="T92" s="2">
        <v>2.8777777777777702</v>
      </c>
      <c r="U92" s="2">
        <v>1.10067319467745</v>
      </c>
      <c r="V92" s="2">
        <v>5.5555555555555497E-2</v>
      </c>
      <c r="W92" s="2">
        <v>9.6225044864937603E-2</v>
      </c>
      <c r="X92" s="2">
        <v>0.62222222222222201</v>
      </c>
      <c r="Y92" s="2">
        <v>3.8490017945975598E-2</v>
      </c>
      <c r="Z92" s="7">
        <v>74.278959810874696</v>
      </c>
      <c r="AA92" s="2">
        <v>5.54900335412575</v>
      </c>
      <c r="AB92" s="7">
        <v>54.6666666666666</v>
      </c>
      <c r="AC92" s="2">
        <v>8.9097093168179402</v>
      </c>
      <c r="AD92" s="2">
        <v>74.265232974910305</v>
      </c>
      <c r="AE92" s="2">
        <v>28.404469540063399</v>
      </c>
      <c r="AF92" s="2">
        <v>186.666666666666</v>
      </c>
      <c r="AG92" s="2">
        <v>100.66445913694299</v>
      </c>
      <c r="AH92" s="2">
        <v>83.199999999999903</v>
      </c>
      <c r="AI92" s="2">
        <v>39.967987189749699</v>
      </c>
      <c r="AJ92"/>
      <c r="AK92"/>
      <c r="AL92" s="2">
        <v>114.87179487179399</v>
      </c>
      <c r="AM92" s="2">
        <v>7.1058494669493504</v>
      </c>
      <c r="AN92"/>
      <c r="AO92"/>
    </row>
    <row r="93" spans="1:41" ht="15.75" customHeight="1" x14ac:dyDescent="0.45">
      <c r="A93" s="2" t="s">
        <v>107</v>
      </c>
      <c r="B93" s="2" t="s">
        <v>108</v>
      </c>
      <c r="C93" s="2">
        <v>0.1</v>
      </c>
      <c r="D93" s="2"/>
      <c r="E93" s="2" t="s">
        <v>85</v>
      </c>
      <c r="F93" s="2" t="s">
        <v>84</v>
      </c>
      <c r="G93" s="2" t="s">
        <v>86</v>
      </c>
      <c r="H93" s="2" t="s">
        <v>87</v>
      </c>
      <c r="I93" s="2">
        <v>3539</v>
      </c>
      <c r="K93" s="2">
        <v>2.6111111111111098</v>
      </c>
      <c r="L93" s="2"/>
      <c r="M93" s="2">
        <v>0.67357531405456295</v>
      </c>
      <c r="N93" s="2">
        <v>291.83333333333297</v>
      </c>
      <c r="O93" s="2">
        <v>48.444412589184303</v>
      </c>
      <c r="P93" s="2">
        <v>0.72222222222222199</v>
      </c>
      <c r="Q93" s="2">
        <v>0.34694433324435497</v>
      </c>
      <c r="R93" s="2">
        <v>0.27777777777777701</v>
      </c>
      <c r="S93" s="2">
        <v>9.62250448649377E-2</v>
      </c>
      <c r="T93" s="2">
        <v>3.5</v>
      </c>
      <c r="U93" s="2">
        <v>1.8929694486000901</v>
      </c>
      <c r="V93" s="2">
        <v>5.5555555555555497E-2</v>
      </c>
      <c r="W93" s="2">
        <v>9.6225044864937603E-2</v>
      </c>
      <c r="X93" s="2">
        <v>0.5</v>
      </c>
      <c r="Y93" s="2">
        <v>0.16666666666666599</v>
      </c>
      <c r="Z93" s="7">
        <v>77.6152482269503</v>
      </c>
      <c r="AA93" s="2">
        <v>12.8841522843575</v>
      </c>
      <c r="AB93" s="7">
        <v>28.484848484848399</v>
      </c>
      <c r="AC93" s="2">
        <v>7.34809433514069</v>
      </c>
      <c r="AD93" s="2">
        <v>90.322580645161196</v>
      </c>
      <c r="AE93" s="2">
        <v>48.850824480002302</v>
      </c>
      <c r="AF93" s="2">
        <v>144.444444444444</v>
      </c>
      <c r="AG93" s="2">
        <v>69.388866648871002</v>
      </c>
      <c r="AH93" s="2">
        <v>26.6666666666666</v>
      </c>
      <c r="AI93" s="2">
        <v>9.2376043070340099</v>
      </c>
      <c r="AJ93"/>
      <c r="AK93"/>
      <c r="AL93" s="2">
        <v>92.307692307692307</v>
      </c>
      <c r="AM93" s="2">
        <v>30.769230769230699</v>
      </c>
      <c r="AN93"/>
      <c r="AO93"/>
    </row>
    <row r="94" spans="1:41" ht="15.75" customHeight="1" x14ac:dyDescent="0.45">
      <c r="A94" s="2" t="s">
        <v>107</v>
      </c>
      <c r="B94" s="2" t="s">
        <v>108</v>
      </c>
      <c r="C94" s="2">
        <v>0.3</v>
      </c>
      <c r="D94" s="2"/>
      <c r="E94" s="2" t="s">
        <v>85</v>
      </c>
      <c r="F94" s="2" t="s">
        <v>84</v>
      </c>
      <c r="G94" s="2" t="s">
        <v>86</v>
      </c>
      <c r="H94" s="2" t="s">
        <v>87</v>
      </c>
      <c r="I94" s="2">
        <v>3539</v>
      </c>
      <c r="K94" s="2">
        <v>5.5555555555555497E-2</v>
      </c>
      <c r="L94" s="2"/>
      <c r="M94" s="2">
        <v>9.6225044864937603E-2</v>
      </c>
      <c r="N94" s="2">
        <v>296.61111111111097</v>
      </c>
      <c r="O94" s="2">
        <v>21.974943643799701</v>
      </c>
      <c r="P94" s="2">
        <v>0.66666666666666596</v>
      </c>
      <c r="Q94" s="2">
        <v>0.44095855184409799</v>
      </c>
      <c r="R94" s="2">
        <v>0.22222222222222199</v>
      </c>
      <c r="S94" s="2">
        <v>0.38490017945975002</v>
      </c>
      <c r="T94" s="2">
        <v>5.1111111111111098</v>
      </c>
      <c r="U94" s="2">
        <v>2.42861033271048</v>
      </c>
      <c r="V94" s="2">
        <v>0</v>
      </c>
      <c r="W94" s="2">
        <v>0</v>
      </c>
      <c r="X94" s="2">
        <v>0.38888888888888801</v>
      </c>
      <c r="Y94" s="2">
        <v>0.34694433324435497</v>
      </c>
      <c r="Z94" s="7">
        <v>78.885933806146497</v>
      </c>
      <c r="AA94" s="2">
        <v>5.8443999052658899</v>
      </c>
      <c r="AB94" s="7">
        <v>0.60606060606060597</v>
      </c>
      <c r="AC94" s="2">
        <v>1.0497277621629499</v>
      </c>
      <c r="AD94" s="2">
        <v>131.89964157706001</v>
      </c>
      <c r="AE94" s="2">
        <v>62.673815037689998</v>
      </c>
      <c r="AF94" s="2">
        <v>133.333333333333</v>
      </c>
      <c r="AG94" s="2">
        <v>88.191710368819699</v>
      </c>
      <c r="AH94" s="2">
        <v>21.3333333333333</v>
      </c>
      <c r="AI94" s="2">
        <v>36.950417228135997</v>
      </c>
      <c r="AJ94"/>
      <c r="AK94"/>
      <c r="AL94" s="2">
        <v>71.794871794871696</v>
      </c>
      <c r="AM94" s="2">
        <v>64.051261522034807</v>
      </c>
      <c r="AN94"/>
      <c r="AO94"/>
    </row>
    <row r="95" spans="1:41" ht="15.75" customHeight="1" x14ac:dyDescent="0.45">
      <c r="A95" s="2" t="s">
        <v>107</v>
      </c>
      <c r="B95" s="2" t="s">
        <v>108</v>
      </c>
      <c r="C95" s="2">
        <v>1</v>
      </c>
      <c r="D95" s="2"/>
      <c r="E95" s="2" t="s">
        <v>85</v>
      </c>
      <c r="F95" s="2" t="s">
        <v>84</v>
      </c>
      <c r="G95" s="2" t="s">
        <v>86</v>
      </c>
      <c r="H95" s="2" t="s">
        <v>87</v>
      </c>
      <c r="I95" s="2">
        <v>3539</v>
      </c>
      <c r="K95" s="2">
        <v>0</v>
      </c>
      <c r="L95" s="2"/>
      <c r="M95" s="2">
        <v>0</v>
      </c>
      <c r="N95" s="2">
        <v>306.55555555555497</v>
      </c>
      <c r="O95" s="2">
        <v>59.309061827133903</v>
      </c>
      <c r="P95" s="2">
        <v>0.72222222222222199</v>
      </c>
      <c r="Q95" s="2">
        <v>0.34694433324435497</v>
      </c>
      <c r="R95" s="2">
        <v>2.88888888888888</v>
      </c>
      <c r="S95" s="2">
        <v>5.0037023329767498</v>
      </c>
      <c r="T95" s="2">
        <v>7.3888888888888804</v>
      </c>
      <c r="U95" s="2">
        <v>1.6777409856157199</v>
      </c>
      <c r="V95" s="2">
        <v>0</v>
      </c>
      <c r="W95" s="2">
        <v>0</v>
      </c>
      <c r="X95" s="2">
        <v>0.72222222222222199</v>
      </c>
      <c r="Y95" s="2">
        <v>0.25458753860865702</v>
      </c>
      <c r="Z95" s="7">
        <v>81.530732860520004</v>
      </c>
      <c r="AA95" s="2">
        <v>15.7736866561526</v>
      </c>
      <c r="AB95" s="7">
        <v>0</v>
      </c>
      <c r="AC95" s="2">
        <v>0</v>
      </c>
      <c r="AD95" s="2">
        <v>190.68100358422899</v>
      </c>
      <c r="AE95" s="2">
        <v>43.296541564276701</v>
      </c>
      <c r="AF95" s="2">
        <v>144.444444444444</v>
      </c>
      <c r="AG95" s="2">
        <v>69.388866648871101</v>
      </c>
      <c r="AH95" s="2">
        <v>277.33333333333297</v>
      </c>
      <c r="AI95" s="2">
        <v>480.35542396576801</v>
      </c>
      <c r="AJ95"/>
      <c r="AK95"/>
      <c r="AL95" s="2">
        <v>133.333333333333</v>
      </c>
      <c r="AM95" s="2">
        <v>47.000776358521399</v>
      </c>
      <c r="AN95"/>
      <c r="AO95"/>
    </row>
    <row r="96" spans="1:41" ht="15.75" customHeight="1" x14ac:dyDescent="0.45">
      <c r="A96" s="2" t="s">
        <v>107</v>
      </c>
      <c r="B96" s="2" t="s">
        <v>108</v>
      </c>
      <c r="C96" s="2">
        <v>3</v>
      </c>
      <c r="D96" s="2"/>
      <c r="E96" s="2" t="s">
        <v>85</v>
      </c>
      <c r="F96" s="2" t="s">
        <v>84</v>
      </c>
      <c r="G96" s="2" t="s">
        <v>86</v>
      </c>
      <c r="H96" s="2" t="s">
        <v>87</v>
      </c>
      <c r="I96" s="2">
        <v>3539</v>
      </c>
      <c r="K96" s="2">
        <v>0</v>
      </c>
      <c r="L96" s="2"/>
      <c r="M96" s="2">
        <v>0</v>
      </c>
      <c r="N96" s="2">
        <v>199.777777777777</v>
      </c>
      <c r="O96" s="2">
        <v>13.2017815857189</v>
      </c>
      <c r="P96" s="2">
        <v>0.83333333333333304</v>
      </c>
      <c r="Q96" s="2">
        <v>0.16666666666666699</v>
      </c>
      <c r="R96" s="2">
        <v>0.22222222222222199</v>
      </c>
      <c r="S96" s="2">
        <v>0.38490017945975002</v>
      </c>
      <c r="T96" s="2">
        <v>3</v>
      </c>
      <c r="U96" s="2">
        <v>1.58989866902824</v>
      </c>
      <c r="V96" s="2">
        <v>0</v>
      </c>
      <c r="W96" s="2">
        <v>0</v>
      </c>
      <c r="X96" s="2">
        <v>0.66666666666666596</v>
      </c>
      <c r="Y96" s="2">
        <v>0.33333333333333298</v>
      </c>
      <c r="Z96" s="7">
        <v>53.132387706855702</v>
      </c>
      <c r="AA96" s="2">
        <v>3.5111121238614298</v>
      </c>
      <c r="AB96" s="7">
        <v>0</v>
      </c>
      <c r="AC96" s="2">
        <v>0</v>
      </c>
      <c r="AD96" s="2">
        <v>77.419354838709594</v>
      </c>
      <c r="AE96" s="2">
        <v>41.029643071696597</v>
      </c>
      <c r="AF96" s="2">
        <v>166.666666666666</v>
      </c>
      <c r="AG96" s="2">
        <v>33.3333333333334</v>
      </c>
      <c r="AH96" s="2">
        <v>21.3333333333333</v>
      </c>
      <c r="AI96" s="2">
        <v>36.950417228135997</v>
      </c>
      <c r="AJ96"/>
      <c r="AK96"/>
      <c r="AL96" s="2">
        <v>123.07692307692299</v>
      </c>
      <c r="AM96" s="2">
        <v>61.538461538461497</v>
      </c>
      <c r="AN96"/>
      <c r="AO96"/>
    </row>
    <row r="97" spans="1:41" s="8" customFormat="1" ht="15.75" customHeight="1" x14ac:dyDescent="0.45">
      <c r="A97" s="7" t="s">
        <v>107</v>
      </c>
      <c r="B97" s="7" t="s">
        <v>108</v>
      </c>
      <c r="C97" s="7">
        <v>10</v>
      </c>
      <c r="D97" s="7"/>
      <c r="E97" s="7" t="s">
        <v>85</v>
      </c>
      <c r="F97" s="7" t="s">
        <v>84</v>
      </c>
      <c r="G97" s="7" t="s">
        <v>86</v>
      </c>
      <c r="H97" s="7" t="s">
        <v>87</v>
      </c>
      <c r="I97" s="7">
        <v>3539</v>
      </c>
      <c r="K97" s="7">
        <v>0</v>
      </c>
      <c r="L97" s="7"/>
      <c r="M97" s="7">
        <v>0</v>
      </c>
      <c r="N97" s="7">
        <v>199.5</v>
      </c>
      <c r="O97" s="7">
        <v>19.5639975465138</v>
      </c>
      <c r="P97" s="7">
        <v>0.61111111111111105</v>
      </c>
      <c r="Q97" s="7">
        <v>0.19245008972987501</v>
      </c>
      <c r="R97" s="7">
        <v>0.16666666666666599</v>
      </c>
      <c r="S97" s="7">
        <v>0.28867513459481198</v>
      </c>
      <c r="T97" s="7">
        <v>3.9444444444444402</v>
      </c>
      <c r="U97" s="7">
        <v>0.53575837561072404</v>
      </c>
      <c r="V97" s="7">
        <v>5.5555555555555497E-2</v>
      </c>
      <c r="W97" s="7">
        <v>9.6225044864937603E-2</v>
      </c>
      <c r="X97" s="7">
        <v>0.77777777777777701</v>
      </c>
      <c r="Y97" s="7">
        <v>0.34694433324435497</v>
      </c>
      <c r="Z97" s="7">
        <v>53.058510638297797</v>
      </c>
      <c r="AA97" s="7">
        <v>5.2031908368387896</v>
      </c>
      <c r="AB97" s="7">
        <v>0</v>
      </c>
      <c r="AC97" s="7">
        <v>0</v>
      </c>
      <c r="AD97" s="7">
        <v>101.79211469534</v>
      </c>
      <c r="AE97" s="7">
        <v>13.8260225964057</v>
      </c>
      <c r="AF97" s="7">
        <v>122.222222222222</v>
      </c>
      <c r="AG97" s="7">
        <v>38.490017945974998</v>
      </c>
      <c r="AH97" s="7">
        <v>15.999999999999901</v>
      </c>
      <c r="AI97" s="7">
        <v>27.712812921102</v>
      </c>
      <c r="AL97" s="7">
        <v>143.58974358974299</v>
      </c>
      <c r="AM97" s="7">
        <v>64.051261522034807</v>
      </c>
    </row>
    <row r="98" spans="1:41" ht="15.75" customHeight="1" x14ac:dyDescent="0.45">
      <c r="A98" s="2" t="s">
        <v>107</v>
      </c>
      <c r="B98" s="2" t="s">
        <v>108</v>
      </c>
      <c r="C98" s="2">
        <v>3.0000000000000001E-3</v>
      </c>
      <c r="D98" s="2"/>
      <c r="E98" s="2" t="s">
        <v>85</v>
      </c>
      <c r="F98" s="2" t="s">
        <v>84</v>
      </c>
      <c r="G98" s="2" t="s">
        <v>111</v>
      </c>
      <c r="H98" s="2">
        <v>10.5</v>
      </c>
      <c r="I98" s="2">
        <v>3539</v>
      </c>
      <c r="J98" s="2">
        <v>10.5</v>
      </c>
      <c r="K98" s="2">
        <v>3.4444444444444402</v>
      </c>
      <c r="L98" s="2"/>
      <c r="M98" s="2">
        <v>0.25458753860866101</v>
      </c>
      <c r="N98" s="2">
        <v>232.277777777777</v>
      </c>
      <c r="O98" s="2">
        <v>17.849940346408701</v>
      </c>
      <c r="P98" s="2">
        <v>1.2222222222222201</v>
      </c>
      <c r="Q98" s="2">
        <v>0.67357531405456295</v>
      </c>
      <c r="R98" s="2">
        <v>5.5555555555555497E-2</v>
      </c>
      <c r="S98" s="2">
        <v>9.6225044864937603E-2</v>
      </c>
      <c r="T98" s="2">
        <v>2.6666666666666599</v>
      </c>
      <c r="U98" s="2">
        <v>4.2146848510894002E-8</v>
      </c>
      <c r="V98" s="2">
        <v>5.5555555555555497E-2</v>
      </c>
      <c r="W98" s="2">
        <v>9.6225044864937603E-2</v>
      </c>
      <c r="X98" s="2">
        <v>0.66666666666666596</v>
      </c>
      <c r="Y98" s="2">
        <v>0.16666666666666699</v>
      </c>
      <c r="Z98" s="7">
        <v>89.351926056526096</v>
      </c>
      <c r="AA98" s="2">
        <v>6.8664620662575597</v>
      </c>
      <c r="AB98" s="7">
        <v>78.730158730158706</v>
      </c>
      <c r="AC98" s="2">
        <v>5.81914373962654</v>
      </c>
      <c r="AD98" s="2">
        <v>72.727272727272705</v>
      </c>
      <c r="AE98" s="2">
        <v>1.14945950484256E-6</v>
      </c>
      <c r="AF98" s="2">
        <v>139.68253968253899</v>
      </c>
      <c r="AG98" s="2">
        <v>76.980035891949996</v>
      </c>
      <c r="AH98" s="2">
        <v>66.6666666666666</v>
      </c>
      <c r="AI98" s="2">
        <v>115.47005383792499</v>
      </c>
      <c r="AJ98" s="2">
        <v>133.333333333333</v>
      </c>
      <c r="AK98" s="2">
        <v>230.94010767584999</v>
      </c>
      <c r="AL98" s="2">
        <v>177.777777777777</v>
      </c>
      <c r="AM98" s="2">
        <v>44.444444444444599</v>
      </c>
      <c r="AN98"/>
      <c r="AO98"/>
    </row>
    <row r="99" spans="1:41" ht="15.75" customHeight="1" x14ac:dyDescent="0.45">
      <c r="A99" s="2" t="s">
        <v>107</v>
      </c>
      <c r="B99" s="2" t="s">
        <v>108</v>
      </c>
      <c r="C99" s="2">
        <v>0.01</v>
      </c>
      <c r="D99" s="2"/>
      <c r="E99" s="2" t="s">
        <v>85</v>
      </c>
      <c r="F99" s="2" t="s">
        <v>84</v>
      </c>
      <c r="G99" s="2" t="s">
        <v>111</v>
      </c>
      <c r="H99" s="2">
        <v>10.5</v>
      </c>
      <c r="I99" s="2">
        <v>3539</v>
      </c>
      <c r="J99" s="2">
        <v>10.5</v>
      </c>
      <c r="K99" s="2">
        <v>3.1111111111111098</v>
      </c>
      <c r="L99" s="2"/>
      <c r="M99" s="2">
        <v>1.5122952876462401</v>
      </c>
      <c r="N99" s="2">
        <v>258.55555555555497</v>
      </c>
      <c r="O99" s="2">
        <v>23.065325908368798</v>
      </c>
      <c r="P99" s="2">
        <v>0.77777777777777701</v>
      </c>
      <c r="Q99" s="2">
        <v>0.25458753860865702</v>
      </c>
      <c r="R99" s="2">
        <v>0.11111111111111099</v>
      </c>
      <c r="S99" s="2">
        <v>9.6225044864937603E-2</v>
      </c>
      <c r="T99" s="2">
        <v>2.88888888888888</v>
      </c>
      <c r="U99" s="2">
        <v>0.34694433324435697</v>
      </c>
      <c r="V99" s="2">
        <v>5.5555555555555497E-2</v>
      </c>
      <c r="W99" s="2">
        <v>9.6225044864937603E-2</v>
      </c>
      <c r="X99" s="2">
        <v>0.16666666666666599</v>
      </c>
      <c r="Y99" s="2">
        <v>0.16666666666666599</v>
      </c>
      <c r="Z99" s="7">
        <v>99.460383608484193</v>
      </c>
      <c r="AA99" s="2">
        <v>8.8727011027544709</v>
      </c>
      <c r="AB99" s="7">
        <v>71.1111111111111</v>
      </c>
      <c r="AC99" s="2">
        <v>34.566749431914097</v>
      </c>
      <c r="AD99" s="2">
        <v>78.787878787878697</v>
      </c>
      <c r="AE99" s="2">
        <v>9.4621181793915703</v>
      </c>
      <c r="AF99" s="2">
        <v>88.8888888888888</v>
      </c>
      <c r="AG99" s="2">
        <v>29.095718698132199</v>
      </c>
      <c r="AH99" s="2">
        <v>133.333333333333</v>
      </c>
      <c r="AI99" s="2">
        <v>115.47005383792499</v>
      </c>
      <c r="AJ99" s="2">
        <v>133.333333333333</v>
      </c>
      <c r="AK99" s="2">
        <v>230.94010767584999</v>
      </c>
      <c r="AL99" s="2">
        <v>44.4444444444444</v>
      </c>
      <c r="AM99" s="2">
        <v>44.4444444444444</v>
      </c>
      <c r="AN99"/>
      <c r="AO99"/>
    </row>
    <row r="100" spans="1:41" ht="15.75" customHeight="1" x14ac:dyDescent="0.45">
      <c r="A100" s="2" t="s">
        <v>107</v>
      </c>
      <c r="B100" s="2" t="s">
        <v>108</v>
      </c>
      <c r="C100" s="2">
        <v>0.03</v>
      </c>
      <c r="D100" s="2"/>
      <c r="E100" s="2" t="s">
        <v>85</v>
      </c>
      <c r="F100" s="2" t="s">
        <v>84</v>
      </c>
      <c r="G100" s="2" t="s">
        <v>111</v>
      </c>
      <c r="H100" s="2">
        <v>10.5</v>
      </c>
      <c r="I100" s="2">
        <v>3539</v>
      </c>
      <c r="J100" s="2">
        <v>10.5</v>
      </c>
      <c r="K100" s="2">
        <v>2</v>
      </c>
      <c r="L100" s="2"/>
      <c r="M100" s="2">
        <v>0.16666666666666899</v>
      </c>
      <c r="N100" s="2">
        <v>268.11111111111097</v>
      </c>
      <c r="O100" s="2">
        <v>26.8960619449789</v>
      </c>
      <c r="P100" s="2">
        <v>0.61111111111111105</v>
      </c>
      <c r="Q100" s="2">
        <v>0.19245008972987501</v>
      </c>
      <c r="R100" s="2">
        <v>5.5555555555555497E-2</v>
      </c>
      <c r="S100" s="2">
        <v>9.6225044864937603E-2</v>
      </c>
      <c r="T100" s="2">
        <v>3.6111111111111098</v>
      </c>
      <c r="U100" s="2">
        <v>1.1824331474329299</v>
      </c>
      <c r="V100" s="2">
        <v>5.5555555555555497E-2</v>
      </c>
      <c r="W100" s="2">
        <v>9.6225044864937603E-2</v>
      </c>
      <c r="X100" s="2">
        <v>0.61111111111111105</v>
      </c>
      <c r="Y100" s="2">
        <v>0.53575837561071904</v>
      </c>
      <c r="Z100" s="7">
        <v>103.13618635464999</v>
      </c>
      <c r="AA100" s="2">
        <v>10.3462972700672</v>
      </c>
      <c r="AB100" s="7">
        <v>45.714285714285701</v>
      </c>
      <c r="AC100" s="2">
        <v>3.8095238095238599</v>
      </c>
      <c r="AD100" s="2">
        <v>98.484848484848399</v>
      </c>
      <c r="AE100" s="2">
        <v>32.248176748170899</v>
      </c>
      <c r="AF100" s="2">
        <v>69.841269841269806</v>
      </c>
      <c r="AG100" s="2">
        <v>21.994295969128601</v>
      </c>
      <c r="AH100" s="2">
        <v>66.6666666666666</v>
      </c>
      <c r="AI100" s="2">
        <v>115.47005383792499</v>
      </c>
      <c r="AJ100" s="2">
        <v>133.333333333333</v>
      </c>
      <c r="AK100" s="2">
        <v>230.94010767584999</v>
      </c>
      <c r="AL100" s="2">
        <v>162.96296296296299</v>
      </c>
      <c r="AM100" s="2">
        <v>142.86890016285801</v>
      </c>
      <c r="AN100"/>
      <c r="AO100"/>
    </row>
    <row r="101" spans="1:41" ht="15.75" customHeight="1" x14ac:dyDescent="0.45">
      <c r="A101" s="2" t="s">
        <v>107</v>
      </c>
      <c r="B101" s="2" t="s">
        <v>108</v>
      </c>
      <c r="C101" s="2">
        <v>0.1</v>
      </c>
      <c r="D101" s="2"/>
      <c r="E101" s="2" t="s">
        <v>85</v>
      </c>
      <c r="F101" s="2" t="s">
        <v>84</v>
      </c>
      <c r="G101" s="2" t="s">
        <v>111</v>
      </c>
      <c r="H101" s="2">
        <v>10.5</v>
      </c>
      <c r="I101" s="2">
        <v>3539</v>
      </c>
      <c r="J101" s="2">
        <v>10.5</v>
      </c>
      <c r="K101" s="2">
        <v>0.55555555555555503</v>
      </c>
      <c r="L101" s="2"/>
      <c r="M101" s="2">
        <v>0.25458753860865702</v>
      </c>
      <c r="N101" s="2">
        <v>217</v>
      </c>
      <c r="O101" s="2">
        <v>11.454014337534099</v>
      </c>
      <c r="P101" s="2">
        <v>0.94444444444444398</v>
      </c>
      <c r="Q101" s="2">
        <v>0.48112522432468802</v>
      </c>
      <c r="R101" s="2">
        <v>0.83333333333333304</v>
      </c>
      <c r="S101" s="2">
        <v>0.72648315725677903</v>
      </c>
      <c r="T101" s="2">
        <v>3.55555555555555</v>
      </c>
      <c r="U101" s="2">
        <v>0.94770678384622098</v>
      </c>
      <c r="V101" s="2">
        <v>0</v>
      </c>
      <c r="W101" s="2">
        <v>0</v>
      </c>
      <c r="X101" s="2">
        <v>1.05555555555555</v>
      </c>
      <c r="Y101" s="2">
        <v>0.19245008972987501</v>
      </c>
      <c r="Z101" s="7">
        <v>83.474915851899297</v>
      </c>
      <c r="AA101" s="2">
        <v>4.4060962349866903</v>
      </c>
      <c r="AB101" s="7">
        <v>12.6984126984126</v>
      </c>
      <c r="AC101" s="2">
        <v>5.8191437396264503</v>
      </c>
      <c r="AD101" s="2">
        <v>96.969696969696898</v>
      </c>
      <c r="AE101" s="2">
        <v>25.846548650351401</v>
      </c>
      <c r="AF101" s="2">
        <v>107.936507936507</v>
      </c>
      <c r="AG101" s="2">
        <v>54.985739922821502</v>
      </c>
      <c r="AH101" s="2">
        <v>1000</v>
      </c>
      <c r="AI101" s="2">
        <v>871.77978870813399</v>
      </c>
      <c r="AJ101" s="2">
        <v>0</v>
      </c>
      <c r="AK101" s="2">
        <v>0</v>
      </c>
      <c r="AL101" s="2">
        <v>281.48148148148101</v>
      </c>
      <c r="AM101" s="2">
        <v>51.320023927966801</v>
      </c>
      <c r="AN101"/>
      <c r="AO101"/>
    </row>
    <row r="102" spans="1:41" ht="15.75" customHeight="1" x14ac:dyDescent="0.45">
      <c r="A102" s="2" t="s">
        <v>107</v>
      </c>
      <c r="B102" s="2" t="s">
        <v>108</v>
      </c>
      <c r="C102" s="2">
        <v>0.3</v>
      </c>
      <c r="D102" s="2"/>
      <c r="E102" s="2" t="s">
        <v>85</v>
      </c>
      <c r="F102" s="2" t="s">
        <v>84</v>
      </c>
      <c r="G102" s="2" t="s">
        <v>111</v>
      </c>
      <c r="H102" s="2">
        <v>10.5</v>
      </c>
      <c r="I102" s="2">
        <v>3539</v>
      </c>
      <c r="J102" s="2">
        <v>10.5</v>
      </c>
      <c r="K102" s="2">
        <v>0</v>
      </c>
      <c r="L102" s="2"/>
      <c r="M102" s="2">
        <v>0</v>
      </c>
      <c r="N102" s="2">
        <v>222.888888888888</v>
      </c>
      <c r="O102" s="2">
        <v>15.7465457705389</v>
      </c>
      <c r="P102" s="2">
        <v>1</v>
      </c>
      <c r="Q102" s="2">
        <v>0</v>
      </c>
      <c r="R102" s="2">
        <v>2.1111111111111098</v>
      </c>
      <c r="S102" s="2">
        <v>3.6565517048676299</v>
      </c>
      <c r="T102" s="2">
        <v>4.8888888888888804</v>
      </c>
      <c r="U102" s="2">
        <v>2.0971762320196499</v>
      </c>
      <c r="V102" s="2">
        <v>0.11111111111111099</v>
      </c>
      <c r="W102" s="2">
        <v>9.6225044864937603E-2</v>
      </c>
      <c r="X102" s="2">
        <v>0.77777777777777701</v>
      </c>
      <c r="Y102" s="2">
        <v>0.48112522432468802</v>
      </c>
      <c r="Z102" s="7">
        <v>85.740236148955404</v>
      </c>
      <c r="AA102" s="2">
        <v>6.0573344845798198</v>
      </c>
      <c r="AB102" s="7">
        <v>0</v>
      </c>
      <c r="AC102" s="2">
        <v>0</v>
      </c>
      <c r="AD102" s="2">
        <v>133.333333333333</v>
      </c>
      <c r="AE102" s="2">
        <v>57.195715418717803</v>
      </c>
      <c r="AF102" s="2">
        <v>114.28571428571399</v>
      </c>
      <c r="AG102" s="2">
        <v>0</v>
      </c>
      <c r="AH102" s="2">
        <v>2533.3333333333298</v>
      </c>
      <c r="AI102" s="2">
        <v>4387.8620458411497</v>
      </c>
      <c r="AJ102" s="2">
        <v>266.666666666666</v>
      </c>
      <c r="AK102" s="2">
        <v>230.94010767584999</v>
      </c>
      <c r="AL102" s="2">
        <v>207.40740740740699</v>
      </c>
      <c r="AM102" s="2">
        <v>128.30005981991599</v>
      </c>
      <c r="AN102"/>
      <c r="AO102"/>
    </row>
    <row r="103" spans="1:41" ht="15.75" customHeight="1" x14ac:dyDescent="0.45">
      <c r="A103" s="2" t="s">
        <v>107</v>
      </c>
      <c r="B103" s="2" t="s">
        <v>108</v>
      </c>
      <c r="C103" s="2">
        <v>1</v>
      </c>
      <c r="D103" s="2"/>
      <c r="E103" s="2" t="s">
        <v>85</v>
      </c>
      <c r="F103" s="2" t="s">
        <v>84</v>
      </c>
      <c r="G103" s="2" t="s">
        <v>111</v>
      </c>
      <c r="H103" s="2">
        <v>10.5</v>
      </c>
      <c r="I103" s="2">
        <v>3539</v>
      </c>
      <c r="J103" s="2">
        <v>10.5</v>
      </c>
      <c r="K103" s="2">
        <v>0</v>
      </c>
      <c r="L103" s="2"/>
      <c r="M103" s="2">
        <v>0</v>
      </c>
      <c r="N103" s="2">
        <v>172.444444444444</v>
      </c>
      <c r="O103" s="2">
        <v>6.7006080431663797</v>
      </c>
      <c r="P103" s="2">
        <v>1.94444444444444</v>
      </c>
      <c r="Q103" s="2">
        <v>0.48112522432468702</v>
      </c>
      <c r="R103" s="2">
        <v>5.5555555555555497E-2</v>
      </c>
      <c r="S103" s="2">
        <v>9.6225044864937603E-2</v>
      </c>
      <c r="T103" s="2">
        <v>4.2777777777777697</v>
      </c>
      <c r="U103" s="2">
        <v>1.5752718754175301</v>
      </c>
      <c r="V103" s="2">
        <v>5.5555555555555497E-2</v>
      </c>
      <c r="W103" s="2">
        <v>9.6225044864937603E-2</v>
      </c>
      <c r="X103" s="2">
        <v>1.2222222222222201</v>
      </c>
      <c r="Y103" s="2">
        <v>0.85526690657448001</v>
      </c>
      <c r="Z103" s="7">
        <v>66.335417000587697</v>
      </c>
      <c r="AA103" s="2">
        <v>2.57757001179665</v>
      </c>
      <c r="AB103" s="7">
        <v>0</v>
      </c>
      <c r="AC103" s="2">
        <v>0</v>
      </c>
      <c r="AD103" s="2">
        <v>116.666666666666</v>
      </c>
      <c r="AE103" s="2">
        <v>42.961960238660097</v>
      </c>
      <c r="AF103" s="2">
        <v>222.222222222222</v>
      </c>
      <c r="AG103" s="2">
        <v>54.985739922821402</v>
      </c>
      <c r="AH103" s="2">
        <v>66.6666666666666</v>
      </c>
      <c r="AI103" s="2">
        <v>115.47005383792499</v>
      </c>
      <c r="AJ103" s="2">
        <v>133.333333333333</v>
      </c>
      <c r="AK103" s="2">
        <v>230.94010767584999</v>
      </c>
      <c r="AL103" s="2">
        <v>325.92592592592598</v>
      </c>
      <c r="AM103" s="2">
        <v>228.071175086528</v>
      </c>
      <c r="AN103"/>
      <c r="AO103"/>
    </row>
    <row r="104" spans="1:41" ht="15.75" customHeight="1" x14ac:dyDescent="0.45">
      <c r="A104" s="2" t="s">
        <v>107</v>
      </c>
      <c r="B104" s="2" t="s">
        <v>108</v>
      </c>
      <c r="C104" s="2">
        <v>3</v>
      </c>
      <c r="D104" s="2"/>
      <c r="E104" s="2" t="s">
        <v>85</v>
      </c>
      <c r="F104" s="2" t="s">
        <v>84</v>
      </c>
      <c r="G104" s="2" t="s">
        <v>111</v>
      </c>
      <c r="H104" s="2">
        <v>10.5</v>
      </c>
      <c r="I104" s="2">
        <v>3539</v>
      </c>
      <c r="J104" s="2">
        <v>10.5</v>
      </c>
      <c r="K104" s="2">
        <v>0</v>
      </c>
      <c r="L104" s="2"/>
      <c r="M104" s="2">
        <v>0</v>
      </c>
      <c r="N104" s="2">
        <v>151.388888888888</v>
      </c>
      <c r="O104" s="2">
        <v>2.9642936826575998</v>
      </c>
      <c r="P104" s="2">
        <v>0.97777777777777697</v>
      </c>
      <c r="Q104" s="2">
        <v>0.367171369819073</v>
      </c>
      <c r="R104" s="2">
        <v>0.133333333333333</v>
      </c>
      <c r="S104" s="2">
        <v>0.23094010767584999</v>
      </c>
      <c r="T104" s="2">
        <v>4.0333333333333297</v>
      </c>
      <c r="U104" s="2">
        <v>2.5392474825778102</v>
      </c>
      <c r="V104" s="2">
        <v>0</v>
      </c>
      <c r="W104" s="2">
        <v>0</v>
      </c>
      <c r="X104" s="2">
        <v>1.5444444444444401</v>
      </c>
      <c r="Y104" s="2">
        <v>1.2606582642648401</v>
      </c>
      <c r="Z104" s="7">
        <v>58.235828391302</v>
      </c>
      <c r="AA104" s="2">
        <v>1.1402956945629501</v>
      </c>
      <c r="AB104" s="7">
        <v>0</v>
      </c>
      <c r="AC104" s="2">
        <v>0</v>
      </c>
      <c r="AD104" s="2">
        <v>109.99999999999901</v>
      </c>
      <c r="AE104" s="2">
        <v>69.252204070304003</v>
      </c>
      <c r="AF104" s="2">
        <v>111.74603174603099</v>
      </c>
      <c r="AG104" s="2">
        <v>41.962442265036898</v>
      </c>
      <c r="AH104" s="2">
        <v>160</v>
      </c>
      <c r="AI104" s="2">
        <v>277.12812921102</v>
      </c>
      <c r="AJ104" s="2">
        <v>0</v>
      </c>
      <c r="AK104" s="2">
        <v>0</v>
      </c>
      <c r="AL104" s="2">
        <v>411.85185185185099</v>
      </c>
      <c r="AM104" s="2">
        <v>336.175537137292</v>
      </c>
      <c r="AN104"/>
      <c r="AO104"/>
    </row>
    <row r="105" spans="1:41" s="8" customFormat="1" ht="15.75" customHeight="1" x14ac:dyDescent="0.45">
      <c r="A105" s="7" t="s">
        <v>107</v>
      </c>
      <c r="B105" s="7" t="s">
        <v>108</v>
      </c>
      <c r="C105" s="7">
        <v>10</v>
      </c>
      <c r="D105" s="7"/>
      <c r="E105" s="7" t="s">
        <v>85</v>
      </c>
      <c r="F105" s="7" t="s">
        <v>84</v>
      </c>
      <c r="G105" s="7" t="s">
        <v>111</v>
      </c>
      <c r="H105" s="7">
        <v>10.5</v>
      </c>
      <c r="I105" s="7">
        <v>3539</v>
      </c>
      <c r="J105" s="7">
        <v>10.5</v>
      </c>
      <c r="K105" s="7">
        <v>0</v>
      </c>
      <c r="L105" s="7"/>
      <c r="M105" s="7">
        <v>0</v>
      </c>
      <c r="N105" s="7">
        <v>150.277777777777</v>
      </c>
      <c r="O105" s="7">
        <v>12.8369403300411</v>
      </c>
      <c r="P105" s="7">
        <v>1.1111111111111101</v>
      </c>
      <c r="Q105" s="7">
        <v>0.25458753860865801</v>
      </c>
      <c r="R105" s="7">
        <v>1.05555555555555</v>
      </c>
      <c r="S105" s="7">
        <v>1.0844011831079501</v>
      </c>
      <c r="T105" s="7">
        <v>5.1666666666666599</v>
      </c>
      <c r="U105" s="7">
        <v>1.64147630029935</v>
      </c>
      <c r="V105" s="7">
        <v>0</v>
      </c>
      <c r="W105" s="7">
        <v>0</v>
      </c>
      <c r="X105" s="7">
        <v>2</v>
      </c>
      <c r="Y105" s="7">
        <v>0.76376261582597305</v>
      </c>
      <c r="Z105" s="7">
        <v>57.808409467329099</v>
      </c>
      <c r="AA105" s="7">
        <v>4.9380761006729701</v>
      </c>
      <c r="AB105" s="7">
        <v>0</v>
      </c>
      <c r="AC105" s="7">
        <v>0</v>
      </c>
      <c r="AD105" s="7">
        <v>140.90909090909</v>
      </c>
      <c r="AE105" s="7">
        <v>44.767535462709603</v>
      </c>
      <c r="AF105" s="7">
        <v>126.98412698412599</v>
      </c>
      <c r="AG105" s="7">
        <v>29.095718698132298</v>
      </c>
      <c r="AH105" s="7">
        <v>1266.6666666666599</v>
      </c>
      <c r="AI105" s="7">
        <v>1301.2814197295399</v>
      </c>
      <c r="AJ105" s="7">
        <v>0</v>
      </c>
      <c r="AK105" s="7">
        <v>0</v>
      </c>
      <c r="AL105" s="7">
        <v>533.33333333333303</v>
      </c>
      <c r="AM105" s="7">
        <v>203.67003088692601</v>
      </c>
    </row>
    <row r="106" spans="1:41" ht="15.75" customHeight="1" x14ac:dyDescent="0.45">
      <c r="A106" s="2" t="s">
        <v>107</v>
      </c>
      <c r="B106" s="2" t="s">
        <v>108</v>
      </c>
      <c r="C106" s="2">
        <v>3.0000000000000001E-3</v>
      </c>
      <c r="D106" s="2"/>
      <c r="E106" s="2" t="s">
        <v>85</v>
      </c>
      <c r="F106" s="2" t="s">
        <v>84</v>
      </c>
      <c r="G106" s="2" t="s">
        <v>86</v>
      </c>
      <c r="H106" s="2">
        <v>10.5</v>
      </c>
      <c r="I106" s="2">
        <v>3539</v>
      </c>
      <c r="J106" s="2">
        <v>10.5</v>
      </c>
      <c r="K106" s="2">
        <v>4.7222222222222197</v>
      </c>
      <c r="L106" s="2"/>
      <c r="M106" s="2">
        <v>0.50917507721730104</v>
      </c>
      <c r="N106" s="2">
        <v>411.33333333333297</v>
      </c>
      <c r="O106" s="2">
        <v>47.938618160217601</v>
      </c>
      <c r="P106" s="2">
        <v>0.72222222222222199</v>
      </c>
      <c r="Q106" s="2">
        <v>9.6225044864937201E-2</v>
      </c>
      <c r="R106" s="2">
        <v>0.55555555555555503</v>
      </c>
      <c r="S106" s="2">
        <v>0.19245008972987501</v>
      </c>
      <c r="T106" s="2">
        <v>4.3333333333333304</v>
      </c>
      <c r="U106" s="2">
        <v>1.0929064207170001</v>
      </c>
      <c r="V106" s="2">
        <v>0</v>
      </c>
      <c r="W106" s="2">
        <v>0</v>
      </c>
      <c r="X106" s="2">
        <v>0.44444444444444398</v>
      </c>
      <c r="Y106" s="2">
        <v>9.6225044864937506E-2</v>
      </c>
      <c r="Z106" s="7">
        <v>114.10078594544601</v>
      </c>
      <c r="AA106" s="2">
        <v>13.2978136366761</v>
      </c>
      <c r="AB106" s="7">
        <v>81.534772182254102</v>
      </c>
      <c r="AC106" s="2">
        <v>8.7915121246152808</v>
      </c>
      <c r="AD106" s="2">
        <v>107.21649484536</v>
      </c>
      <c r="AE106" s="2">
        <v>27.0409836053691</v>
      </c>
      <c r="AF106" s="2">
        <v>72.2222222222222</v>
      </c>
      <c r="AG106" s="2">
        <v>9.6225044864937193</v>
      </c>
      <c r="AH106" s="2">
        <v>43.010752688171998</v>
      </c>
      <c r="AI106" s="2">
        <v>14.8993617855387</v>
      </c>
      <c r="AJ106"/>
      <c r="AK106"/>
      <c r="AL106" s="2">
        <v>76.190476190476105</v>
      </c>
      <c r="AM106" s="2">
        <v>16.495721976846401</v>
      </c>
      <c r="AN106"/>
      <c r="AO106"/>
    </row>
    <row r="107" spans="1:41" ht="15.75" customHeight="1" x14ac:dyDescent="0.45">
      <c r="A107" s="2" t="s">
        <v>107</v>
      </c>
      <c r="B107" s="2" t="s">
        <v>108</v>
      </c>
      <c r="C107" s="2">
        <v>0.01</v>
      </c>
      <c r="D107" s="2"/>
      <c r="E107" s="2" t="s">
        <v>85</v>
      </c>
      <c r="F107" s="2" t="s">
        <v>84</v>
      </c>
      <c r="G107" s="2" t="s">
        <v>86</v>
      </c>
      <c r="H107" s="2">
        <v>10.5</v>
      </c>
      <c r="I107" s="2">
        <v>3539</v>
      </c>
      <c r="J107" s="2">
        <v>10.5</v>
      </c>
      <c r="K107" s="2">
        <v>4.05555555555555</v>
      </c>
      <c r="L107" s="2"/>
      <c r="M107" s="2">
        <v>0.41943524640392299</v>
      </c>
      <c r="N107" s="2">
        <v>416</v>
      </c>
      <c r="O107" s="2">
        <v>17.083943078549598</v>
      </c>
      <c r="P107" s="2">
        <v>0.88888888888888895</v>
      </c>
      <c r="Q107" s="2">
        <v>0.34694433324435497</v>
      </c>
      <c r="R107" s="2">
        <v>0.66666666666666596</v>
      </c>
      <c r="S107" s="2">
        <v>0.28867513459481298</v>
      </c>
      <c r="T107" s="2">
        <v>5.1111111111111098</v>
      </c>
      <c r="U107" s="2">
        <v>1.98839224090814</v>
      </c>
      <c r="V107" s="2">
        <v>0</v>
      </c>
      <c r="W107" s="2">
        <v>0</v>
      </c>
      <c r="X107" s="2">
        <v>1</v>
      </c>
      <c r="Y107" s="2">
        <v>0.28867513459481298</v>
      </c>
      <c r="Z107" s="7">
        <v>115.395284327323</v>
      </c>
      <c r="AA107" s="2">
        <v>4.7389578581274998</v>
      </c>
      <c r="AB107" s="7">
        <v>70.023980815347699</v>
      </c>
      <c r="AC107" s="2">
        <v>7.2420474199238596</v>
      </c>
      <c r="AD107" s="2">
        <v>126.46048109965599</v>
      </c>
      <c r="AE107" s="2">
        <v>49.197333795665301</v>
      </c>
      <c r="AF107" s="2">
        <v>88.8888888888889</v>
      </c>
      <c r="AG107" s="2">
        <v>34.694433324435501</v>
      </c>
      <c r="AH107" s="2">
        <v>51.612903225806399</v>
      </c>
      <c r="AI107" s="2">
        <v>22.349042678308098</v>
      </c>
      <c r="AJ107"/>
      <c r="AK107"/>
      <c r="AL107" s="2">
        <v>171.42857142857099</v>
      </c>
      <c r="AM107" s="2">
        <v>49.487165930539398</v>
      </c>
      <c r="AN107"/>
      <c r="AO107"/>
    </row>
    <row r="108" spans="1:41" ht="15.75" customHeight="1" x14ac:dyDescent="0.45">
      <c r="A108" s="2" t="s">
        <v>107</v>
      </c>
      <c r="B108" s="2" t="s">
        <v>108</v>
      </c>
      <c r="C108" s="2">
        <v>0.03</v>
      </c>
      <c r="D108" s="2"/>
      <c r="E108" s="2" t="s">
        <v>85</v>
      </c>
      <c r="F108" s="2" t="s">
        <v>84</v>
      </c>
      <c r="G108" s="2" t="s">
        <v>86</v>
      </c>
      <c r="H108" s="2">
        <v>10.5</v>
      </c>
      <c r="I108" s="2">
        <v>3539</v>
      </c>
      <c r="J108" s="2">
        <v>10.5</v>
      </c>
      <c r="K108" s="2">
        <v>4.55555555555555</v>
      </c>
      <c r="L108" s="2"/>
      <c r="M108" s="2">
        <v>2.98297639081306</v>
      </c>
      <c r="N108" s="2">
        <v>315.47777777777702</v>
      </c>
      <c r="O108" s="2">
        <v>6.9678893132350996</v>
      </c>
      <c r="P108" s="2">
        <v>1.25555555555555</v>
      </c>
      <c r="Q108" s="2">
        <v>0.65517879945802504</v>
      </c>
      <c r="R108" s="2">
        <v>2</v>
      </c>
      <c r="S108" s="2">
        <v>2.60341655863555</v>
      </c>
      <c r="T108" s="2">
        <v>3.5888888888888801</v>
      </c>
      <c r="U108" s="2">
        <v>1.8367644660390401</v>
      </c>
      <c r="V108" s="2">
        <v>0</v>
      </c>
      <c r="W108" s="2">
        <v>0</v>
      </c>
      <c r="X108" s="2">
        <v>0.54444444444444395</v>
      </c>
      <c r="Y108" s="2">
        <v>0.236486629486585</v>
      </c>
      <c r="Z108" s="7">
        <v>87.511172753891202</v>
      </c>
      <c r="AA108" s="2">
        <v>1.9328403088030801</v>
      </c>
      <c r="AB108" s="7">
        <v>78.657074340527501</v>
      </c>
      <c r="AC108" s="2">
        <v>51.504628330585199</v>
      </c>
      <c r="AD108" s="2">
        <v>88.797250859106498</v>
      </c>
      <c r="AE108" s="2">
        <v>45.445718747357802</v>
      </c>
      <c r="AF108" s="2">
        <v>125.555555555555</v>
      </c>
      <c r="AG108" s="2">
        <v>65.517879945802505</v>
      </c>
      <c r="AH108" s="2">
        <v>154.83870967741899</v>
      </c>
      <c r="AI108" s="2">
        <v>201.55483034597799</v>
      </c>
      <c r="AJ108"/>
      <c r="AK108"/>
      <c r="AL108" s="2">
        <v>93.3333333333333</v>
      </c>
      <c r="AM108" s="2">
        <v>40.540565054843299</v>
      </c>
      <c r="AN108"/>
      <c r="AO108"/>
    </row>
    <row r="109" spans="1:41" ht="15.75" customHeight="1" x14ac:dyDescent="0.45">
      <c r="A109" s="2" t="s">
        <v>107</v>
      </c>
      <c r="B109" s="2" t="s">
        <v>108</v>
      </c>
      <c r="C109" s="2">
        <v>0.1</v>
      </c>
      <c r="D109" s="2"/>
      <c r="E109" s="2" t="s">
        <v>85</v>
      </c>
      <c r="F109" s="2" t="s">
        <v>84</v>
      </c>
      <c r="G109" s="2" t="s">
        <v>86</v>
      </c>
      <c r="H109" s="2">
        <v>10.5</v>
      </c>
      <c r="I109" s="2">
        <v>3539</v>
      </c>
      <c r="J109" s="2">
        <v>10.5</v>
      </c>
      <c r="K109" s="2">
        <v>1</v>
      </c>
      <c r="L109" s="2"/>
      <c r="M109" s="2">
        <v>0.72648315725677903</v>
      </c>
      <c r="N109" s="2">
        <v>316.944444444444</v>
      </c>
      <c r="O109" s="2">
        <v>37.096470831443597</v>
      </c>
      <c r="P109" s="2">
        <v>1.2222222222222201</v>
      </c>
      <c r="Q109" s="2">
        <v>0.53575837561071904</v>
      </c>
      <c r="R109" s="2">
        <v>0.16666666666666599</v>
      </c>
      <c r="S109" s="2">
        <v>0.16666666666666599</v>
      </c>
      <c r="T109" s="2">
        <v>5.2222222222222197</v>
      </c>
      <c r="U109" s="2">
        <v>0.69388866648870995</v>
      </c>
      <c r="V109" s="2">
        <v>0.11111111111111099</v>
      </c>
      <c r="W109" s="2">
        <v>0.19245008972987501</v>
      </c>
      <c r="X109" s="2">
        <v>1.1111111111111101</v>
      </c>
      <c r="Y109" s="2">
        <v>9.6225044864937798E-2</v>
      </c>
      <c r="Z109" s="7">
        <v>87.918015102481107</v>
      </c>
      <c r="AA109" s="2">
        <v>10.290283170996799</v>
      </c>
      <c r="AB109" s="7">
        <v>17.266187050359701</v>
      </c>
      <c r="AC109" s="2">
        <v>12.543594082131399</v>
      </c>
      <c r="AD109" s="2">
        <v>129.209621993127</v>
      </c>
      <c r="AE109" s="2">
        <v>17.1683793770402</v>
      </c>
      <c r="AF109" s="2">
        <v>122.222222222222</v>
      </c>
      <c r="AG109" s="2">
        <v>53.5758375610719</v>
      </c>
      <c r="AH109" s="2">
        <v>12.9032258064516</v>
      </c>
      <c r="AI109" s="2">
        <v>12.9032258064516</v>
      </c>
      <c r="AJ109"/>
      <c r="AK109"/>
      <c r="AL109" s="2">
        <v>190.47619047619</v>
      </c>
      <c r="AM109" s="2">
        <v>16.495721976846401</v>
      </c>
      <c r="AN109"/>
      <c r="AO109"/>
    </row>
    <row r="110" spans="1:41" ht="15.75" customHeight="1" x14ac:dyDescent="0.45">
      <c r="A110" s="2" t="s">
        <v>107</v>
      </c>
      <c r="B110" s="2" t="s">
        <v>108</v>
      </c>
      <c r="C110" s="2">
        <v>0.3</v>
      </c>
      <c r="D110" s="2"/>
      <c r="E110" s="2" t="s">
        <v>85</v>
      </c>
      <c r="F110" s="2" t="s">
        <v>84</v>
      </c>
      <c r="G110" s="2" t="s">
        <v>86</v>
      </c>
      <c r="H110" s="2">
        <v>10.5</v>
      </c>
      <c r="I110" s="2">
        <v>3539</v>
      </c>
      <c r="J110" s="2">
        <v>10.5</v>
      </c>
      <c r="K110" s="2">
        <v>0.92222222222222205</v>
      </c>
      <c r="L110" s="2"/>
      <c r="M110" s="2">
        <v>1.4553859103853299</v>
      </c>
      <c r="N110" s="2">
        <v>281.98888888888803</v>
      </c>
      <c r="O110" s="2">
        <v>34.789690895329599</v>
      </c>
      <c r="P110" s="2">
        <v>1.3</v>
      </c>
      <c r="Q110" s="2">
        <v>0.42557151116012298</v>
      </c>
      <c r="R110" s="2">
        <v>1.8333333333333299</v>
      </c>
      <c r="S110" s="2">
        <v>2.7537852736430501</v>
      </c>
      <c r="T110" s="2">
        <v>4.98888888888888</v>
      </c>
      <c r="U110" s="2">
        <v>3.4254494163107498</v>
      </c>
      <c r="V110" s="2">
        <v>0</v>
      </c>
      <c r="W110" s="2">
        <v>0</v>
      </c>
      <c r="X110" s="2">
        <v>0.77777777777777701</v>
      </c>
      <c r="Y110" s="2">
        <v>0.19245008972987501</v>
      </c>
      <c r="Z110" s="7">
        <v>78.221605794421293</v>
      </c>
      <c r="AA110" s="2">
        <v>9.6503996935726999</v>
      </c>
      <c r="AB110" s="7">
        <v>15.9232613908872</v>
      </c>
      <c r="AC110" s="2">
        <v>25.1289653591712</v>
      </c>
      <c r="AD110" s="2">
        <v>123.43642611683801</v>
      </c>
      <c r="AE110" s="2">
        <v>84.753387620059897</v>
      </c>
      <c r="AF110" s="2">
        <v>130</v>
      </c>
      <c r="AG110" s="2">
        <v>42.557151116012299</v>
      </c>
      <c r="AH110" s="2">
        <v>141.935483870967</v>
      </c>
      <c r="AI110" s="2">
        <v>213.196279249784</v>
      </c>
      <c r="AJ110"/>
      <c r="AK110"/>
      <c r="AL110" s="2">
        <v>133.333333333333</v>
      </c>
      <c r="AM110" s="2">
        <v>32.991443953692901</v>
      </c>
      <c r="AN110"/>
      <c r="AO110"/>
    </row>
    <row r="111" spans="1:41" ht="15.75" customHeight="1" x14ac:dyDescent="0.45">
      <c r="A111" s="2" t="s">
        <v>107</v>
      </c>
      <c r="B111" s="2" t="s">
        <v>108</v>
      </c>
      <c r="C111" s="2">
        <v>1</v>
      </c>
      <c r="D111" s="2"/>
      <c r="E111" s="2" t="s">
        <v>85</v>
      </c>
      <c r="F111" s="2" t="s">
        <v>84</v>
      </c>
      <c r="G111" s="2" t="s">
        <v>86</v>
      </c>
      <c r="H111" s="2">
        <v>10.5</v>
      </c>
      <c r="I111" s="2">
        <v>3539</v>
      </c>
      <c r="J111" s="2">
        <v>10.5</v>
      </c>
      <c r="K111" s="2">
        <v>0</v>
      </c>
      <c r="L111" s="2"/>
      <c r="M111" s="2">
        <v>0</v>
      </c>
      <c r="N111" s="2">
        <v>251.944444444444</v>
      </c>
      <c r="O111" s="2">
        <v>54.850638944250797</v>
      </c>
      <c r="P111" s="2">
        <v>1.38888888888888</v>
      </c>
      <c r="Q111" s="2">
        <v>9.6225044864931997E-2</v>
      </c>
      <c r="R111" s="2">
        <v>5.5555555555555497E-2</v>
      </c>
      <c r="S111" s="2">
        <v>9.6225044864937603E-2</v>
      </c>
      <c r="T111" s="2">
        <v>4.1111111111111098</v>
      </c>
      <c r="U111" s="2">
        <v>1.0715167512214401</v>
      </c>
      <c r="V111" s="2">
        <v>0</v>
      </c>
      <c r="W111" s="2">
        <v>0</v>
      </c>
      <c r="X111" s="2">
        <v>0.94444444444444398</v>
      </c>
      <c r="Y111" s="2">
        <v>9.6225044864938894E-2</v>
      </c>
      <c r="Z111" s="7">
        <v>69.887501926336796</v>
      </c>
      <c r="AA111" s="2">
        <v>15.2151564339114</v>
      </c>
      <c r="AB111" s="7">
        <v>0</v>
      </c>
      <c r="AC111" s="2">
        <v>0</v>
      </c>
      <c r="AD111" s="2">
        <v>101.718213058419</v>
      </c>
      <c r="AE111" s="2">
        <v>26.511754669396399</v>
      </c>
      <c r="AF111" s="2">
        <v>138.888888888888</v>
      </c>
      <c r="AG111" s="2">
        <v>9.6225044864932006</v>
      </c>
      <c r="AH111" s="2">
        <v>4.3010752688171996</v>
      </c>
      <c r="AI111" s="2">
        <v>7.4496808927693596</v>
      </c>
      <c r="AJ111"/>
      <c r="AK111"/>
      <c r="AL111" s="2">
        <v>161.90476190476099</v>
      </c>
      <c r="AM111" s="2">
        <v>16.4957219768466</v>
      </c>
      <c r="AN111"/>
      <c r="AO111"/>
    </row>
    <row r="112" spans="1:41" ht="15.75" customHeight="1" x14ac:dyDescent="0.45">
      <c r="A112" s="2" t="s">
        <v>107</v>
      </c>
      <c r="B112" s="2" t="s">
        <v>108</v>
      </c>
      <c r="C112" s="2">
        <v>3</v>
      </c>
      <c r="D112" s="2"/>
      <c r="E112" s="2" t="s">
        <v>85</v>
      </c>
      <c r="F112" s="2" t="s">
        <v>84</v>
      </c>
      <c r="G112" s="2" t="s">
        <v>86</v>
      </c>
      <c r="H112" s="2">
        <v>10.5</v>
      </c>
      <c r="I112" s="2">
        <v>3539</v>
      </c>
      <c r="J112" s="2">
        <v>10.5</v>
      </c>
      <c r="K112" s="2">
        <v>0.22222222222222199</v>
      </c>
      <c r="L112" s="2"/>
      <c r="M112" s="2">
        <v>0.38490017945975002</v>
      </c>
      <c r="N112" s="2">
        <v>225.888888888888</v>
      </c>
      <c r="O112" s="2">
        <v>49.5357147625529</v>
      </c>
      <c r="P112" s="2">
        <v>0.83333333333333304</v>
      </c>
      <c r="Q112" s="2">
        <v>0.28867513459481298</v>
      </c>
      <c r="R112" s="2">
        <v>5.5555555555555497E-2</v>
      </c>
      <c r="S112" s="2">
        <v>9.6225044864937603E-2</v>
      </c>
      <c r="T112" s="2">
        <v>3.38888888888888</v>
      </c>
      <c r="U112" s="2">
        <v>1.7821127702606001</v>
      </c>
      <c r="V112" s="2">
        <v>0</v>
      </c>
      <c r="W112" s="2">
        <v>0</v>
      </c>
      <c r="X112" s="2">
        <v>0.77777777777777701</v>
      </c>
      <c r="Y112" s="2">
        <v>0.38490017945975002</v>
      </c>
      <c r="Z112" s="7">
        <v>62.659885960856798</v>
      </c>
      <c r="AA112" s="2">
        <v>13.7408362725528</v>
      </c>
      <c r="AB112" s="7">
        <v>3.83693045563549</v>
      </c>
      <c r="AC112" s="2">
        <v>6.6457584942690699</v>
      </c>
      <c r="AD112" s="2">
        <v>83.848797250859107</v>
      </c>
      <c r="AE112" s="2">
        <v>44.093511841499499</v>
      </c>
      <c r="AF112" s="2">
        <v>83.3333333333333</v>
      </c>
      <c r="AG112" s="2">
        <v>28.867513459481302</v>
      </c>
      <c r="AH112" s="2">
        <v>4.3010752688171996</v>
      </c>
      <c r="AI112" s="2">
        <v>7.4496808927693596</v>
      </c>
      <c r="AJ112"/>
      <c r="AK112"/>
      <c r="AL112" s="2">
        <v>133.333333333333</v>
      </c>
      <c r="AM112" s="2">
        <v>65.982887907385702</v>
      </c>
      <c r="AN112"/>
      <c r="AO112"/>
    </row>
    <row r="113" spans="1:41" s="8" customFormat="1" ht="15.75" customHeight="1" x14ac:dyDescent="0.45">
      <c r="A113" s="7" t="s">
        <v>107</v>
      </c>
      <c r="B113" s="7" t="s">
        <v>108</v>
      </c>
      <c r="C113" s="7">
        <v>10</v>
      </c>
      <c r="D113" s="7"/>
      <c r="E113" s="7" t="s">
        <v>85</v>
      </c>
      <c r="F113" s="7" t="s">
        <v>84</v>
      </c>
      <c r="G113" s="7" t="s">
        <v>86</v>
      </c>
      <c r="H113" s="7">
        <v>10.5</v>
      </c>
      <c r="I113" s="7">
        <v>3539</v>
      </c>
      <c r="J113" s="7">
        <v>10.5</v>
      </c>
      <c r="K113" s="7">
        <v>0</v>
      </c>
      <c r="L113" s="7"/>
      <c r="M113" s="7">
        <v>0</v>
      </c>
      <c r="N113" s="7">
        <v>208.388888888888</v>
      </c>
      <c r="O113" s="7">
        <v>48.666191017462403</v>
      </c>
      <c r="P113" s="7">
        <v>1.55555555555555</v>
      </c>
      <c r="Q113" s="7">
        <v>0.41943524640392998</v>
      </c>
      <c r="R113" s="7">
        <v>1</v>
      </c>
      <c r="S113" s="7">
        <v>0.83333333333333304</v>
      </c>
      <c r="T113" s="7">
        <v>5.6111111111111098</v>
      </c>
      <c r="U113" s="7">
        <v>1.29457557752566</v>
      </c>
      <c r="V113" s="7">
        <v>5.5555555555555497E-2</v>
      </c>
      <c r="W113" s="7">
        <v>9.6225044864937603E-2</v>
      </c>
      <c r="X113" s="7">
        <v>0.88888888888888895</v>
      </c>
      <c r="Y113" s="7">
        <v>0.38490017945975002</v>
      </c>
      <c r="Z113" s="7">
        <v>57.805517028818002</v>
      </c>
      <c r="AA113" s="7">
        <v>13.4996368980478</v>
      </c>
      <c r="AB113" s="7">
        <v>0</v>
      </c>
      <c r="AC113" s="7">
        <v>0</v>
      </c>
      <c r="AD113" s="7">
        <v>138.83161512027399</v>
      </c>
      <c r="AE113" s="7">
        <v>32.030735938779401</v>
      </c>
      <c r="AF113" s="7">
        <v>155.555555555555</v>
      </c>
      <c r="AG113" s="7">
        <v>41.943524640393001</v>
      </c>
      <c r="AH113" s="7">
        <v>77.419354838709594</v>
      </c>
      <c r="AI113" s="7">
        <v>64.516129032257993</v>
      </c>
      <c r="AL113" s="7">
        <v>152.38095238095201</v>
      </c>
      <c r="AM113" s="7">
        <v>65.982887907385802</v>
      </c>
    </row>
    <row r="114" spans="1:41" ht="15.75" hidden="1" customHeight="1" x14ac:dyDescent="0.45">
      <c r="A114" s="2" t="s">
        <v>112</v>
      </c>
      <c r="B114" s="2" t="s">
        <v>113</v>
      </c>
      <c r="C114" s="2">
        <v>3.0000000000000001E-3</v>
      </c>
      <c r="D114" s="2"/>
      <c r="E114" s="2" t="s">
        <v>83</v>
      </c>
      <c r="F114" s="2" t="s">
        <v>84</v>
      </c>
      <c r="H114" s="2">
        <v>10.8</v>
      </c>
      <c r="J114" s="2">
        <v>10.780298999999999</v>
      </c>
      <c r="K114" s="2">
        <v>39.066380479444398</v>
      </c>
      <c r="L114" s="2"/>
      <c r="M114" s="2">
        <v>3.3631182657595602</v>
      </c>
      <c r="N114" s="2">
        <v>265.444444444444</v>
      </c>
      <c r="O114" s="2">
        <v>12.494813738922399</v>
      </c>
      <c r="P114" s="2">
        <v>36.556523901666601</v>
      </c>
      <c r="Q114" s="2">
        <v>2.46584570232671</v>
      </c>
      <c r="R114" s="2">
        <v>3.4957955815555501</v>
      </c>
      <c r="S114" s="2">
        <v>0.31534912820707001</v>
      </c>
      <c r="T114" s="2">
        <v>2.8622180311111101</v>
      </c>
      <c r="U114" s="2">
        <v>1.14903478590452</v>
      </c>
      <c r="V114" s="2">
        <v>0.40902813100000002</v>
      </c>
      <c r="W114" s="2">
        <v>9.1372437260132E-2</v>
      </c>
      <c r="X114" s="2">
        <v>3.33068732811111</v>
      </c>
      <c r="Y114" s="2">
        <v>0.63527966872435404</v>
      </c>
      <c r="Z114" s="7">
        <v>95.179282868525902</v>
      </c>
      <c r="AA114" s="2">
        <v>4.4802120976215898</v>
      </c>
      <c r="AB114" s="7">
        <v>97.861141436026799</v>
      </c>
      <c r="AC114" s="2">
        <v>8.42459906017538</v>
      </c>
      <c r="AD114" s="2">
        <v>64.647667829582005</v>
      </c>
      <c r="AE114" s="2">
        <v>25.9527465610139</v>
      </c>
      <c r="AF114" s="2">
        <v>108.104428256472</v>
      </c>
      <c r="AG114" s="2">
        <v>7.2919635503570799</v>
      </c>
      <c r="AH114" s="2">
        <v>93.587933151295104</v>
      </c>
      <c r="AI114" s="2">
        <v>8.4423909926763798</v>
      </c>
      <c r="AJ114" s="2">
        <v>86.971985113737801</v>
      </c>
      <c r="AK114" s="2">
        <v>19.428595861525501</v>
      </c>
      <c r="AL114" s="2">
        <v>98.922836482605703</v>
      </c>
      <c r="AM114" s="2">
        <v>18.8680775464993</v>
      </c>
      <c r="AN114"/>
      <c r="AO114"/>
    </row>
    <row r="115" spans="1:41" ht="15.75" hidden="1" customHeight="1" x14ac:dyDescent="0.45">
      <c r="A115" s="2" t="s">
        <v>112</v>
      </c>
      <c r="B115" s="2" t="s">
        <v>113</v>
      </c>
      <c r="C115" s="2">
        <v>0.01</v>
      </c>
      <c r="D115" s="2"/>
      <c r="E115" s="2" t="s">
        <v>83</v>
      </c>
      <c r="F115" s="2" t="s">
        <v>84</v>
      </c>
      <c r="H115" s="2">
        <v>10.8</v>
      </c>
      <c r="J115" s="2">
        <v>10.780298999999999</v>
      </c>
      <c r="K115" s="2">
        <v>38.343189310555502</v>
      </c>
      <c r="L115" s="2"/>
      <c r="M115" s="2">
        <v>2.7809208292188798</v>
      </c>
      <c r="N115" s="2">
        <v>293.83333333333297</v>
      </c>
      <c r="O115" s="2">
        <v>28.3142092321938</v>
      </c>
      <c r="P115" s="2">
        <v>35.094809800555502</v>
      </c>
      <c r="Q115" s="2">
        <v>1.4249382524776599</v>
      </c>
      <c r="R115" s="2">
        <v>4.0008758454444404</v>
      </c>
      <c r="S115" s="2">
        <v>0.85563684065904499</v>
      </c>
      <c r="T115" s="2">
        <v>5.0893637038333299</v>
      </c>
      <c r="U115" s="2">
        <v>0.34508386555765702</v>
      </c>
      <c r="V115" s="2">
        <v>0.30151279216666599</v>
      </c>
      <c r="W115" s="2">
        <v>0.113358474736793</v>
      </c>
      <c r="X115" s="2">
        <v>3.43902407405555</v>
      </c>
      <c r="Y115" s="2">
        <v>0.25229090950641098</v>
      </c>
      <c r="Z115" s="7">
        <v>105.35856573705099</v>
      </c>
      <c r="AA115" s="2">
        <v>10.152505302380201</v>
      </c>
      <c r="AB115" s="7">
        <v>96.049550180441699</v>
      </c>
      <c r="AC115" s="2">
        <v>6.9661965928421701</v>
      </c>
      <c r="AD115" s="2">
        <v>114.951233837914</v>
      </c>
      <c r="AE115" s="2">
        <v>7.7942584636919996</v>
      </c>
      <c r="AF115" s="2">
        <v>103.781868277846</v>
      </c>
      <c r="AG115" s="2">
        <v>4.2138069664181801</v>
      </c>
      <c r="AH115" s="2">
        <v>107.109724363079</v>
      </c>
      <c r="AI115" s="2">
        <v>22.906740848316801</v>
      </c>
      <c r="AJ115" s="2">
        <v>64.1109109239258</v>
      </c>
      <c r="AK115" s="2">
        <v>24.103504942853</v>
      </c>
      <c r="AL115" s="2">
        <v>102.140484117575</v>
      </c>
      <c r="AM115" s="2">
        <v>7.4931477885990398</v>
      </c>
      <c r="AN115"/>
      <c r="AO115"/>
    </row>
    <row r="116" spans="1:41" ht="15.75" hidden="1" customHeight="1" x14ac:dyDescent="0.45">
      <c r="A116" s="2" t="s">
        <v>112</v>
      </c>
      <c r="B116" s="2" t="s">
        <v>113</v>
      </c>
      <c r="C116" s="2">
        <v>0.03</v>
      </c>
      <c r="D116" s="2"/>
      <c r="E116" s="2" t="s">
        <v>83</v>
      </c>
      <c r="F116" s="2" t="s">
        <v>84</v>
      </c>
      <c r="H116" s="2">
        <v>10.8</v>
      </c>
      <c r="J116" s="2">
        <v>10.780298999999999</v>
      </c>
      <c r="K116" s="2">
        <v>38.0656582661111</v>
      </c>
      <c r="L116" s="2"/>
      <c r="M116" s="2">
        <v>8.6015717557960496</v>
      </c>
      <c r="N116" s="2">
        <v>291.666666666666</v>
      </c>
      <c r="O116" s="2">
        <v>54.857390872455099</v>
      </c>
      <c r="P116" s="2">
        <v>32.883504188333298</v>
      </c>
      <c r="Q116" s="2">
        <v>4.8307880673922803</v>
      </c>
      <c r="R116" s="2">
        <v>4.1696372400000001</v>
      </c>
      <c r="S116" s="2">
        <v>0.47110696094959897</v>
      </c>
      <c r="T116" s="2">
        <v>3.93919475261111</v>
      </c>
      <c r="U116" s="2">
        <v>1.5576930857265401</v>
      </c>
      <c r="V116" s="2">
        <v>0.196602991611111</v>
      </c>
      <c r="W116" s="2">
        <v>8.0990369348622193E-2</v>
      </c>
      <c r="X116" s="2">
        <v>3.34917225233333</v>
      </c>
      <c r="Y116" s="2">
        <v>0.34526175160431699</v>
      </c>
      <c r="Z116" s="7">
        <v>104.581673306772</v>
      </c>
      <c r="AA116" s="2">
        <v>19.6699807909201</v>
      </c>
      <c r="AB116" s="7">
        <v>95.354335920509001</v>
      </c>
      <c r="AC116" s="2">
        <v>21.546906056705101</v>
      </c>
      <c r="AD116" s="2">
        <v>88.972870380519893</v>
      </c>
      <c r="AE116" s="2">
        <v>35.182932988299903</v>
      </c>
      <c r="AF116" s="2">
        <v>97.242627031806904</v>
      </c>
      <c r="AG116" s="2">
        <v>14.285537198733</v>
      </c>
      <c r="AH116" s="2">
        <v>111.62773170753501</v>
      </c>
      <c r="AI116" s="2">
        <v>12.612272582838401</v>
      </c>
      <c r="AJ116" s="2">
        <v>41.8038544632957</v>
      </c>
      <c r="AK116" s="2">
        <v>17.2210482934839</v>
      </c>
      <c r="AL116" s="2">
        <v>99.471846628588196</v>
      </c>
      <c r="AM116" s="2">
        <v>10.2544215151595</v>
      </c>
      <c r="AN116"/>
      <c r="AO116"/>
    </row>
    <row r="117" spans="1:41" ht="15.75" hidden="1" customHeight="1" x14ac:dyDescent="0.45">
      <c r="A117" s="2" t="s">
        <v>112</v>
      </c>
      <c r="B117" s="2" t="s">
        <v>113</v>
      </c>
      <c r="C117" s="2">
        <v>0.1</v>
      </c>
      <c r="D117" s="2"/>
      <c r="E117" s="2" t="s">
        <v>83</v>
      </c>
      <c r="F117" s="2" t="s">
        <v>84</v>
      </c>
      <c r="H117" s="2">
        <v>10.8</v>
      </c>
      <c r="J117" s="2">
        <v>10.780298999999999</v>
      </c>
      <c r="K117" s="2">
        <v>40.688550583999998</v>
      </c>
      <c r="L117" s="2"/>
      <c r="M117" s="2">
        <v>1.59715010772757</v>
      </c>
      <c r="N117" s="2">
        <v>266.05555555555497</v>
      </c>
      <c r="O117" s="2">
        <v>9.9167833793314202</v>
      </c>
      <c r="P117" s="2">
        <v>35.846379639111099</v>
      </c>
      <c r="Q117" s="2">
        <v>1.7409797169410599</v>
      </c>
      <c r="R117" s="2">
        <v>7.9138201659999901</v>
      </c>
      <c r="S117" s="2">
        <v>6.0353164898819003</v>
      </c>
      <c r="T117" s="2">
        <v>2.8757159511555499</v>
      </c>
      <c r="U117" s="2">
        <v>1.25455915363425</v>
      </c>
      <c r="V117" s="2">
        <v>0.334016065955555</v>
      </c>
      <c r="W117" s="2">
        <v>0.16583415979831601</v>
      </c>
      <c r="X117" s="2">
        <v>3.4709207931666599</v>
      </c>
      <c r="Y117" s="2">
        <v>0.51461051546201997</v>
      </c>
      <c r="Z117" s="7">
        <v>95.398406374502002</v>
      </c>
      <c r="AA117" s="2">
        <v>3.5558187415929399</v>
      </c>
      <c r="AB117" s="7">
        <v>101.924671665522</v>
      </c>
      <c r="AC117" s="2">
        <v>4.0008552281707503</v>
      </c>
      <c r="AD117" s="2">
        <v>64.952539450799804</v>
      </c>
      <c r="AE117" s="2">
        <v>28.336179338938901</v>
      </c>
      <c r="AF117" s="2">
        <v>106.00439982680901</v>
      </c>
      <c r="AG117" s="2">
        <v>5.1484002530516602</v>
      </c>
      <c r="AH117" s="2">
        <v>211.86538382699399</v>
      </c>
      <c r="AI117" s="2">
        <v>161.57489276035901</v>
      </c>
      <c r="AJ117" s="2">
        <v>71.022108540587993</v>
      </c>
      <c r="AK117" s="2">
        <v>35.261452658688597</v>
      </c>
      <c r="AL117" s="2">
        <v>103.087830301148</v>
      </c>
      <c r="AM117" s="2">
        <v>15.284152145902199</v>
      </c>
      <c r="AN117"/>
      <c r="AO117"/>
    </row>
    <row r="118" spans="1:41" ht="15.75" hidden="1" customHeight="1" x14ac:dyDescent="0.45">
      <c r="A118" s="2" t="s">
        <v>112</v>
      </c>
      <c r="B118" s="2" t="s">
        <v>113</v>
      </c>
      <c r="C118" s="2">
        <v>0.3</v>
      </c>
      <c r="D118" s="2"/>
      <c r="E118" s="2" t="s">
        <v>83</v>
      </c>
      <c r="F118" s="2" t="s">
        <v>84</v>
      </c>
      <c r="H118" s="2">
        <v>10.8</v>
      </c>
      <c r="J118" s="2">
        <v>10.780298999999999</v>
      </c>
      <c r="K118" s="2">
        <v>40.253318467222201</v>
      </c>
      <c r="L118" s="2"/>
      <c r="M118" s="2">
        <v>4.2866593291314699</v>
      </c>
      <c r="N118" s="2">
        <v>275</v>
      </c>
      <c r="O118" s="2">
        <v>21.656407827707302</v>
      </c>
      <c r="P118" s="2">
        <v>37.786740486666602</v>
      </c>
      <c r="Q118" s="2">
        <v>2.0529773949732801</v>
      </c>
      <c r="R118" s="2">
        <v>16.138440478500002</v>
      </c>
      <c r="S118" s="2">
        <v>10.8051203267084</v>
      </c>
      <c r="T118" s="2">
        <v>4.7867360752222199</v>
      </c>
      <c r="U118" s="2">
        <v>1.29947876408397</v>
      </c>
      <c r="V118" s="2">
        <v>0.457635594222222</v>
      </c>
      <c r="W118" s="2">
        <v>0.20062118517473901</v>
      </c>
      <c r="X118" s="2">
        <v>3.69732569211111</v>
      </c>
      <c r="Y118" s="2">
        <v>0.61907260175295298</v>
      </c>
      <c r="Z118" s="7">
        <v>98.605577689243006</v>
      </c>
      <c r="AA118" s="2">
        <v>7.7652458346361097</v>
      </c>
      <c r="AB118" s="7">
        <v>100.83441679126</v>
      </c>
      <c r="AC118" s="2">
        <v>10.738066074918899</v>
      </c>
      <c r="AD118" s="2">
        <v>108.115915844019</v>
      </c>
      <c r="AE118" s="2">
        <v>29.350758949514599</v>
      </c>
      <c r="AF118" s="2">
        <v>111.742407100161</v>
      </c>
      <c r="AG118" s="2">
        <v>6.0710353124393199</v>
      </c>
      <c r="AH118" s="2">
        <v>432.05137526832499</v>
      </c>
      <c r="AI118" s="2">
        <v>289.27002601728702</v>
      </c>
      <c r="AJ118" s="2">
        <v>97.307429664811096</v>
      </c>
      <c r="AK118" s="2">
        <v>42.658246238124597</v>
      </c>
      <c r="AL118" s="2">
        <v>109.812152517801</v>
      </c>
      <c r="AM118" s="2">
        <v>18.386720733945001</v>
      </c>
      <c r="AN118"/>
      <c r="AO118"/>
    </row>
    <row r="119" spans="1:41" ht="15.75" hidden="1" customHeight="1" x14ac:dyDescent="0.45">
      <c r="A119" s="2" t="s">
        <v>112</v>
      </c>
      <c r="B119" s="2" t="s">
        <v>113</v>
      </c>
      <c r="C119" s="2">
        <v>1</v>
      </c>
      <c r="D119" s="2"/>
      <c r="E119" s="2" t="s">
        <v>83</v>
      </c>
      <c r="F119" s="2" t="s">
        <v>84</v>
      </c>
      <c r="H119" s="2">
        <v>10.8</v>
      </c>
      <c r="J119" s="2">
        <v>10.780298999999999</v>
      </c>
      <c r="K119" s="2">
        <v>38.774119855555497</v>
      </c>
      <c r="L119" s="2"/>
      <c r="M119" s="2">
        <v>3.5765250689663399</v>
      </c>
      <c r="N119" s="2">
        <v>265.666666666666</v>
      </c>
      <c r="O119" s="2">
        <v>18.4488783157976</v>
      </c>
      <c r="P119" s="2">
        <v>34.528340523888801</v>
      </c>
      <c r="Q119" s="2">
        <v>1.0291356524586901</v>
      </c>
      <c r="R119" s="2">
        <v>4.2524471527777701</v>
      </c>
      <c r="S119" s="2">
        <v>0.37423621800742601</v>
      </c>
      <c r="T119" s="2">
        <v>5.4756815653888804</v>
      </c>
      <c r="U119" s="2">
        <v>1.2939751035682601</v>
      </c>
      <c r="V119" s="2">
        <v>0.50154816038888805</v>
      </c>
      <c r="W119" s="2">
        <v>0.159257546185961</v>
      </c>
      <c r="X119" s="2">
        <v>3.99258779861111</v>
      </c>
      <c r="Y119" s="2">
        <v>0.97435194651758095</v>
      </c>
      <c r="Z119" s="7">
        <v>95.258964143426297</v>
      </c>
      <c r="AA119" s="2">
        <v>6.6151356510828299</v>
      </c>
      <c r="AB119" s="7">
        <v>97.129029632999107</v>
      </c>
      <c r="AC119" s="2">
        <v>8.9591823283391196</v>
      </c>
      <c r="AD119" s="2">
        <v>123.676826549236</v>
      </c>
      <c r="AE119" s="2">
        <v>29.226450174641901</v>
      </c>
      <c r="AF119" s="2">
        <v>102.106713456134</v>
      </c>
      <c r="AG119" s="2">
        <v>3.04334519350531</v>
      </c>
      <c r="AH119" s="2">
        <v>113.844683013899</v>
      </c>
      <c r="AI119" s="2">
        <v>10.0188907894001</v>
      </c>
      <c r="AJ119" s="2">
        <v>106.64459442562099</v>
      </c>
      <c r="AK119" s="2">
        <v>33.863061942152299</v>
      </c>
      <c r="AL119" s="2">
        <v>118.58156321399299</v>
      </c>
      <c r="AM119" s="2">
        <v>28.938669045385598</v>
      </c>
      <c r="AN119"/>
      <c r="AO119"/>
    </row>
    <row r="120" spans="1:41" ht="15.75" hidden="1" customHeight="1" x14ac:dyDescent="0.45">
      <c r="A120" s="2" t="s">
        <v>112</v>
      </c>
      <c r="B120" s="2" t="s">
        <v>113</v>
      </c>
      <c r="C120" s="2">
        <v>3</v>
      </c>
      <c r="D120" s="2"/>
      <c r="E120" s="2" t="s">
        <v>83</v>
      </c>
      <c r="F120" s="2" t="s">
        <v>84</v>
      </c>
      <c r="H120" s="2">
        <v>10.8</v>
      </c>
      <c r="J120" s="2">
        <v>10.780298999999999</v>
      </c>
      <c r="K120" s="2">
        <v>41.917309426111103</v>
      </c>
      <c r="L120" s="2"/>
      <c r="M120" s="2">
        <v>1.20856358578937</v>
      </c>
      <c r="N120" s="2">
        <v>278.944444444444</v>
      </c>
      <c r="O120" s="2">
        <v>30.625576336224398</v>
      </c>
      <c r="P120" s="2">
        <v>32.228078546666602</v>
      </c>
      <c r="Q120" s="2">
        <v>2.3983662898980902</v>
      </c>
      <c r="R120" s="2">
        <v>4.9103664179999997</v>
      </c>
      <c r="S120" s="2">
        <v>0.59352575073988201</v>
      </c>
      <c r="T120" s="2">
        <v>4.8186985053333302</v>
      </c>
      <c r="U120" s="2">
        <v>0.73461356714727</v>
      </c>
      <c r="V120" s="2">
        <v>0.48549753299999998</v>
      </c>
      <c r="W120" s="2">
        <v>6.5445728004583203E-2</v>
      </c>
      <c r="X120" s="2">
        <v>3.8823170468333301</v>
      </c>
      <c r="Y120" s="2">
        <v>0.29654309481392099</v>
      </c>
      <c r="Z120" s="7">
        <v>100.019920318725</v>
      </c>
      <c r="AA120" s="2">
        <v>10.981282351634199</v>
      </c>
      <c r="AB120" s="7">
        <v>105.00270810920701</v>
      </c>
      <c r="AC120" s="2">
        <v>3.0274473998326199</v>
      </c>
      <c r="AD120" s="2">
        <v>108.8378372848</v>
      </c>
      <c r="AE120" s="2">
        <v>16.592395602233299</v>
      </c>
      <c r="AF120" s="2">
        <v>95.304411723163298</v>
      </c>
      <c r="AG120" s="2">
        <v>7.0924143995871196</v>
      </c>
      <c r="AH120" s="2">
        <v>131.45821411893201</v>
      </c>
      <c r="AI120" s="2">
        <v>15.889615679158</v>
      </c>
      <c r="AJ120" s="2">
        <v>103.231736432407</v>
      </c>
      <c r="AK120" s="2">
        <v>13.9157785256886</v>
      </c>
      <c r="AL120" s="2">
        <v>115.30647477958399</v>
      </c>
      <c r="AM120" s="2">
        <v>8.8074565963415399</v>
      </c>
      <c r="AN120"/>
      <c r="AO120"/>
    </row>
    <row r="121" spans="1:41" ht="15.75" hidden="1" customHeight="1" x14ac:dyDescent="0.45">
      <c r="A121" s="2" t="s">
        <v>112</v>
      </c>
      <c r="B121" s="2" t="s">
        <v>113</v>
      </c>
      <c r="C121" s="2">
        <v>10</v>
      </c>
      <c r="D121" s="2"/>
      <c r="E121" s="2" t="s">
        <v>83</v>
      </c>
      <c r="F121" s="2" t="s">
        <v>84</v>
      </c>
      <c r="H121" s="2">
        <v>10.8</v>
      </c>
      <c r="J121" s="2">
        <v>10.780298999999999</v>
      </c>
      <c r="K121" s="2">
        <v>33.710202460666601</v>
      </c>
      <c r="L121" s="2"/>
      <c r="M121" s="2">
        <v>4.4262084882062904</v>
      </c>
      <c r="N121" s="2">
        <v>191.166666666666</v>
      </c>
      <c r="O121" s="2">
        <v>28.3078316607495</v>
      </c>
      <c r="P121" s="2">
        <v>23.115078298722199</v>
      </c>
      <c r="Q121" s="2">
        <v>2.06069057137843</v>
      </c>
      <c r="R121" s="2">
        <v>6.0697434936666603</v>
      </c>
      <c r="S121" s="2">
        <v>1.65797189882761</v>
      </c>
      <c r="T121" s="2">
        <v>11.1759522355</v>
      </c>
      <c r="U121" s="2">
        <v>7.9652594192986097</v>
      </c>
      <c r="V121" s="2">
        <v>0.215527182555555</v>
      </c>
      <c r="W121" s="2">
        <v>0.19247763929649001</v>
      </c>
      <c r="X121" s="2">
        <v>4.2695859614444398</v>
      </c>
      <c r="Y121" s="2">
        <v>0.47211034853696199</v>
      </c>
      <c r="Z121" s="7">
        <v>68.545816733067696</v>
      </c>
      <c r="AA121" s="2">
        <v>10.150218523774701</v>
      </c>
      <c r="AB121" s="7">
        <v>84.443934921900194</v>
      </c>
      <c r="AC121" s="2">
        <v>11.087636212359399</v>
      </c>
      <c r="AD121" s="2">
        <v>252.426349057484</v>
      </c>
      <c r="AE121" s="2">
        <v>179.90783354661801</v>
      </c>
      <c r="AF121" s="2">
        <v>68.355578071607695</v>
      </c>
      <c r="AG121" s="2">
        <v>6.0938446070966101</v>
      </c>
      <c r="AH121" s="2">
        <v>162.49655767286299</v>
      </c>
      <c r="AI121" s="2">
        <v>44.386509340788997</v>
      </c>
      <c r="AJ121" s="2">
        <v>45.827720619117002</v>
      </c>
      <c r="AK121" s="2">
        <v>40.926677435840503</v>
      </c>
      <c r="AL121" s="2">
        <v>126.808526981103</v>
      </c>
      <c r="AM121" s="2">
        <v>14.021879032564</v>
      </c>
      <c r="AN121"/>
      <c r="AO121"/>
    </row>
    <row r="122" spans="1:41" ht="15.75" hidden="1" customHeight="1" x14ac:dyDescent="0.45">
      <c r="A122" s="2" t="s">
        <v>114</v>
      </c>
      <c r="B122" s="2" t="s">
        <v>104</v>
      </c>
      <c r="C122" s="2">
        <v>3.0000000000000001E-3</v>
      </c>
      <c r="D122" s="2"/>
      <c r="E122" s="2" t="s">
        <v>83</v>
      </c>
      <c r="F122" s="2" t="s">
        <v>84</v>
      </c>
      <c r="H122" s="2" t="s">
        <v>87</v>
      </c>
      <c r="K122" s="2">
        <v>37.122482307777702</v>
      </c>
      <c r="L122" s="2"/>
      <c r="M122" s="2">
        <v>2.6953181522352301</v>
      </c>
      <c r="N122" s="2">
        <v>239.833333333333</v>
      </c>
      <c r="O122" s="2">
        <v>2.9627314724390699</v>
      </c>
      <c r="P122" s="2">
        <v>35.675992065555498</v>
      </c>
      <c r="Q122" s="2">
        <v>1.2000047482182199</v>
      </c>
      <c r="R122" s="2">
        <v>4.5340415659999902</v>
      </c>
      <c r="S122" s="2">
        <v>1.43596040435258</v>
      </c>
      <c r="T122" s="2">
        <v>4.0826161707777704</v>
      </c>
      <c r="U122" s="2">
        <v>1.1630834296366499</v>
      </c>
      <c r="V122" s="2">
        <v>0.44770689816666598</v>
      </c>
      <c r="W122" s="2">
        <v>8.7933185455639606E-2</v>
      </c>
      <c r="X122" s="2">
        <v>3.1653420059999999</v>
      </c>
      <c r="Y122" s="2">
        <v>0.71696446799993896</v>
      </c>
      <c r="Z122" s="7">
        <v>85.996015936255006</v>
      </c>
      <c r="AA122" s="2">
        <v>1.0623339941016601</v>
      </c>
      <c r="AB122" s="7">
        <v>92.991683565088294</v>
      </c>
      <c r="AC122" s="2">
        <v>6.7517621974159798</v>
      </c>
      <c r="AD122" s="2">
        <v>92.212267274992996</v>
      </c>
      <c r="AE122" s="2">
        <v>26.270057137489399</v>
      </c>
      <c r="AF122" s="2">
        <v>105.500532137671</v>
      </c>
      <c r="AG122" s="2">
        <v>3.5486368331992799</v>
      </c>
      <c r="AH122" s="2">
        <v>121.383407320168</v>
      </c>
      <c r="AI122" s="2">
        <v>38.442913264011899</v>
      </c>
      <c r="AJ122" s="2">
        <v>95.196282924288695</v>
      </c>
      <c r="AK122" s="2">
        <v>18.697304945149199</v>
      </c>
      <c r="AL122" s="2">
        <v>94.0120097819688</v>
      </c>
      <c r="AM122" s="2">
        <v>21.294150979947599</v>
      </c>
      <c r="AN122"/>
      <c r="AO122"/>
    </row>
    <row r="123" spans="1:41" ht="15.75" hidden="1" customHeight="1" x14ac:dyDescent="0.45">
      <c r="A123" s="2" t="s">
        <v>114</v>
      </c>
      <c r="B123" s="2" t="s">
        <v>104</v>
      </c>
      <c r="C123" s="2">
        <v>0.01</v>
      </c>
      <c r="D123" s="2"/>
      <c r="E123" s="2" t="s">
        <v>83</v>
      </c>
      <c r="F123" s="2" t="s">
        <v>84</v>
      </c>
      <c r="H123" s="2" t="s">
        <v>87</v>
      </c>
      <c r="K123" s="2">
        <v>34.995959825555502</v>
      </c>
      <c r="L123" s="2"/>
      <c r="M123" s="2">
        <v>6.4396684003036198</v>
      </c>
      <c r="N123" s="2">
        <v>274.77777777777698</v>
      </c>
      <c r="O123" s="2">
        <v>16.657775406142498</v>
      </c>
      <c r="P123" s="2">
        <v>34.894828756111103</v>
      </c>
      <c r="Q123" s="2">
        <v>4.0326737024895003</v>
      </c>
      <c r="R123" s="2">
        <v>4.0514063228333299</v>
      </c>
      <c r="S123" s="2">
        <v>1.46777811091876</v>
      </c>
      <c r="T123" s="2">
        <v>3.7610236782222199</v>
      </c>
      <c r="U123" s="2">
        <v>7.9486398873049608E-3</v>
      </c>
      <c r="V123" s="2">
        <v>0.41271437249999998</v>
      </c>
      <c r="W123" s="2">
        <v>9.27492513412978E-2</v>
      </c>
      <c r="X123" s="2">
        <v>3.51716330022222</v>
      </c>
      <c r="Y123" s="2">
        <v>0.37706509707365599</v>
      </c>
      <c r="Z123" s="7">
        <v>98.525896414342597</v>
      </c>
      <c r="AA123" s="2">
        <v>5.9729075161467398</v>
      </c>
      <c r="AB123" s="7">
        <v>87.664752458452099</v>
      </c>
      <c r="AC123" s="2">
        <v>16.131345990827398</v>
      </c>
      <c r="AD123" s="2">
        <v>84.9485981871604</v>
      </c>
      <c r="AE123" s="2">
        <v>0.179532455440502</v>
      </c>
      <c r="AF123" s="2">
        <v>103.19048720097</v>
      </c>
      <c r="AG123" s="2">
        <v>11.9253648439113</v>
      </c>
      <c r="AH123" s="2">
        <v>108.462504532756</v>
      </c>
      <c r="AI123" s="2">
        <v>39.294723195592198</v>
      </c>
      <c r="AJ123" s="2">
        <v>87.755793650524296</v>
      </c>
      <c r="AK123" s="2">
        <v>19.721348962586799</v>
      </c>
      <c r="AL123" s="2">
        <v>104.461252515053</v>
      </c>
      <c r="AM123" s="2">
        <v>11.1989944616833</v>
      </c>
      <c r="AN123"/>
      <c r="AO123"/>
    </row>
    <row r="124" spans="1:41" ht="15.75" hidden="1" customHeight="1" x14ac:dyDescent="0.45">
      <c r="A124" s="2" t="s">
        <v>114</v>
      </c>
      <c r="B124" s="2" t="s">
        <v>104</v>
      </c>
      <c r="C124" s="2">
        <v>0.03</v>
      </c>
      <c r="D124" s="2"/>
      <c r="E124" s="2" t="s">
        <v>83</v>
      </c>
      <c r="F124" s="2" t="s">
        <v>84</v>
      </c>
      <c r="H124" s="2" t="s">
        <v>87</v>
      </c>
      <c r="K124" s="2">
        <v>42.271822361666601</v>
      </c>
      <c r="L124" s="2"/>
      <c r="M124" s="2">
        <v>1.29661165532394</v>
      </c>
      <c r="N124" s="2">
        <v>282.666666666666</v>
      </c>
      <c r="O124" s="2">
        <v>40.507543879025</v>
      </c>
      <c r="P124" s="2">
        <v>33.193303786666597</v>
      </c>
      <c r="Q124" s="2">
        <v>2.4444428383740799</v>
      </c>
      <c r="R124" s="2">
        <v>3.4752481679444398</v>
      </c>
      <c r="S124" s="2">
        <v>0.68074814592746302</v>
      </c>
      <c r="T124" s="2">
        <v>4.1070532006666598</v>
      </c>
      <c r="U124" s="2">
        <v>0.611653989723006</v>
      </c>
      <c r="V124" s="2">
        <v>0.46553898938888799</v>
      </c>
      <c r="W124" s="2">
        <v>0.18154095916375501</v>
      </c>
      <c r="X124" s="2">
        <v>3.8130622233888798</v>
      </c>
      <c r="Y124" s="2">
        <v>0.32888399230132997</v>
      </c>
      <c r="Z124" s="7">
        <v>101.354581673306</v>
      </c>
      <c r="AA124" s="2">
        <v>14.524617327140399</v>
      </c>
      <c r="AB124" s="7">
        <v>105.890761727217</v>
      </c>
      <c r="AC124" s="2">
        <v>3.2480074947312301</v>
      </c>
      <c r="AD124" s="2">
        <v>92.764215789685693</v>
      </c>
      <c r="AE124" s="2">
        <v>13.8151613624281</v>
      </c>
      <c r="AF124" s="2">
        <v>98.158761961429704</v>
      </c>
      <c r="AG124" s="2">
        <v>7.2286713079963301</v>
      </c>
      <c r="AH124" s="2">
        <v>93.037846646919803</v>
      </c>
      <c r="AI124" s="2">
        <v>18.224696063486</v>
      </c>
      <c r="AJ124" s="2">
        <v>98.987935025415098</v>
      </c>
      <c r="AK124" s="2">
        <v>38.601202218836598</v>
      </c>
      <c r="AL124" s="2">
        <v>113.249576938288</v>
      </c>
      <c r="AM124" s="2">
        <v>9.7679950674390295</v>
      </c>
      <c r="AN124"/>
      <c r="AO124"/>
    </row>
    <row r="125" spans="1:41" ht="15.75" hidden="1" customHeight="1" x14ac:dyDescent="0.45">
      <c r="A125" s="2" t="s">
        <v>114</v>
      </c>
      <c r="B125" s="2" t="s">
        <v>104</v>
      </c>
      <c r="C125" s="2">
        <v>0.1</v>
      </c>
      <c r="D125" s="2"/>
      <c r="E125" s="2" t="s">
        <v>83</v>
      </c>
      <c r="F125" s="2" t="s">
        <v>84</v>
      </c>
      <c r="H125" s="2" t="s">
        <v>87</v>
      </c>
      <c r="K125" s="2">
        <v>41.053400241111099</v>
      </c>
      <c r="L125" s="2"/>
      <c r="M125" s="2">
        <v>1.0841221306275799</v>
      </c>
      <c r="N125" s="2">
        <v>247.333333333333</v>
      </c>
      <c r="O125" s="2">
        <v>39.845883657467702</v>
      </c>
      <c r="P125" s="2">
        <v>39.105427883333299</v>
      </c>
      <c r="Q125" s="2">
        <v>4.2775327668121097</v>
      </c>
      <c r="R125" s="2">
        <v>4.6876337355555497</v>
      </c>
      <c r="S125" s="2">
        <v>1.1882746799769901</v>
      </c>
      <c r="T125" s="2">
        <v>2.90386336144444</v>
      </c>
      <c r="U125" s="2">
        <v>0.42700080313689698</v>
      </c>
      <c r="V125" s="2">
        <v>0.33546868427777699</v>
      </c>
      <c r="W125" s="2">
        <v>0.16918567391365</v>
      </c>
      <c r="X125" s="2">
        <v>3.5627067106111099</v>
      </c>
      <c r="Y125" s="2">
        <v>0.841914807686723</v>
      </c>
      <c r="Z125" s="7">
        <v>88.685258964143401</v>
      </c>
      <c r="AA125" s="2">
        <v>14.287368642119899</v>
      </c>
      <c r="AB125" s="7">
        <v>102.838618733544</v>
      </c>
      <c r="AC125" s="2">
        <v>2.7157220059098002</v>
      </c>
      <c r="AD125" s="2">
        <v>65.588292706086406</v>
      </c>
      <c r="AE125" s="2">
        <v>9.6444805336659805</v>
      </c>
      <c r="AF125" s="2">
        <v>115.64201055942701</v>
      </c>
      <c r="AG125" s="2">
        <v>12.6494585576138</v>
      </c>
      <c r="AH125" s="2">
        <v>125.49531070856099</v>
      </c>
      <c r="AI125" s="2">
        <v>31.811977766039298</v>
      </c>
      <c r="AJ125" s="2">
        <v>71.330979959253895</v>
      </c>
      <c r="AK125" s="2">
        <v>35.974087838656999</v>
      </c>
      <c r="AL125" s="2">
        <v>105.81391125931199</v>
      </c>
      <c r="AM125" s="2">
        <v>25.0052294462327</v>
      </c>
      <c r="AN125"/>
      <c r="AO125"/>
    </row>
    <row r="126" spans="1:41" ht="15.75" hidden="1" customHeight="1" x14ac:dyDescent="0.45">
      <c r="A126" s="2" t="s">
        <v>114</v>
      </c>
      <c r="B126" s="2" t="s">
        <v>104</v>
      </c>
      <c r="C126" s="2">
        <v>0.3</v>
      </c>
      <c r="D126" s="2"/>
      <c r="E126" s="2" t="s">
        <v>83</v>
      </c>
      <c r="F126" s="2" t="s">
        <v>84</v>
      </c>
      <c r="H126" s="2" t="s">
        <v>87</v>
      </c>
      <c r="K126" s="2">
        <v>38.627206682222202</v>
      </c>
      <c r="L126" s="2"/>
      <c r="M126" s="2">
        <v>2.4787803315468899</v>
      </c>
      <c r="N126" s="2">
        <v>244.222222222222</v>
      </c>
      <c r="O126" s="2">
        <v>13.5506594072152</v>
      </c>
      <c r="P126" s="2">
        <v>35.0175545422222</v>
      </c>
      <c r="Q126" s="2">
        <v>3.8913767967484798</v>
      </c>
      <c r="R126" s="2">
        <v>4.0434635314999996</v>
      </c>
      <c r="S126" s="2">
        <v>0.41600025537744201</v>
      </c>
      <c r="T126" s="2">
        <v>3.6996939263333299</v>
      </c>
      <c r="U126" s="2">
        <v>0.88689368944222602</v>
      </c>
      <c r="V126" s="2">
        <v>0.50967493222222204</v>
      </c>
      <c r="W126" s="2">
        <v>0.150896900661706</v>
      </c>
      <c r="X126" s="2">
        <v>3.7304398403888799</v>
      </c>
      <c r="Y126" s="2">
        <v>0.154450284630405</v>
      </c>
      <c r="Z126" s="7">
        <v>87.569721115537803</v>
      </c>
      <c r="AA126" s="2">
        <v>4.8588021778859298</v>
      </c>
      <c r="AB126" s="7">
        <v>96.7610126665449</v>
      </c>
      <c r="AC126" s="2">
        <v>6.20933574181484</v>
      </c>
      <c r="AD126" s="2">
        <v>83.563369883415703</v>
      </c>
      <c r="AE126" s="2">
        <v>20.031880175444201</v>
      </c>
      <c r="AF126" s="2">
        <v>103.55341013575401</v>
      </c>
      <c r="AG126" s="2">
        <v>11.5075236604709</v>
      </c>
      <c r="AH126" s="2">
        <v>108.24986354532</v>
      </c>
      <c r="AI126" s="2">
        <v>11.1369796038994</v>
      </c>
      <c r="AJ126" s="2">
        <v>108.372596549053</v>
      </c>
      <c r="AK126" s="2">
        <v>32.085331065063301</v>
      </c>
      <c r="AL126" s="2">
        <v>110.79565686769701</v>
      </c>
      <c r="AM126" s="2">
        <v>4.5872394332043998</v>
      </c>
      <c r="AN126"/>
      <c r="AO126"/>
    </row>
    <row r="127" spans="1:41" ht="15.75" hidden="1" customHeight="1" x14ac:dyDescent="0.45">
      <c r="A127" s="2" t="s">
        <v>114</v>
      </c>
      <c r="B127" s="2" t="s">
        <v>104</v>
      </c>
      <c r="C127" s="2">
        <v>1</v>
      </c>
      <c r="D127" s="2"/>
      <c r="E127" s="2" t="s">
        <v>83</v>
      </c>
      <c r="F127" s="2" t="s">
        <v>84</v>
      </c>
      <c r="H127" s="2" t="s">
        <v>87</v>
      </c>
      <c r="K127" s="2">
        <v>28.277238085555499</v>
      </c>
      <c r="L127" s="2"/>
      <c r="M127" s="2">
        <v>24.510777228809498</v>
      </c>
      <c r="N127" s="2">
        <v>194.666666666666</v>
      </c>
      <c r="O127" s="2">
        <v>104.25982500997701</v>
      </c>
      <c r="P127" s="2">
        <v>45.602074453888797</v>
      </c>
      <c r="Q127" s="2">
        <v>20.918495271683401</v>
      </c>
      <c r="R127" s="2">
        <v>3.1364575380555499</v>
      </c>
      <c r="S127" s="2">
        <v>1.8913049194757301</v>
      </c>
      <c r="T127" s="2">
        <v>2.91104651005555</v>
      </c>
      <c r="U127" s="2">
        <v>2.0488807619727298</v>
      </c>
      <c r="V127" s="2">
        <v>0.36220037261111099</v>
      </c>
      <c r="W127" s="2">
        <v>0.21051785999376799</v>
      </c>
      <c r="X127" s="2">
        <v>3.39985714566666</v>
      </c>
      <c r="Y127" s="2">
        <v>0.559614629034628</v>
      </c>
      <c r="Z127" s="7">
        <v>69.800796812748999</v>
      </c>
      <c r="AA127" s="2">
        <v>37.384000999593503</v>
      </c>
      <c r="AB127" s="7">
        <v>70.834378863606105</v>
      </c>
      <c r="AC127" s="2">
        <v>61.399408075636103</v>
      </c>
      <c r="AD127" s="2">
        <v>65.7505353446046</v>
      </c>
      <c r="AE127" s="2">
        <v>46.277174374104199</v>
      </c>
      <c r="AF127" s="2">
        <v>134.853800635076</v>
      </c>
      <c r="AG127" s="2">
        <v>61.8598742433486</v>
      </c>
      <c r="AH127" s="2">
        <v>83.967889870952504</v>
      </c>
      <c r="AI127" s="2">
        <v>50.6332004384101</v>
      </c>
      <c r="AJ127" s="2">
        <v>77.014960652972306</v>
      </c>
      <c r="AK127" s="2">
        <v>44.762584277006397</v>
      </c>
      <c r="AL127" s="2">
        <v>100.977209612688</v>
      </c>
      <c r="AM127" s="2">
        <v>16.620793544334699</v>
      </c>
      <c r="AN127"/>
      <c r="AO127"/>
    </row>
    <row r="128" spans="1:41" ht="15.75" hidden="1" customHeight="1" x14ac:dyDescent="0.45">
      <c r="A128" s="2" t="s">
        <v>114</v>
      </c>
      <c r="B128" s="2" t="s">
        <v>104</v>
      </c>
      <c r="C128" s="2">
        <v>3</v>
      </c>
      <c r="D128" s="2"/>
      <c r="E128" s="2" t="s">
        <v>83</v>
      </c>
      <c r="F128" s="2" t="s">
        <v>84</v>
      </c>
      <c r="H128" s="2" t="s">
        <v>87</v>
      </c>
      <c r="K128" s="2">
        <v>40.395084828333303</v>
      </c>
      <c r="L128" s="2"/>
      <c r="M128" s="2">
        <v>5.19711703045283</v>
      </c>
      <c r="N128" s="2">
        <v>264.5</v>
      </c>
      <c r="O128" s="2">
        <v>28.160748885243599</v>
      </c>
      <c r="P128" s="2">
        <v>27.952187614444401</v>
      </c>
      <c r="Q128" s="2">
        <v>1.2255512722294699</v>
      </c>
      <c r="R128" s="2">
        <v>3.2045285995555499</v>
      </c>
      <c r="S128" s="2">
        <v>0.74180702551087296</v>
      </c>
      <c r="T128" s="2">
        <v>4.0711440101111096</v>
      </c>
      <c r="U128" s="2">
        <v>1.8210294444703801</v>
      </c>
      <c r="V128" s="2">
        <v>0.40452512227777698</v>
      </c>
      <c r="W128" s="2">
        <v>0.28202535503404502</v>
      </c>
      <c r="X128" s="2">
        <v>3.4033499548888799</v>
      </c>
      <c r="Y128" s="2">
        <v>0.627125736125135</v>
      </c>
      <c r="Z128" s="7">
        <v>94.840637450199196</v>
      </c>
      <c r="AA128" s="2">
        <v>10.097479679967799</v>
      </c>
      <c r="AB128" s="7">
        <v>101.18954101176099</v>
      </c>
      <c r="AC128" s="2">
        <v>13.0187593151696</v>
      </c>
      <c r="AD128" s="2">
        <v>91.953150595549005</v>
      </c>
      <c r="AE128" s="2">
        <v>41.130796240672296</v>
      </c>
      <c r="AF128" s="2">
        <v>82.659808375254499</v>
      </c>
      <c r="AG128" s="2">
        <v>3.6241826476646999</v>
      </c>
      <c r="AH128" s="2">
        <v>85.790259001119097</v>
      </c>
      <c r="AI128" s="2">
        <v>19.859338080569401</v>
      </c>
      <c r="AJ128" s="2">
        <v>86.014506696303101</v>
      </c>
      <c r="AK128" s="2">
        <v>59.967281271706902</v>
      </c>
      <c r="AL128" s="2">
        <v>101.08094753868301</v>
      </c>
      <c r="AM128" s="2">
        <v>18.625902265020699</v>
      </c>
      <c r="AN128"/>
      <c r="AO128"/>
    </row>
    <row r="129" spans="1:41" ht="15.75" hidden="1" customHeight="1" x14ac:dyDescent="0.45">
      <c r="A129" s="2" t="s">
        <v>114</v>
      </c>
      <c r="B129" s="2" t="s">
        <v>104</v>
      </c>
      <c r="C129" s="2">
        <v>10</v>
      </c>
      <c r="D129" s="2"/>
      <c r="E129" s="2" t="s">
        <v>83</v>
      </c>
      <c r="F129" s="2" t="s">
        <v>84</v>
      </c>
      <c r="H129" s="2" t="s">
        <v>87</v>
      </c>
      <c r="K129" s="2">
        <v>37.501781337222198</v>
      </c>
      <c r="L129" s="2"/>
      <c r="M129" s="2">
        <v>5.5804338399801097</v>
      </c>
      <c r="N129" s="2">
        <v>195.666666666666</v>
      </c>
      <c r="O129" s="2">
        <v>38.487010795851702</v>
      </c>
      <c r="P129" s="2">
        <v>27.874669143888799</v>
      </c>
      <c r="Q129" s="2">
        <v>6.6917896782220296</v>
      </c>
      <c r="R129" s="2">
        <v>15.3859698572222</v>
      </c>
      <c r="S129" s="2">
        <v>10.726445196718799</v>
      </c>
      <c r="T129" s="2">
        <v>3.3650926001111099</v>
      </c>
      <c r="U129" s="2">
        <v>1.9700301909300599</v>
      </c>
      <c r="V129" s="2">
        <v>0.31832230083333302</v>
      </c>
      <c r="W129" s="2">
        <v>5.6249947943780298E-2</v>
      </c>
      <c r="X129" s="2">
        <v>4.2382768627222198</v>
      </c>
      <c r="Y129" s="2">
        <v>0.38207579339015801</v>
      </c>
      <c r="Z129" s="7">
        <v>70.159362549800804</v>
      </c>
      <c r="AA129" s="2">
        <v>13.8001233929348</v>
      </c>
      <c r="AB129" s="7">
        <v>93.941826258408497</v>
      </c>
      <c r="AC129" s="2">
        <v>13.9789665330277</v>
      </c>
      <c r="AD129" s="2">
        <v>76.005875954640899</v>
      </c>
      <c r="AE129" s="2">
        <v>44.4962109850362</v>
      </c>
      <c r="AF129" s="2">
        <v>82.430571865753095</v>
      </c>
      <c r="AG129" s="2">
        <v>19.788864475261999</v>
      </c>
      <c r="AH129" s="2">
        <v>411.90655599627797</v>
      </c>
      <c r="AI129" s="2">
        <v>287.16376933426199</v>
      </c>
      <c r="AJ129" s="2">
        <v>67.685130462206303</v>
      </c>
      <c r="AK129" s="2">
        <v>11.9604723109252</v>
      </c>
      <c r="AL129" s="2">
        <v>125.878633374106</v>
      </c>
      <c r="AM129" s="2">
        <v>11.3478142828048</v>
      </c>
      <c r="AN129"/>
      <c r="AO129"/>
    </row>
    <row r="130" spans="1:41" ht="15.75" hidden="1" customHeight="1" x14ac:dyDescent="0.45">
      <c r="A130" s="2" t="s">
        <v>115</v>
      </c>
      <c r="B130" s="2" t="s">
        <v>116</v>
      </c>
      <c r="C130" s="2">
        <v>3.0000000000000001E-3</v>
      </c>
      <c r="D130" s="2"/>
      <c r="E130" s="2" t="s">
        <v>109</v>
      </c>
      <c r="F130" s="2" t="s">
        <v>84</v>
      </c>
      <c r="H130" s="2">
        <v>8.1999999999999993</v>
      </c>
      <c r="J130" s="2">
        <v>8.1999999999999993</v>
      </c>
      <c r="K130" s="2">
        <v>34.2777777777777</v>
      </c>
      <c r="L130" s="2"/>
      <c r="M130" s="2">
        <v>2.4400212506664101</v>
      </c>
      <c r="N130" s="2">
        <v>143.777777777777</v>
      </c>
      <c r="O130" s="2">
        <v>31.782390885054099</v>
      </c>
      <c r="P130" s="2">
        <v>19.1111111111111</v>
      </c>
      <c r="Q130" s="2">
        <v>3.42512503151073</v>
      </c>
      <c r="R130" s="2">
        <v>2.2222222222222201</v>
      </c>
      <c r="S130" s="2">
        <v>1.0844011831079501</v>
      </c>
      <c r="T130" s="2">
        <v>3.1666666666666599</v>
      </c>
      <c r="U130" s="2">
        <v>0.44095855184409599</v>
      </c>
      <c r="V130" s="2">
        <v>0.44444444444444398</v>
      </c>
      <c r="W130" s="2">
        <v>9.6225044864937798E-2</v>
      </c>
      <c r="X130" s="2">
        <v>2.6666666666666599</v>
      </c>
      <c r="Y130" s="2">
        <v>0.88191710368819598</v>
      </c>
      <c r="Z130" s="7">
        <v>100.145109799748</v>
      </c>
      <c r="AA130" s="2">
        <v>22.137294608918399</v>
      </c>
      <c r="AB130" s="7">
        <v>96.40625</v>
      </c>
      <c r="AC130" s="2">
        <v>6.86255976749929</v>
      </c>
      <c r="AD130" s="2">
        <v>64.772727272727195</v>
      </c>
      <c r="AE130" s="2">
        <v>9.0196067422656103</v>
      </c>
      <c r="AF130" s="2">
        <v>113.907284768211</v>
      </c>
      <c r="AG130" s="2">
        <v>20.414652505693098</v>
      </c>
      <c r="AH130" s="2">
        <v>95.238095238095198</v>
      </c>
      <c r="AI130" s="2">
        <v>46.474336418912202</v>
      </c>
      <c r="AJ130" s="2">
        <v>72.727272727272705</v>
      </c>
      <c r="AK130" s="2">
        <v>15.7459164324443</v>
      </c>
      <c r="AL130" s="2">
        <v>118.51851851851799</v>
      </c>
      <c r="AM130" s="2">
        <v>39.196315719475301</v>
      </c>
      <c r="AN130"/>
      <c r="AO130"/>
    </row>
    <row r="131" spans="1:41" ht="15.75" hidden="1" customHeight="1" x14ac:dyDescent="0.45">
      <c r="A131" s="2" t="s">
        <v>115</v>
      </c>
      <c r="B131" s="2" t="s">
        <v>116</v>
      </c>
      <c r="C131" s="2">
        <v>0.01</v>
      </c>
      <c r="D131" s="2"/>
      <c r="E131" s="2" t="s">
        <v>109</v>
      </c>
      <c r="F131" s="2" t="s">
        <v>84</v>
      </c>
      <c r="H131" s="2">
        <v>8.1999999999999993</v>
      </c>
      <c r="J131" s="2">
        <v>8.1999999999999993</v>
      </c>
      <c r="K131" s="2">
        <v>38.6666666666666</v>
      </c>
      <c r="L131" s="2"/>
      <c r="M131" s="2">
        <v>5.2041649986653402</v>
      </c>
      <c r="N131" s="2">
        <v>169.5</v>
      </c>
      <c r="O131" s="2">
        <v>16.0008680320094</v>
      </c>
      <c r="P131" s="2">
        <v>18.2222222222222</v>
      </c>
      <c r="Q131" s="2">
        <v>2.8690558519278402</v>
      </c>
      <c r="R131" s="2">
        <v>1.7777777777777699</v>
      </c>
      <c r="S131" s="2">
        <v>0.25458753860865602</v>
      </c>
      <c r="T131" s="2">
        <v>3.88888888888888</v>
      </c>
      <c r="U131" s="2">
        <v>0.94770678384621898</v>
      </c>
      <c r="V131" s="2">
        <v>0.66666666666666596</v>
      </c>
      <c r="W131" s="2">
        <v>0.16666666666666699</v>
      </c>
      <c r="X131" s="2">
        <v>2.05555555555555</v>
      </c>
      <c r="Y131" s="2">
        <v>0.25458753860865602</v>
      </c>
      <c r="Z131" s="7">
        <v>118.06133307536</v>
      </c>
      <c r="AA131" s="2">
        <v>11.145037228448</v>
      </c>
      <c r="AB131" s="7">
        <v>108.75</v>
      </c>
      <c r="AC131" s="2">
        <v>14.6367140587462</v>
      </c>
      <c r="AD131" s="2">
        <v>79.545454545454504</v>
      </c>
      <c r="AE131" s="2">
        <v>19.3849114877635</v>
      </c>
      <c r="AF131" s="2">
        <v>108.60927152317799</v>
      </c>
      <c r="AG131" s="2">
        <v>17.100332892285099</v>
      </c>
      <c r="AH131" s="2">
        <v>76.190476190476105</v>
      </c>
      <c r="AI131" s="2">
        <v>10.9108945117995</v>
      </c>
      <c r="AJ131" s="2">
        <v>109.09090909090899</v>
      </c>
      <c r="AK131" s="2">
        <v>27.272727272727298</v>
      </c>
      <c r="AL131" s="2">
        <v>91.358024691357997</v>
      </c>
      <c r="AM131" s="2">
        <v>11.3150017159402</v>
      </c>
      <c r="AN131"/>
      <c r="AO131"/>
    </row>
    <row r="132" spans="1:41" ht="15.75" hidden="1" customHeight="1" x14ac:dyDescent="0.45">
      <c r="A132" s="2" t="s">
        <v>115</v>
      </c>
      <c r="B132" s="2" t="s">
        <v>116</v>
      </c>
      <c r="C132" s="2">
        <v>0.03</v>
      </c>
      <c r="D132" s="2"/>
      <c r="E132" s="2" t="s">
        <v>109</v>
      </c>
      <c r="F132" s="2" t="s">
        <v>84</v>
      </c>
      <c r="H132" s="2">
        <v>8.1999999999999993</v>
      </c>
      <c r="J132" s="2">
        <v>8.1999999999999993</v>
      </c>
      <c r="K132" s="2">
        <v>33.4444444444444</v>
      </c>
      <c r="L132" s="2"/>
      <c r="M132" s="2">
        <v>1.33680104616849</v>
      </c>
      <c r="N132" s="2">
        <v>146</v>
      </c>
      <c r="O132" s="2">
        <v>9.49268724393181</v>
      </c>
      <c r="P132" s="2">
        <v>19.3888888888888</v>
      </c>
      <c r="Q132" s="2">
        <v>0.50917507721729405</v>
      </c>
      <c r="R132" s="2">
        <v>1.8333333333333299</v>
      </c>
      <c r="S132" s="2">
        <v>0.76376261582597305</v>
      </c>
      <c r="T132" s="2">
        <v>2.9444444444444402</v>
      </c>
      <c r="U132" s="2">
        <v>0.91792842454768298</v>
      </c>
      <c r="V132" s="2">
        <v>0.38888888888888801</v>
      </c>
      <c r="W132" s="2">
        <v>0.25458753860865702</v>
      </c>
      <c r="X132" s="2">
        <v>2.2222222222222201</v>
      </c>
      <c r="Y132" s="2">
        <v>0.97657754618038595</v>
      </c>
      <c r="Z132" s="7">
        <v>101.692947663732</v>
      </c>
      <c r="AA132" s="2">
        <v>6.6119133362009297</v>
      </c>
      <c r="AB132" s="7">
        <v>94.0625</v>
      </c>
      <c r="AC132" s="2">
        <v>3.7597529423488898</v>
      </c>
      <c r="AD132" s="2">
        <v>60.227272727272698</v>
      </c>
      <c r="AE132" s="2">
        <v>18.7758086839298</v>
      </c>
      <c r="AF132" s="2">
        <v>115.562913907284</v>
      </c>
      <c r="AG132" s="2">
        <v>3.0348183410302298</v>
      </c>
      <c r="AH132" s="2">
        <v>78.571428571428498</v>
      </c>
      <c r="AI132" s="2">
        <v>32.732683535398799</v>
      </c>
      <c r="AJ132" s="2">
        <v>63.636363636363598</v>
      </c>
      <c r="AK132" s="2">
        <v>41.659779045053099</v>
      </c>
      <c r="AL132" s="2">
        <v>98.765432098765402</v>
      </c>
      <c r="AM132" s="2">
        <v>43.403446496906</v>
      </c>
      <c r="AN132"/>
      <c r="AO132"/>
    </row>
    <row r="133" spans="1:41" ht="15.75" hidden="1" customHeight="1" x14ac:dyDescent="0.45">
      <c r="A133" s="2" t="s">
        <v>115</v>
      </c>
      <c r="B133" s="2" t="s">
        <v>116</v>
      </c>
      <c r="C133" s="2">
        <v>0.1</v>
      </c>
      <c r="D133" s="2"/>
      <c r="E133" s="2" t="s">
        <v>109</v>
      </c>
      <c r="F133" s="2" t="s">
        <v>84</v>
      </c>
      <c r="H133" s="2">
        <v>8.1999999999999993</v>
      </c>
      <c r="J133" s="2">
        <v>8.1999999999999993</v>
      </c>
      <c r="K133" s="2">
        <v>31.5</v>
      </c>
      <c r="L133" s="2"/>
      <c r="M133" s="2">
        <v>2.4888640871780798</v>
      </c>
      <c r="N133" s="2">
        <v>149.666666666666</v>
      </c>
      <c r="O133" s="2">
        <v>13.0416001063265</v>
      </c>
      <c r="P133" s="2">
        <v>19.8888888888888</v>
      </c>
      <c r="Q133" s="2">
        <v>1.18243314743288</v>
      </c>
      <c r="R133" s="2">
        <v>1.7222222222222201</v>
      </c>
      <c r="S133" s="2">
        <v>0.41943524640393098</v>
      </c>
      <c r="T133" s="2">
        <v>3.9444444444444402</v>
      </c>
      <c r="U133" s="2">
        <v>1.3977495139343401</v>
      </c>
      <c r="V133" s="2">
        <v>0.44444444444444398</v>
      </c>
      <c r="W133" s="2">
        <v>9.6225044864937798E-2</v>
      </c>
      <c r="X133" s="2">
        <v>2.7777777777777701</v>
      </c>
      <c r="Y133" s="2">
        <v>0.96225044864937503</v>
      </c>
      <c r="Z133" s="7">
        <v>104.24688013930501</v>
      </c>
      <c r="AA133" s="2">
        <v>9.08382710317799</v>
      </c>
      <c r="AB133" s="7">
        <v>88.59375</v>
      </c>
      <c r="AC133" s="2">
        <v>6.9999302451883603</v>
      </c>
      <c r="AD133" s="2">
        <v>80.681818181818201</v>
      </c>
      <c r="AE133" s="2">
        <v>28.590330966838899</v>
      </c>
      <c r="AF133" s="2">
        <v>118.543046357615</v>
      </c>
      <c r="AG133" s="2">
        <v>7.0476147860238099</v>
      </c>
      <c r="AH133" s="2">
        <v>73.809523809523796</v>
      </c>
      <c r="AI133" s="2">
        <v>17.975796274454101</v>
      </c>
      <c r="AJ133" s="2">
        <v>72.727272727272705</v>
      </c>
      <c r="AK133" s="2">
        <v>15.7459164324443</v>
      </c>
      <c r="AL133" s="2">
        <v>123.456790123456</v>
      </c>
      <c r="AM133" s="2">
        <v>42.7666866066388</v>
      </c>
      <c r="AN133"/>
      <c r="AO133"/>
    </row>
    <row r="134" spans="1:41" ht="15.75" hidden="1" customHeight="1" x14ac:dyDescent="0.45">
      <c r="A134" s="2" t="s">
        <v>115</v>
      </c>
      <c r="B134" s="2" t="s">
        <v>116</v>
      </c>
      <c r="C134" s="2">
        <v>0.3</v>
      </c>
      <c r="D134" s="2"/>
      <c r="E134" s="2" t="s">
        <v>109</v>
      </c>
      <c r="F134" s="2" t="s">
        <v>84</v>
      </c>
      <c r="H134" s="2">
        <v>8.1999999999999993</v>
      </c>
      <c r="J134" s="2">
        <v>8.1999999999999993</v>
      </c>
      <c r="K134" s="2">
        <v>29</v>
      </c>
      <c r="L134" s="2"/>
      <c r="M134" s="2">
        <v>4.2064764880413303</v>
      </c>
      <c r="N134" s="2">
        <v>122.444444444444</v>
      </c>
      <c r="O134" s="2">
        <v>10.488529890278</v>
      </c>
      <c r="P134" s="2">
        <v>19.8333333333333</v>
      </c>
      <c r="Q134" s="2">
        <v>2.8037673068767801</v>
      </c>
      <c r="R134" s="2">
        <v>1.7777777777777699</v>
      </c>
      <c r="S134" s="2">
        <v>0.67357531405456295</v>
      </c>
      <c r="T134" s="2">
        <v>1.88888888888888</v>
      </c>
      <c r="U134" s="2">
        <v>0.50917507721731603</v>
      </c>
      <c r="V134" s="2">
        <v>0.27777777777777701</v>
      </c>
      <c r="W134" s="2">
        <v>9.6225044864937603E-2</v>
      </c>
      <c r="X134" s="2">
        <v>2.1666666666666599</v>
      </c>
      <c r="Y134" s="2">
        <v>0.33333333333333598</v>
      </c>
      <c r="Z134" s="7">
        <v>85.285866305504399</v>
      </c>
      <c r="AA134" s="2">
        <v>7.3055446657639296</v>
      </c>
      <c r="AB134" s="7">
        <v>81.5625</v>
      </c>
      <c r="AC134" s="2">
        <v>11.8307151226162</v>
      </c>
      <c r="AD134" s="2">
        <v>38.636363636363598</v>
      </c>
      <c r="AE134" s="2">
        <v>10.4149447612632</v>
      </c>
      <c r="AF134" s="2">
        <v>118.21192052980101</v>
      </c>
      <c r="AG134" s="2">
        <v>16.711195868802001</v>
      </c>
      <c r="AH134" s="2">
        <v>76.190476190476105</v>
      </c>
      <c r="AI134" s="2">
        <v>28.867513459481199</v>
      </c>
      <c r="AJ134" s="2">
        <v>45.454545454545404</v>
      </c>
      <c r="AK134" s="2">
        <v>15.7459164324443</v>
      </c>
      <c r="AL134" s="2">
        <v>96.296296296296305</v>
      </c>
      <c r="AM134" s="2">
        <v>14.8148148148149</v>
      </c>
      <c r="AN134"/>
      <c r="AO134"/>
    </row>
    <row r="135" spans="1:41" ht="15.75" hidden="1" customHeight="1" x14ac:dyDescent="0.45">
      <c r="A135" s="2" t="s">
        <v>115</v>
      </c>
      <c r="B135" s="2" t="s">
        <v>116</v>
      </c>
      <c r="C135" s="2">
        <v>1</v>
      </c>
      <c r="D135" s="2"/>
      <c r="E135" s="2" t="s">
        <v>109</v>
      </c>
      <c r="F135" s="2" t="s">
        <v>84</v>
      </c>
      <c r="H135" s="2">
        <v>8.1999999999999993</v>
      </c>
      <c r="J135" s="2">
        <v>8.1999999999999993</v>
      </c>
      <c r="K135" s="2">
        <v>24.7222222222222</v>
      </c>
      <c r="L135" s="2"/>
      <c r="M135" s="2">
        <v>4.4169287134002202</v>
      </c>
      <c r="N135" s="2">
        <v>107.166666666666</v>
      </c>
      <c r="O135" s="2">
        <v>8.6216781042518402</v>
      </c>
      <c r="P135" s="2">
        <v>21.1111111111111</v>
      </c>
      <c r="Q135" s="2">
        <v>3.9098640688695299</v>
      </c>
      <c r="R135" s="2">
        <v>1.44444444444444</v>
      </c>
      <c r="S135" s="2">
        <v>0.50917507721731503</v>
      </c>
      <c r="T135" s="2">
        <v>2.7777777777777701</v>
      </c>
      <c r="U135" s="2">
        <v>0.58531409738070805</v>
      </c>
      <c r="V135" s="2">
        <v>0.38888888888888801</v>
      </c>
      <c r="W135" s="2">
        <v>9.6225044864937506E-2</v>
      </c>
      <c r="X135" s="2">
        <v>2.05555555555555</v>
      </c>
      <c r="Y135" s="2">
        <v>0.19245008972987701</v>
      </c>
      <c r="Z135" s="7">
        <v>74.644480990616202</v>
      </c>
      <c r="AA135" s="2">
        <v>6.0052319193782804</v>
      </c>
      <c r="AB135" s="7">
        <v>69.53125</v>
      </c>
      <c r="AC135" s="2">
        <v>12.422612006438101</v>
      </c>
      <c r="AD135" s="2">
        <v>56.818181818181799</v>
      </c>
      <c r="AE135" s="2">
        <v>11.972333810059901</v>
      </c>
      <c r="AF135" s="2">
        <v>125.827814569536</v>
      </c>
      <c r="AG135" s="2">
        <v>23.3038255760436</v>
      </c>
      <c r="AH135" s="2">
        <v>61.904761904761898</v>
      </c>
      <c r="AI135" s="2">
        <v>21.821789023599202</v>
      </c>
      <c r="AJ135" s="2">
        <v>63.636363636363598</v>
      </c>
      <c r="AK135" s="2">
        <v>15.7459164324443</v>
      </c>
      <c r="AL135" s="2">
        <v>91.358024691357997</v>
      </c>
      <c r="AM135" s="2">
        <v>8.5533373213279091</v>
      </c>
      <c r="AN135"/>
      <c r="AO135"/>
    </row>
    <row r="136" spans="1:41" ht="15.75" hidden="1" customHeight="1" x14ac:dyDescent="0.45">
      <c r="A136" s="2" t="s">
        <v>115</v>
      </c>
      <c r="B136" s="2" t="s">
        <v>116</v>
      </c>
      <c r="C136" s="2">
        <v>3</v>
      </c>
      <c r="D136" s="2"/>
      <c r="E136" s="2" t="s">
        <v>109</v>
      </c>
      <c r="F136" s="2" t="s">
        <v>84</v>
      </c>
      <c r="H136" s="2">
        <v>8.1999999999999993</v>
      </c>
      <c r="J136" s="2">
        <v>8.1999999999999993</v>
      </c>
      <c r="K136" s="2">
        <v>20.5</v>
      </c>
      <c r="L136" s="2"/>
      <c r="M136" s="2">
        <v>2.5</v>
      </c>
      <c r="N136" s="2">
        <v>89.4444444444444</v>
      </c>
      <c r="O136" s="2">
        <v>10.116451581092701</v>
      </c>
      <c r="P136" s="2">
        <v>20.2222222222222</v>
      </c>
      <c r="Q136" s="2">
        <v>1.5485955405295899</v>
      </c>
      <c r="R136" s="2">
        <v>1.05555555555555</v>
      </c>
      <c r="S136" s="2">
        <v>0.25458753860865702</v>
      </c>
      <c r="T136" s="2">
        <v>3.05555555555555</v>
      </c>
      <c r="U136" s="2">
        <v>0.69388866648870795</v>
      </c>
      <c r="V136" s="2">
        <v>0.27777777777777701</v>
      </c>
      <c r="W136" s="2">
        <v>9.62250448649377E-2</v>
      </c>
      <c r="X136" s="2">
        <v>1.94444444444444</v>
      </c>
      <c r="Y136" s="2">
        <v>0.85526690657448001</v>
      </c>
      <c r="Z136" s="7">
        <v>62.3004740253458</v>
      </c>
      <c r="AA136" s="2">
        <v>7.0463820628680898</v>
      </c>
      <c r="AB136" s="7">
        <v>57.65625</v>
      </c>
      <c r="AC136" s="2">
        <v>7.03125</v>
      </c>
      <c r="AD136" s="2">
        <v>62.5</v>
      </c>
      <c r="AE136" s="2">
        <v>14.193177269087199</v>
      </c>
      <c r="AF136" s="2">
        <v>120.529801324503</v>
      </c>
      <c r="AG136" s="2">
        <v>9.2300396455406393</v>
      </c>
      <c r="AH136" s="2">
        <v>45.238095238095198</v>
      </c>
      <c r="AI136" s="2">
        <v>10.910894511799601</v>
      </c>
      <c r="AJ136" s="2">
        <v>45.454545454545404</v>
      </c>
      <c r="AK136" s="2">
        <v>15.7459164324443</v>
      </c>
      <c r="AL136" s="2">
        <v>86.419753086419703</v>
      </c>
      <c r="AM136" s="2">
        <v>38.011862514421303</v>
      </c>
      <c r="AN136"/>
      <c r="AO136"/>
    </row>
    <row r="137" spans="1:41" ht="15.75" hidden="1" customHeight="1" x14ac:dyDescent="0.45">
      <c r="A137" s="2" t="s">
        <v>115</v>
      </c>
      <c r="B137" s="2" t="s">
        <v>116</v>
      </c>
      <c r="C137" s="2">
        <v>10</v>
      </c>
      <c r="D137" s="2"/>
      <c r="E137" s="2" t="s">
        <v>109</v>
      </c>
      <c r="F137" s="2" t="s">
        <v>84</v>
      </c>
      <c r="H137" s="2">
        <v>8.1999999999999993</v>
      </c>
      <c r="J137" s="2">
        <v>8.1999999999999993</v>
      </c>
      <c r="K137" s="2">
        <v>13.5555555555555</v>
      </c>
      <c r="L137" s="2"/>
      <c r="M137" s="2">
        <v>2.3353166174426301</v>
      </c>
      <c r="N137" s="2">
        <v>49.8333333333333</v>
      </c>
      <c r="O137" s="2">
        <v>7.8598840817011197</v>
      </c>
      <c r="P137" s="2">
        <v>15.2777777777777</v>
      </c>
      <c r="Q137" s="2">
        <v>1.9883922409081201</v>
      </c>
      <c r="R137" s="2">
        <v>0.5</v>
      </c>
      <c r="S137" s="2">
        <v>0.44095855184409799</v>
      </c>
      <c r="T137" s="2">
        <v>6.2222222222222197</v>
      </c>
      <c r="U137" s="2">
        <v>2.2505143445032298</v>
      </c>
      <c r="V137" s="2">
        <v>0.11111111111111099</v>
      </c>
      <c r="W137" s="2">
        <v>0.19245008972987501</v>
      </c>
      <c r="X137" s="2">
        <v>4.7222222222222197</v>
      </c>
      <c r="Y137" s="2">
        <v>2.47393823091247</v>
      </c>
      <c r="Z137" s="7">
        <v>34.710264099835499</v>
      </c>
      <c r="AA137" s="2">
        <v>5.4746217846810499</v>
      </c>
      <c r="AB137" s="7">
        <v>38.125</v>
      </c>
      <c r="AC137" s="2">
        <v>6.5680779865573999</v>
      </c>
      <c r="AD137" s="2">
        <v>127.272727272727</v>
      </c>
      <c r="AE137" s="2">
        <v>46.033247955747903</v>
      </c>
      <c r="AF137" s="2">
        <v>91.059602649006607</v>
      </c>
      <c r="AG137" s="2">
        <v>11.851344482233801</v>
      </c>
      <c r="AH137" s="2">
        <v>21.428571428571399</v>
      </c>
      <c r="AI137" s="2">
        <v>18.898223650461301</v>
      </c>
      <c r="AJ137" s="2">
        <v>18.181818181818102</v>
      </c>
      <c r="AK137" s="2">
        <v>31.4918328648886</v>
      </c>
      <c r="AL137" s="2">
        <v>209.87654320987599</v>
      </c>
      <c r="AM137" s="2">
        <v>109.952810262776</v>
      </c>
      <c r="AN137"/>
      <c r="AO137"/>
    </row>
    <row r="138" spans="1:41" ht="15.75" hidden="1" customHeight="1" x14ac:dyDescent="0.45">
      <c r="A138" s="2" t="s">
        <v>115</v>
      </c>
      <c r="B138" s="2" t="s">
        <v>116</v>
      </c>
      <c r="C138" s="2">
        <v>3.0000000000000001E-3</v>
      </c>
      <c r="D138" s="2"/>
      <c r="E138" s="2" t="s">
        <v>109</v>
      </c>
      <c r="F138" s="2" t="s">
        <v>84</v>
      </c>
      <c r="H138" s="2">
        <v>1.5</v>
      </c>
      <c r="J138" s="2">
        <v>1.5</v>
      </c>
      <c r="K138" s="2">
        <v>34.2222222222222</v>
      </c>
      <c r="L138" s="2"/>
      <c r="M138" s="2">
        <v>1.35742130254101</v>
      </c>
      <c r="N138" s="2">
        <v>260.944444444444</v>
      </c>
      <c r="O138" s="2">
        <v>24.406473033314501</v>
      </c>
      <c r="P138" s="2">
        <v>12.8333333333333</v>
      </c>
      <c r="Q138" s="2">
        <v>2.0207259421636898</v>
      </c>
      <c r="R138" s="2">
        <v>2.55555555555555</v>
      </c>
      <c r="S138" s="2">
        <v>0.38490017945974903</v>
      </c>
      <c r="T138" s="2">
        <v>9</v>
      </c>
      <c r="U138" s="2">
        <v>1.85592145427667</v>
      </c>
      <c r="V138" s="2">
        <v>0.5</v>
      </c>
      <c r="W138" s="2">
        <v>0.16666666666666599</v>
      </c>
      <c r="X138" s="2">
        <v>3.8333333333333299</v>
      </c>
      <c r="Y138" s="2">
        <v>0.600925212577337</v>
      </c>
      <c r="Z138" s="7">
        <v>110.10959385805501</v>
      </c>
      <c r="AA138" s="2">
        <v>10.2986934208442</v>
      </c>
      <c r="AB138" s="7">
        <v>97.700237906423496</v>
      </c>
      <c r="AC138" s="2">
        <v>3.8752709668101999</v>
      </c>
      <c r="AD138" s="2">
        <v>112.891986062717</v>
      </c>
      <c r="AE138" s="2">
        <v>23.279850994411198</v>
      </c>
      <c r="AF138" s="2">
        <v>92.399999999999906</v>
      </c>
      <c r="AG138" s="2">
        <v>14.5492267835786</v>
      </c>
      <c r="AH138" s="2">
        <v>140.458015267175</v>
      </c>
      <c r="AI138" s="2">
        <v>21.154819023741901</v>
      </c>
      <c r="AJ138" s="2">
        <v>76.595744680850999</v>
      </c>
      <c r="AK138" s="2">
        <v>25.531914893617</v>
      </c>
      <c r="AL138" s="2">
        <v>100.363636363636</v>
      </c>
      <c r="AM138" s="2">
        <v>15.733314656570199</v>
      </c>
      <c r="AN138"/>
      <c r="AO138"/>
    </row>
    <row r="139" spans="1:41" ht="15.75" hidden="1" customHeight="1" x14ac:dyDescent="0.45">
      <c r="A139" s="2" t="s">
        <v>115</v>
      </c>
      <c r="B139" s="2" t="s">
        <v>116</v>
      </c>
      <c r="C139" s="2">
        <v>0.01</v>
      </c>
      <c r="D139" s="2"/>
      <c r="E139" s="2" t="s">
        <v>109</v>
      </c>
      <c r="F139" s="2" t="s">
        <v>84</v>
      </c>
      <c r="H139" s="2">
        <v>1.5</v>
      </c>
      <c r="J139" s="2">
        <v>1.5</v>
      </c>
      <c r="K139" s="2">
        <v>36.6666666666666</v>
      </c>
      <c r="L139" s="2"/>
      <c r="M139" s="2">
        <v>0.88191710368809595</v>
      </c>
      <c r="N139" s="2">
        <v>280.444444444444</v>
      </c>
      <c r="O139" s="2">
        <v>52.015044120088596</v>
      </c>
      <c r="P139" s="2">
        <v>13.999999999999901</v>
      </c>
      <c r="Q139" s="2">
        <v>2.0207259421636801</v>
      </c>
      <c r="R139" s="2">
        <v>2.1666666666666599</v>
      </c>
      <c r="S139" s="2">
        <v>0.28867513459481198</v>
      </c>
      <c r="T139" s="2">
        <v>7.8888888888888804</v>
      </c>
      <c r="U139" s="2">
        <v>2.1430335024428699</v>
      </c>
      <c r="V139" s="2">
        <v>0.61111111111111105</v>
      </c>
      <c r="W139" s="2">
        <v>0.19245008972987501</v>
      </c>
      <c r="X139" s="2">
        <v>3.5</v>
      </c>
      <c r="Y139" s="2">
        <v>0.600925212577334</v>
      </c>
      <c r="Z139" s="7">
        <v>118.33792416339401</v>
      </c>
      <c r="AA139" s="2">
        <v>21.948562249583201</v>
      </c>
      <c r="AB139" s="7">
        <v>104.67882632831</v>
      </c>
      <c r="AC139" s="2">
        <v>2.5177649272618101</v>
      </c>
      <c r="AD139" s="2">
        <v>98.9547038327526</v>
      </c>
      <c r="AE139" s="2">
        <v>26.881256476635301</v>
      </c>
      <c r="AF139" s="2">
        <v>100.799999999999</v>
      </c>
      <c r="AG139" s="2">
        <v>14.549226783578501</v>
      </c>
      <c r="AH139" s="2">
        <v>119.083969465648</v>
      </c>
      <c r="AI139" s="2">
        <v>15.866114267806401</v>
      </c>
      <c r="AJ139" s="2">
        <v>93.617021276595693</v>
      </c>
      <c r="AK139" s="2">
        <v>29.481715873512801</v>
      </c>
      <c r="AL139" s="2">
        <v>91.636363636363598</v>
      </c>
      <c r="AM139" s="2">
        <v>15.733314656570199</v>
      </c>
      <c r="AN139"/>
      <c r="AO139"/>
    </row>
    <row r="140" spans="1:41" ht="15.75" hidden="1" customHeight="1" x14ac:dyDescent="0.45">
      <c r="A140" s="2" t="s">
        <v>115</v>
      </c>
      <c r="B140" s="2" t="s">
        <v>116</v>
      </c>
      <c r="C140" s="2">
        <v>0.03</v>
      </c>
      <c r="D140" s="2"/>
      <c r="E140" s="2" t="s">
        <v>109</v>
      </c>
      <c r="F140" s="2" t="s">
        <v>84</v>
      </c>
      <c r="H140" s="2">
        <v>1.5</v>
      </c>
      <c r="J140" s="2">
        <v>1.5</v>
      </c>
      <c r="K140" s="2">
        <v>38.2777777777777</v>
      </c>
      <c r="L140" s="2"/>
      <c r="M140" s="2">
        <v>3.0837086858617302</v>
      </c>
      <c r="N140" s="2">
        <v>260.11111111111097</v>
      </c>
      <c r="O140" s="2">
        <v>31.641364160319299</v>
      </c>
      <c r="P140" s="2">
        <v>12.2777777777777</v>
      </c>
      <c r="Q140" s="2">
        <v>0.19245008972995101</v>
      </c>
      <c r="R140" s="2">
        <v>3</v>
      </c>
      <c r="S140" s="2">
        <v>0.76376261582597305</v>
      </c>
      <c r="T140" s="2">
        <v>8</v>
      </c>
      <c r="U140" s="2">
        <v>0.76376261582597904</v>
      </c>
      <c r="V140" s="2">
        <v>0.5</v>
      </c>
      <c r="W140" s="2">
        <v>0.33333333333333298</v>
      </c>
      <c r="X140" s="2">
        <v>3.3333333333333299</v>
      </c>
      <c r="Y140" s="2">
        <v>0.66666666666666796</v>
      </c>
      <c r="Z140" s="7">
        <v>109.757955810818</v>
      </c>
      <c r="AA140" s="2">
        <v>13.3515690062884</v>
      </c>
      <c r="AB140" s="7">
        <v>109.278350515463</v>
      </c>
      <c r="AC140" s="2">
        <v>8.8036092538479398</v>
      </c>
      <c r="AD140" s="2">
        <v>100.348432055749</v>
      </c>
      <c r="AE140" s="2">
        <v>9.5802976201168093</v>
      </c>
      <c r="AF140" s="2">
        <v>88.4</v>
      </c>
      <c r="AG140" s="2">
        <v>1.3856406460556501</v>
      </c>
      <c r="AH140" s="2">
        <v>164.88549618320599</v>
      </c>
      <c r="AI140" s="2">
        <v>41.977792625549696</v>
      </c>
      <c r="AJ140" s="2">
        <v>76.595744680850999</v>
      </c>
      <c r="AK140" s="2">
        <v>51.063829787233999</v>
      </c>
      <c r="AL140" s="2">
        <v>87.272727272727195</v>
      </c>
      <c r="AM140" s="2">
        <v>17.4545454545454</v>
      </c>
      <c r="AN140"/>
      <c r="AO140"/>
    </row>
    <row r="141" spans="1:41" ht="15.75" hidden="1" customHeight="1" x14ac:dyDescent="0.45">
      <c r="A141" s="2" t="s">
        <v>115</v>
      </c>
      <c r="B141" s="2" t="s">
        <v>116</v>
      </c>
      <c r="C141" s="2">
        <v>0.1</v>
      </c>
      <c r="D141" s="2"/>
      <c r="E141" s="2" t="s">
        <v>109</v>
      </c>
      <c r="F141" s="2" t="s">
        <v>84</v>
      </c>
      <c r="H141" s="2">
        <v>1.5</v>
      </c>
      <c r="J141" s="2">
        <v>1.5</v>
      </c>
      <c r="K141" s="2">
        <v>34.7222222222222</v>
      </c>
      <c r="L141" s="2"/>
      <c r="M141" s="2">
        <v>2.2381374531648199</v>
      </c>
      <c r="N141" s="2">
        <v>277.55555555555497</v>
      </c>
      <c r="O141" s="2">
        <v>11.7441868993107</v>
      </c>
      <c r="P141" s="2">
        <v>11.8888888888888</v>
      </c>
      <c r="Q141" s="2">
        <v>1.9317042945237399</v>
      </c>
      <c r="R141" s="2">
        <v>2.05555555555555</v>
      </c>
      <c r="S141" s="2">
        <v>9.6225044864943599E-2</v>
      </c>
      <c r="T141" s="2">
        <v>6.8888888888888804</v>
      </c>
      <c r="U141" s="2">
        <v>1.4174834246858901</v>
      </c>
      <c r="V141" s="2">
        <v>0.66666666666666596</v>
      </c>
      <c r="W141" s="2">
        <v>1.05367121277235E-8</v>
      </c>
      <c r="X141" s="2">
        <v>3.4444444444444402</v>
      </c>
      <c r="Y141" s="2">
        <v>0.25458753860866101</v>
      </c>
      <c r="Z141" s="7">
        <v>117.11891226630701</v>
      </c>
      <c r="AA141" s="2">
        <v>4.9556435371878997</v>
      </c>
      <c r="AB141" s="7">
        <v>99.127676447264093</v>
      </c>
      <c r="AC141" s="2">
        <v>6.3896073206925896</v>
      </c>
      <c r="AD141" s="2">
        <v>86.411149825783895</v>
      </c>
      <c r="AE141" s="2">
        <v>17.780279891530402</v>
      </c>
      <c r="AF141" s="2">
        <v>85.6</v>
      </c>
      <c r="AG141" s="2">
        <v>13.908270920570899</v>
      </c>
      <c r="AH141" s="2">
        <v>112.977099236641</v>
      </c>
      <c r="AI141" s="2">
        <v>5.2887047559358296</v>
      </c>
      <c r="AJ141" s="2">
        <v>102.127659574468</v>
      </c>
      <c r="AK141" s="2">
        <v>1.61413462382147E-6</v>
      </c>
      <c r="AL141" s="2">
        <v>90.181818181818102</v>
      </c>
      <c r="AM141" s="2">
        <v>6.6655646472085897</v>
      </c>
      <c r="AN141"/>
      <c r="AO141"/>
    </row>
    <row r="142" spans="1:41" ht="15.75" hidden="1" customHeight="1" x14ac:dyDescent="0.45">
      <c r="A142" s="2" t="s">
        <v>115</v>
      </c>
      <c r="B142" s="2" t="s">
        <v>116</v>
      </c>
      <c r="C142" s="2">
        <v>0.3</v>
      </c>
      <c r="D142" s="2"/>
      <c r="E142" s="2" t="s">
        <v>109</v>
      </c>
      <c r="F142" s="2" t="s">
        <v>84</v>
      </c>
      <c r="H142" s="2">
        <v>1.5</v>
      </c>
      <c r="J142" s="2">
        <v>1.5</v>
      </c>
      <c r="K142" s="2">
        <v>33.1111111111111</v>
      </c>
      <c r="L142" s="2"/>
      <c r="M142" s="2">
        <v>2.0838888148345598</v>
      </c>
      <c r="N142" s="2">
        <v>218.111111111111</v>
      </c>
      <c r="O142" s="2">
        <v>39.575993471538403</v>
      </c>
      <c r="P142" s="2">
        <v>12.5555555555555</v>
      </c>
      <c r="Q142" s="2">
        <v>1.0183501544346301</v>
      </c>
      <c r="R142" s="2">
        <v>2</v>
      </c>
      <c r="S142" s="2">
        <v>0.33333333333333498</v>
      </c>
      <c r="T142" s="2">
        <v>8</v>
      </c>
      <c r="U142" s="2">
        <v>1.5275252316519401</v>
      </c>
      <c r="V142" s="2">
        <v>0.5</v>
      </c>
      <c r="W142" s="2">
        <v>0.16666666666666599</v>
      </c>
      <c r="X142" s="2">
        <v>3.38888888888888</v>
      </c>
      <c r="Y142" s="2">
        <v>0.63098981620003003</v>
      </c>
      <c r="Z142" s="7">
        <v>92.035398230088504</v>
      </c>
      <c r="AA142" s="2">
        <v>16.6997100741415</v>
      </c>
      <c r="AB142" s="7">
        <v>94.528152260111</v>
      </c>
      <c r="AC142" s="2">
        <v>5.9492464182430096</v>
      </c>
      <c r="AD142" s="2">
        <v>100.348432055749</v>
      </c>
      <c r="AE142" s="2">
        <v>19.160595240233501</v>
      </c>
      <c r="AF142" s="2">
        <v>90.399999999999906</v>
      </c>
      <c r="AG142" s="2">
        <v>7.3321211119293404</v>
      </c>
      <c r="AH142" s="2">
        <v>109.923664122137</v>
      </c>
      <c r="AI142" s="2">
        <v>18.320610687022999</v>
      </c>
      <c r="AJ142" s="2">
        <v>76.595744680850999</v>
      </c>
      <c r="AK142" s="2">
        <v>25.5319148936169</v>
      </c>
      <c r="AL142" s="2">
        <v>88.727272727272705</v>
      </c>
      <c r="AM142" s="2">
        <v>16.520460642328</v>
      </c>
      <c r="AN142"/>
      <c r="AO142"/>
    </row>
    <row r="143" spans="1:41" ht="15.75" hidden="1" customHeight="1" x14ac:dyDescent="0.45">
      <c r="A143" s="2" t="s">
        <v>115</v>
      </c>
      <c r="B143" s="2" t="s">
        <v>116</v>
      </c>
      <c r="C143" s="2">
        <v>1</v>
      </c>
      <c r="D143" s="2"/>
      <c r="E143" s="2" t="s">
        <v>109</v>
      </c>
      <c r="F143" s="2" t="s">
        <v>84</v>
      </c>
      <c r="H143" s="2">
        <v>1.5</v>
      </c>
      <c r="J143" s="2">
        <v>1.5</v>
      </c>
      <c r="K143" s="2">
        <v>29.1666666666666</v>
      </c>
      <c r="L143" s="2"/>
      <c r="M143" s="2">
        <v>2.1278575558006199</v>
      </c>
      <c r="N143" s="2">
        <v>187.888888888888</v>
      </c>
      <c r="O143" s="2">
        <v>1.3574213025406801</v>
      </c>
      <c r="P143" s="2">
        <v>15.5555555555555</v>
      </c>
      <c r="Q143" s="2">
        <v>1.1824331474329299</v>
      </c>
      <c r="R143" s="2">
        <v>2.05555555555555</v>
      </c>
      <c r="S143" s="2">
        <v>0.82214714371937403</v>
      </c>
      <c r="T143" s="2">
        <v>9.05555555555555</v>
      </c>
      <c r="U143" s="2">
        <v>3.53684312053266</v>
      </c>
      <c r="V143" s="2">
        <v>0.72222222222222199</v>
      </c>
      <c r="W143" s="2">
        <v>0.19245008972987501</v>
      </c>
      <c r="X143" s="2">
        <v>4.1666666666666599</v>
      </c>
      <c r="Y143" s="2">
        <v>0.166666666666658</v>
      </c>
      <c r="Z143" s="7">
        <v>79.282658383637099</v>
      </c>
      <c r="AA143" s="2">
        <v>0.57278517132350204</v>
      </c>
      <c r="AB143" s="7">
        <v>83.267248215701798</v>
      </c>
      <c r="AC143" s="2">
        <v>6.0747717691374001</v>
      </c>
      <c r="AD143" s="2">
        <v>113.58885017421601</v>
      </c>
      <c r="AE143" s="2">
        <v>44.364582696577003</v>
      </c>
      <c r="AF143" s="2">
        <v>112</v>
      </c>
      <c r="AG143" s="2">
        <v>8.5135186615171108</v>
      </c>
      <c r="AH143" s="2">
        <v>112.977099236641</v>
      </c>
      <c r="AI143" s="2">
        <v>45.186713242591601</v>
      </c>
      <c r="AJ143" s="2">
        <v>110.63829787234</v>
      </c>
      <c r="AK143" s="2">
        <v>29.481715873512702</v>
      </c>
      <c r="AL143" s="2">
        <v>109.09090909090899</v>
      </c>
      <c r="AM143" s="2">
        <v>4.3636363636361404</v>
      </c>
      <c r="AN143"/>
      <c r="AO143"/>
    </row>
    <row r="144" spans="1:41" ht="15.75" hidden="1" customHeight="1" x14ac:dyDescent="0.45">
      <c r="A144" s="2" t="s">
        <v>115</v>
      </c>
      <c r="B144" s="2" t="s">
        <v>116</v>
      </c>
      <c r="C144" s="2">
        <v>3</v>
      </c>
      <c r="D144" s="2"/>
      <c r="E144" s="2" t="s">
        <v>109</v>
      </c>
      <c r="F144" s="2" t="s">
        <v>84</v>
      </c>
      <c r="H144" s="2">
        <v>1.5</v>
      </c>
      <c r="J144" s="2">
        <v>1.5</v>
      </c>
      <c r="K144" s="2">
        <v>25.1666666666666</v>
      </c>
      <c r="L144" s="2"/>
      <c r="M144" s="2">
        <v>1.92209376577852</v>
      </c>
      <c r="N144" s="2">
        <v>121.277777777777</v>
      </c>
      <c r="O144" s="2">
        <v>20.6594969642248</v>
      </c>
      <c r="P144" s="2">
        <v>14.1111111111111</v>
      </c>
      <c r="Q144" s="2">
        <v>2.0092379244472101</v>
      </c>
      <c r="R144" s="2">
        <v>1.2222222222222201</v>
      </c>
      <c r="S144" s="2">
        <v>0.34694433324435398</v>
      </c>
      <c r="T144" s="2">
        <v>6.5</v>
      </c>
      <c r="U144" s="2">
        <v>2.42097317438899</v>
      </c>
      <c r="V144" s="2">
        <v>0.55555555555555503</v>
      </c>
      <c r="W144" s="2">
        <v>0.19245008972987501</v>
      </c>
      <c r="X144" s="2">
        <v>3.55555555555555</v>
      </c>
      <c r="Y144" s="2">
        <v>0.48112522432468702</v>
      </c>
      <c r="Z144" s="7">
        <v>51.175057141182599</v>
      </c>
      <c r="AA144" s="2">
        <v>8.7175982032713595</v>
      </c>
      <c r="AB144" s="7">
        <v>71.847739888977003</v>
      </c>
      <c r="AC144" s="2">
        <v>5.4873414407634398</v>
      </c>
      <c r="AD144" s="2">
        <v>81.533101045296107</v>
      </c>
      <c r="AE144" s="2">
        <v>30.3676077623706</v>
      </c>
      <c r="AF144" s="2">
        <v>101.6</v>
      </c>
      <c r="AG144" s="2">
        <v>14.466513056019901</v>
      </c>
      <c r="AH144" s="2">
        <v>67.175572519084</v>
      </c>
      <c r="AI144" s="2">
        <v>19.068696178315601</v>
      </c>
      <c r="AJ144" s="2">
        <v>85.106382978723303</v>
      </c>
      <c r="AK144" s="2">
        <v>29.481715873512702</v>
      </c>
      <c r="AL144" s="2">
        <v>93.090909090909093</v>
      </c>
      <c r="AM144" s="2">
        <v>12.596733145955399</v>
      </c>
      <c r="AN144"/>
      <c r="AO144"/>
    </row>
    <row r="145" spans="1:41" ht="15.75" hidden="1" customHeight="1" x14ac:dyDescent="0.45">
      <c r="A145" s="2" t="s">
        <v>115</v>
      </c>
      <c r="B145" s="2" t="s">
        <v>116</v>
      </c>
      <c r="C145" s="2">
        <v>10</v>
      </c>
      <c r="D145" s="2"/>
      <c r="E145" s="2" t="s">
        <v>109</v>
      </c>
      <c r="F145" s="2" t="s">
        <v>84</v>
      </c>
      <c r="H145" s="2">
        <v>1.5</v>
      </c>
      <c r="J145" s="2">
        <v>1.5</v>
      </c>
      <c r="K145" s="2">
        <v>19.6111111111111</v>
      </c>
      <c r="L145" s="2"/>
      <c r="M145" s="2">
        <v>1.1706281947614401</v>
      </c>
      <c r="N145" s="2">
        <v>75.5555555555555</v>
      </c>
      <c r="O145" s="2">
        <v>11.402160289140699</v>
      </c>
      <c r="P145" s="2">
        <v>12.2222222222222</v>
      </c>
      <c r="Q145" s="2">
        <v>3.42512503151073</v>
      </c>
      <c r="R145" s="2">
        <v>1.5</v>
      </c>
      <c r="S145" s="2">
        <v>1.32287565553229</v>
      </c>
      <c r="T145" s="2">
        <v>13</v>
      </c>
      <c r="U145" s="2">
        <v>4.6188021535170103</v>
      </c>
      <c r="V145" s="2">
        <v>1</v>
      </c>
      <c r="W145" s="2">
        <v>0.33333333333333198</v>
      </c>
      <c r="X145" s="2">
        <v>4.55555555555555</v>
      </c>
      <c r="Y145" s="2">
        <v>1.3471506281091199</v>
      </c>
      <c r="Z145" s="7">
        <v>31.881849616128399</v>
      </c>
      <c r="AA145" s="2">
        <v>4.8113200540241197</v>
      </c>
      <c r="AB145" s="7">
        <v>55.987311657414701</v>
      </c>
      <c r="AC145" s="2">
        <v>3.3419996043942901</v>
      </c>
      <c r="AD145" s="2">
        <v>163.06620209059199</v>
      </c>
      <c r="AE145" s="2">
        <v>57.936194260143601</v>
      </c>
      <c r="AF145" s="2">
        <v>87.999999999999901</v>
      </c>
      <c r="AG145" s="2">
        <v>24.660900226877299</v>
      </c>
      <c r="AH145" s="2">
        <v>82.442748091602994</v>
      </c>
      <c r="AI145" s="2">
        <v>72.7076696170422</v>
      </c>
      <c r="AJ145" s="2">
        <v>153.191489361702</v>
      </c>
      <c r="AK145" s="2">
        <v>51.0638297872339</v>
      </c>
      <c r="AL145" s="2">
        <v>119.272727272727</v>
      </c>
      <c r="AM145" s="2">
        <v>35.270852808675301</v>
      </c>
      <c r="AN145"/>
      <c r="AO145"/>
    </row>
    <row r="146" spans="1:41" ht="15.75" hidden="1" customHeight="1" x14ac:dyDescent="0.45">
      <c r="A146" s="2" t="s">
        <v>117</v>
      </c>
      <c r="B146" s="2" t="s">
        <v>96</v>
      </c>
      <c r="C146" s="2">
        <v>3.0000000000000001E-3</v>
      </c>
      <c r="D146" s="2"/>
      <c r="E146" s="2" t="s">
        <v>83</v>
      </c>
      <c r="F146" s="2" t="s">
        <v>84</v>
      </c>
      <c r="H146" s="2">
        <v>0.1</v>
      </c>
      <c r="J146" s="2">
        <v>0.10726068599999999</v>
      </c>
      <c r="K146" s="2">
        <v>41.699652460000003</v>
      </c>
      <c r="L146" s="2"/>
      <c r="M146" s="2">
        <v>1.0602393767202001</v>
      </c>
      <c r="N146" s="2">
        <v>312</v>
      </c>
      <c r="O146" s="2">
        <v>13.454656360447199</v>
      </c>
      <c r="P146" s="2">
        <v>32.674875654444399</v>
      </c>
      <c r="Q146" s="2">
        <v>0.81529109257726295</v>
      </c>
      <c r="R146" s="2">
        <v>3.8740118401111099</v>
      </c>
      <c r="S146" s="2">
        <v>0.69150197823546899</v>
      </c>
      <c r="T146" s="2">
        <v>5.3052267176111103</v>
      </c>
      <c r="U146" s="2">
        <v>1.1672735542160899</v>
      </c>
      <c r="V146" s="2">
        <v>0.60320627544444405</v>
      </c>
      <c r="W146" s="2">
        <v>0.42640123277382302</v>
      </c>
      <c r="X146" s="2">
        <v>3.1189914863888801</v>
      </c>
      <c r="Y146" s="2">
        <v>0.26040465272949798</v>
      </c>
      <c r="Z146" s="7">
        <v>111.87250996015899</v>
      </c>
      <c r="AA146" s="2">
        <v>4.8243787746623497</v>
      </c>
      <c r="AB146" s="7">
        <v>104.45747819838</v>
      </c>
      <c r="AC146" s="2">
        <v>2.6558957939769701</v>
      </c>
      <c r="AD146" s="2">
        <v>119.82683739421699</v>
      </c>
      <c r="AE146" s="2">
        <v>26.364697650207901</v>
      </c>
      <c r="AF146" s="2">
        <v>96.625673723152303</v>
      </c>
      <c r="AG146" s="2">
        <v>2.41096712758408</v>
      </c>
      <c r="AH146" s="2">
        <v>103.713375871455</v>
      </c>
      <c r="AI146" s="2">
        <v>18.512593028764002</v>
      </c>
      <c r="AJ146" s="2">
        <v>128.26024234618501</v>
      </c>
      <c r="AK146" s="2">
        <v>90.666041914081603</v>
      </c>
      <c r="AL146" s="2">
        <v>92.635379549020996</v>
      </c>
      <c r="AM146" s="2">
        <v>7.7341294284380702</v>
      </c>
      <c r="AN146"/>
      <c r="AO146"/>
    </row>
    <row r="147" spans="1:41" ht="15.75" hidden="1" customHeight="1" x14ac:dyDescent="0.45">
      <c r="A147" s="2" t="s">
        <v>117</v>
      </c>
      <c r="B147" s="2" t="s">
        <v>96</v>
      </c>
      <c r="C147" s="2">
        <v>0.01</v>
      </c>
      <c r="D147" s="2"/>
      <c r="E147" s="2" t="s">
        <v>83</v>
      </c>
      <c r="F147" s="2" t="s">
        <v>84</v>
      </c>
      <c r="H147" s="2">
        <v>0.1</v>
      </c>
      <c r="J147" s="2">
        <v>0.10726068599999999</v>
      </c>
      <c r="K147" s="2">
        <v>39.287765604999997</v>
      </c>
      <c r="L147" s="2"/>
      <c r="M147" s="2">
        <v>2.6407181132377899</v>
      </c>
      <c r="N147" s="2">
        <v>260.5</v>
      </c>
      <c r="O147" s="2">
        <v>28.618176042508299</v>
      </c>
      <c r="P147" s="2">
        <v>33.174334086666597</v>
      </c>
      <c r="Q147" s="2">
        <v>2.93795442273339</v>
      </c>
      <c r="R147" s="2">
        <v>3.4850766126666599</v>
      </c>
      <c r="S147" s="2">
        <v>0.63358705168149698</v>
      </c>
      <c r="T147" s="2">
        <v>4.0002961132777699</v>
      </c>
      <c r="U147" s="2">
        <v>2.3257703251796502</v>
      </c>
      <c r="V147" s="2">
        <v>0.41063800049999999</v>
      </c>
      <c r="W147" s="2">
        <v>0.20931005805778599</v>
      </c>
      <c r="X147" s="2">
        <v>3.8924386503888799</v>
      </c>
      <c r="Y147" s="2">
        <v>0.43985411169350602</v>
      </c>
      <c r="Z147" s="7">
        <v>93.406374501992005</v>
      </c>
      <c r="AA147" s="2">
        <v>10.261497385759901</v>
      </c>
      <c r="AB147" s="7">
        <v>98.415710372742694</v>
      </c>
      <c r="AC147" s="2">
        <v>6.6149892977215003</v>
      </c>
      <c r="AD147" s="2">
        <v>90.352940111539198</v>
      </c>
      <c r="AE147" s="2">
        <v>52.531157932697901</v>
      </c>
      <c r="AF147" s="2">
        <v>98.102665036617793</v>
      </c>
      <c r="AG147" s="2">
        <v>8.6880766882402902</v>
      </c>
      <c r="AH147" s="2">
        <v>93.300969534453003</v>
      </c>
      <c r="AI147" s="2">
        <v>16.9621195676174</v>
      </c>
      <c r="AJ147" s="2">
        <v>87.314292978594807</v>
      </c>
      <c r="AK147" s="2">
        <v>44.505768366228402</v>
      </c>
      <c r="AL147" s="2">
        <v>115.607090729036</v>
      </c>
      <c r="AM147" s="2">
        <v>13.063855018758099</v>
      </c>
      <c r="AN147"/>
      <c r="AO147"/>
    </row>
    <row r="148" spans="1:41" ht="15.75" hidden="1" customHeight="1" x14ac:dyDescent="0.45">
      <c r="A148" s="2" t="s">
        <v>117</v>
      </c>
      <c r="B148" s="2" t="s">
        <v>96</v>
      </c>
      <c r="C148" s="2">
        <v>0.03</v>
      </c>
      <c r="D148" s="2"/>
      <c r="E148" s="2" t="s">
        <v>83</v>
      </c>
      <c r="F148" s="2" t="s">
        <v>84</v>
      </c>
      <c r="H148" s="2">
        <v>0.1</v>
      </c>
      <c r="J148" s="2">
        <v>0.10726068599999999</v>
      </c>
      <c r="K148" s="2">
        <v>40.495926036111101</v>
      </c>
      <c r="L148" s="2"/>
      <c r="M148" s="2">
        <v>1.88293326136977</v>
      </c>
      <c r="N148" s="2">
        <v>265.33333333333297</v>
      </c>
      <c r="O148" s="2">
        <v>29.8459005187947</v>
      </c>
      <c r="P148" s="2">
        <v>34.908207883333297</v>
      </c>
      <c r="Q148" s="2">
        <v>1.9209749920916801</v>
      </c>
      <c r="R148" s="2">
        <v>2.82631225311111</v>
      </c>
      <c r="S148" s="2">
        <v>0.37058341084570301</v>
      </c>
      <c r="T148" s="2">
        <v>5.0354572076666599</v>
      </c>
      <c r="U148" s="2">
        <v>2.48665378121833</v>
      </c>
      <c r="V148" s="2">
        <v>0.27019239916666599</v>
      </c>
      <c r="W148" s="2">
        <v>0.13253541642601099</v>
      </c>
      <c r="X148" s="2">
        <v>3.0644017873333298</v>
      </c>
      <c r="Y148" s="2">
        <v>0.267886458606439</v>
      </c>
      <c r="Z148" s="7">
        <v>95.139442231075705</v>
      </c>
      <c r="AA148" s="2">
        <v>10.701717317496099</v>
      </c>
      <c r="AB148" s="7">
        <v>101.442147871568</v>
      </c>
      <c r="AC148" s="2">
        <v>4.7167409917195098</v>
      </c>
      <c r="AD148" s="2">
        <v>113.733671367075</v>
      </c>
      <c r="AE148" s="2">
        <v>56.164962245371498</v>
      </c>
      <c r="AF148" s="2">
        <v>103.23005176413299</v>
      </c>
      <c r="AG148" s="2">
        <v>5.6806796995702999</v>
      </c>
      <c r="AH148" s="2">
        <v>75.664813928035301</v>
      </c>
      <c r="AI148" s="2">
        <v>9.9210994098727792</v>
      </c>
      <c r="AJ148" s="2">
        <v>57.451230214208501</v>
      </c>
      <c r="AK148" s="2">
        <v>28.181113695688801</v>
      </c>
      <c r="AL148" s="2">
        <v>91.014042166874702</v>
      </c>
      <c r="AM148" s="2">
        <v>7.9563422591389701</v>
      </c>
      <c r="AN148"/>
      <c r="AO148"/>
    </row>
    <row r="149" spans="1:41" ht="15.75" hidden="1" customHeight="1" x14ac:dyDescent="0.45">
      <c r="A149" s="2" t="s">
        <v>117</v>
      </c>
      <c r="B149" s="2" t="s">
        <v>96</v>
      </c>
      <c r="C149" s="2">
        <v>0.1</v>
      </c>
      <c r="D149" s="2"/>
      <c r="E149" s="2" t="s">
        <v>83</v>
      </c>
      <c r="F149" s="2" t="s">
        <v>84</v>
      </c>
      <c r="H149" s="2">
        <v>0.1</v>
      </c>
      <c r="J149" s="2">
        <v>0.10726068599999999</v>
      </c>
      <c r="K149" s="2">
        <v>27.809767579444401</v>
      </c>
      <c r="L149" s="2"/>
      <c r="M149" s="2">
        <v>1.1639181606631599</v>
      </c>
      <c r="N149" s="2">
        <v>143.333333333333</v>
      </c>
      <c r="O149" s="2">
        <v>9.0936485771356708</v>
      </c>
      <c r="P149" s="2">
        <v>49.172555416111102</v>
      </c>
      <c r="Q149" s="2">
        <v>2.5831687094039899</v>
      </c>
      <c r="R149" s="2">
        <v>2.10914062527777</v>
      </c>
      <c r="S149" s="2">
        <v>1.1915486622914799</v>
      </c>
      <c r="T149" s="2">
        <v>5.9742777575555497</v>
      </c>
      <c r="U149" s="2">
        <v>0.26687142834440503</v>
      </c>
      <c r="V149" s="2">
        <v>0.80929401666666601</v>
      </c>
      <c r="W149" s="2">
        <v>0.63569690972113102</v>
      </c>
      <c r="X149" s="2">
        <v>4.6301008085555502</v>
      </c>
      <c r="Y149" s="2">
        <v>0.414146478683241</v>
      </c>
      <c r="Z149" s="7">
        <v>51.394422310756902</v>
      </c>
      <c r="AA149" s="2">
        <v>3.2606708045506401</v>
      </c>
      <c r="AB149" s="7">
        <v>69.663366940968899</v>
      </c>
      <c r="AC149" s="2">
        <v>2.9156107717875299</v>
      </c>
      <c r="AD149" s="2">
        <v>134.93840084648599</v>
      </c>
      <c r="AE149" s="2">
        <v>6.0277083245533696</v>
      </c>
      <c r="AF149" s="2">
        <v>145.412375735376</v>
      </c>
      <c r="AG149" s="2">
        <v>7.6389094644580799</v>
      </c>
      <c r="AH149" s="2">
        <v>56.465004099966002</v>
      </c>
      <c r="AI149" s="2">
        <v>31.8996274099724</v>
      </c>
      <c r="AJ149" s="2">
        <v>172.08084685542099</v>
      </c>
      <c r="AK149" s="2">
        <v>135.168752413059</v>
      </c>
      <c r="AL149" s="2">
        <v>137.51597194879099</v>
      </c>
      <c r="AM149" s="2">
        <v>12.3003273362988</v>
      </c>
      <c r="AN149"/>
      <c r="AO149"/>
    </row>
    <row r="150" spans="1:41" ht="15.75" hidden="1" customHeight="1" x14ac:dyDescent="0.45">
      <c r="A150" s="2" t="s">
        <v>117</v>
      </c>
      <c r="B150" s="2" t="s">
        <v>96</v>
      </c>
      <c r="C150" s="2">
        <v>0.3</v>
      </c>
      <c r="D150" s="2"/>
      <c r="E150" s="2" t="s">
        <v>83</v>
      </c>
      <c r="F150" s="2" t="s">
        <v>84</v>
      </c>
      <c r="H150" s="2">
        <v>0.1</v>
      </c>
      <c r="J150" s="2">
        <v>0.10726068599999999</v>
      </c>
      <c r="K150" s="2">
        <v>0</v>
      </c>
      <c r="L150" s="2"/>
      <c r="M150" s="2">
        <v>0</v>
      </c>
      <c r="N150" s="2">
        <v>37.7777777777777</v>
      </c>
      <c r="O150" s="2">
        <v>4.66170371017735</v>
      </c>
      <c r="P150" s="2">
        <v>38.957693176666602</v>
      </c>
      <c r="Q150" s="2">
        <v>4.5313626818878001</v>
      </c>
      <c r="R150" s="2">
        <v>3.90563006</v>
      </c>
      <c r="S150" s="2">
        <v>5.6279344310542596</v>
      </c>
      <c r="T150" s="2">
        <v>11.1837125172777</v>
      </c>
      <c r="U150" s="2">
        <v>4.6934766034284303</v>
      </c>
      <c r="V150" s="2">
        <v>0.86332948655555497</v>
      </c>
      <c r="W150" s="2">
        <v>0.88955829041108603</v>
      </c>
      <c r="X150" s="2">
        <v>6.9604817083888797</v>
      </c>
      <c r="Y150" s="2">
        <v>0.957021462891257</v>
      </c>
      <c r="Z150" s="7">
        <v>13.545816733067699</v>
      </c>
      <c r="AA150" s="2">
        <v>1.67152722675682</v>
      </c>
      <c r="AB150" s="7">
        <v>0</v>
      </c>
      <c r="AC150" s="2">
        <v>0</v>
      </c>
      <c r="AD150" s="2">
        <v>252.60162715062</v>
      </c>
      <c r="AE150" s="2">
        <v>106.00950491062601</v>
      </c>
      <c r="AF150" s="2">
        <v>115.20513160340801</v>
      </c>
      <c r="AG150" s="2">
        <v>13.40008074252</v>
      </c>
      <c r="AH150" s="2">
        <v>104.559845231659</v>
      </c>
      <c r="AI150" s="2">
        <v>150.66863580135399</v>
      </c>
      <c r="AJ150" s="2">
        <v>183.570452891321</v>
      </c>
      <c r="AK150" s="2">
        <v>189.14750484835201</v>
      </c>
      <c r="AL150" s="2">
        <v>206.729280190227</v>
      </c>
      <c r="AM150" s="2">
        <v>28.423946278267302</v>
      </c>
      <c r="AN150"/>
      <c r="AO150"/>
    </row>
    <row r="151" spans="1:41" ht="15.75" hidden="1" customHeight="1" x14ac:dyDescent="0.45">
      <c r="A151" s="2" t="s">
        <v>117</v>
      </c>
      <c r="B151" s="2" t="s">
        <v>96</v>
      </c>
      <c r="C151" s="2">
        <v>1</v>
      </c>
      <c r="D151" s="2"/>
      <c r="E151" s="2" t="s">
        <v>83</v>
      </c>
      <c r="F151" s="2" t="s">
        <v>84</v>
      </c>
      <c r="H151" s="2">
        <v>0.1</v>
      </c>
      <c r="J151" s="2">
        <v>0.10726068599999999</v>
      </c>
      <c r="K151" s="2">
        <v>0</v>
      </c>
      <c r="L151" s="2"/>
      <c r="M151" s="2">
        <v>0</v>
      </c>
      <c r="N151" s="2">
        <v>24.2777777777777</v>
      </c>
      <c r="O151" s="2">
        <v>8.8824629550675809</v>
      </c>
      <c r="P151" s="2">
        <v>24.494467583722201</v>
      </c>
      <c r="Q151" s="2">
        <v>8.7511722116998101</v>
      </c>
      <c r="R151" s="2">
        <v>23.0655107877222</v>
      </c>
      <c r="S151" s="2">
        <v>37.1639521645589</v>
      </c>
      <c r="T151" s="2">
        <v>17.421452202444399</v>
      </c>
      <c r="U151" s="2">
        <v>5.2143640355668301</v>
      </c>
      <c r="V151" s="2">
        <v>2.06590540605555</v>
      </c>
      <c r="W151" s="2">
        <v>2.3875799285805299</v>
      </c>
      <c r="X151" s="2">
        <v>7.5608389202777699</v>
      </c>
      <c r="Y151" s="2">
        <v>0.61471569431238304</v>
      </c>
      <c r="Z151" s="7">
        <v>8.7051792828685297</v>
      </c>
      <c r="AA151" s="2">
        <v>3.1849468763190498</v>
      </c>
      <c r="AB151" s="7">
        <v>0</v>
      </c>
      <c r="AC151" s="2">
        <v>0</v>
      </c>
      <c r="AD151" s="2">
        <v>393.490727418608</v>
      </c>
      <c r="AE151" s="2">
        <v>117.774561703457</v>
      </c>
      <c r="AF151" s="2">
        <v>72.434688284579295</v>
      </c>
      <c r="AG151" s="2">
        <v>25.878840971436301</v>
      </c>
      <c r="AH151" s="2">
        <v>617.499917069312</v>
      </c>
      <c r="AI151" s="2">
        <v>994.93731531836204</v>
      </c>
      <c r="AJ151" s="2">
        <v>439.27515152216802</v>
      </c>
      <c r="AK151" s="2">
        <v>507.67306761687001</v>
      </c>
      <c r="AL151" s="2">
        <v>224.560145850174</v>
      </c>
      <c r="AM151" s="2">
        <v>18.257318721731</v>
      </c>
      <c r="AN151"/>
      <c r="AO151"/>
    </row>
    <row r="152" spans="1:41" ht="15.75" hidden="1" customHeight="1" x14ac:dyDescent="0.45">
      <c r="A152" s="2" t="s">
        <v>117</v>
      </c>
      <c r="B152" s="2" t="s">
        <v>96</v>
      </c>
      <c r="C152" s="2">
        <v>3</v>
      </c>
      <c r="D152" s="2"/>
      <c r="E152" s="2" t="s">
        <v>83</v>
      </c>
      <c r="F152" s="2" t="s">
        <v>84</v>
      </c>
      <c r="H152" s="2">
        <v>0.1</v>
      </c>
      <c r="J152" s="2">
        <v>0.10726068599999999</v>
      </c>
      <c r="K152" s="2">
        <v>0.27777777777777701</v>
      </c>
      <c r="L152" s="2"/>
      <c r="M152" s="2">
        <v>0.48112522432468802</v>
      </c>
      <c r="N152" s="2">
        <v>33.9444444444444</v>
      </c>
      <c r="O152" s="2">
        <v>22.0052603138768</v>
      </c>
      <c r="P152" s="2">
        <v>20.4939747295</v>
      </c>
      <c r="Q152" s="2">
        <v>4.6082176533596604</v>
      </c>
      <c r="R152" s="2">
        <v>30.852362402611099</v>
      </c>
      <c r="S152" s="2">
        <v>50.221091210235898</v>
      </c>
      <c r="T152" s="2">
        <v>19.1292073796666</v>
      </c>
      <c r="U152" s="2">
        <v>10.692491547143399</v>
      </c>
      <c r="V152" s="2">
        <v>0.86779448622222199</v>
      </c>
      <c r="W152" s="2">
        <v>0.46930828396430002</v>
      </c>
      <c r="X152" s="2">
        <v>9.0625316431666594</v>
      </c>
      <c r="Y152" s="2">
        <v>4.1627643994709702</v>
      </c>
      <c r="Z152" s="7">
        <v>12.1713147410358</v>
      </c>
      <c r="AA152" s="2">
        <v>7.8903323834618</v>
      </c>
      <c r="AB152" s="7">
        <v>0.69583232603797396</v>
      </c>
      <c r="AC152" s="2">
        <v>1.2052169422465999</v>
      </c>
      <c r="AD152" s="2">
        <v>432.063047287774</v>
      </c>
      <c r="AE152" s="2">
        <v>241.50663377031501</v>
      </c>
      <c r="AF152" s="2">
        <v>60.6044881836862</v>
      </c>
      <c r="AG152" s="2">
        <v>13.6273551620459</v>
      </c>
      <c r="AH152" s="2">
        <v>825.96615355016399</v>
      </c>
      <c r="AI152" s="2">
        <v>1344.4974162010899</v>
      </c>
      <c r="AJ152" s="2">
        <v>184.51984941227099</v>
      </c>
      <c r="AK152" s="2">
        <v>99.789403205367705</v>
      </c>
      <c r="AL152" s="2">
        <v>269.161061228714</v>
      </c>
      <c r="AM152" s="2">
        <v>123.635880957344</v>
      </c>
      <c r="AN152"/>
      <c r="AO152"/>
    </row>
    <row r="153" spans="1:41" ht="15.75" hidden="1" customHeight="1" x14ac:dyDescent="0.45">
      <c r="A153" s="2" t="s">
        <v>117</v>
      </c>
      <c r="B153" s="2" t="s">
        <v>96</v>
      </c>
      <c r="C153" s="2">
        <v>10</v>
      </c>
      <c r="D153" s="2"/>
      <c r="E153" s="2" t="s">
        <v>83</v>
      </c>
      <c r="F153" s="2" t="s">
        <v>84</v>
      </c>
      <c r="H153" s="2">
        <v>0.1</v>
      </c>
      <c r="J153" s="2">
        <v>0.10726068599999999</v>
      </c>
      <c r="K153" s="2">
        <v>0</v>
      </c>
      <c r="L153" s="2"/>
      <c r="M153" s="2">
        <v>0</v>
      </c>
      <c r="N153" s="2">
        <v>13.2222222222222</v>
      </c>
      <c r="O153" s="2">
        <v>2.69430125621823</v>
      </c>
      <c r="P153" s="2">
        <v>12.4432049440555</v>
      </c>
      <c r="Q153" s="2">
        <v>2.5127770124636499</v>
      </c>
      <c r="R153" s="2">
        <v>7.0755787425555496</v>
      </c>
      <c r="S153" s="2">
        <v>5.8016499293904804</v>
      </c>
      <c r="T153" s="2">
        <v>10.9417588584444</v>
      </c>
      <c r="U153" s="2">
        <v>3.8995242493875901</v>
      </c>
      <c r="V153" s="2">
        <v>0</v>
      </c>
      <c r="W153" s="2">
        <v>0</v>
      </c>
      <c r="X153" s="2">
        <v>8.3076799748333308</v>
      </c>
      <c r="Y153" s="2">
        <v>2.2161612156484201</v>
      </c>
      <c r="Z153" s="7">
        <v>4.7410358565737001</v>
      </c>
      <c r="AA153" s="2">
        <v>0.96608411577546405</v>
      </c>
      <c r="AB153" s="7">
        <v>0</v>
      </c>
      <c r="AC153" s="2">
        <v>0</v>
      </c>
      <c r="AD153" s="2">
        <v>247.136725596514</v>
      </c>
      <c r="AE153" s="2">
        <v>88.076850060910999</v>
      </c>
      <c r="AF153" s="2">
        <v>36.796867223306002</v>
      </c>
      <c r="AG153" s="2">
        <v>7.43074814769263</v>
      </c>
      <c r="AH153" s="2">
        <v>189.424345593558</v>
      </c>
      <c r="AI153" s="2">
        <v>155.31927227775799</v>
      </c>
      <c r="AJ153" s="2">
        <v>0</v>
      </c>
      <c r="AK153" s="2">
        <v>0</v>
      </c>
      <c r="AL153" s="2">
        <v>246.74164421381499</v>
      </c>
      <c r="AM153" s="2">
        <v>65.820934827589994</v>
      </c>
      <c r="AN153"/>
      <c r="AO153"/>
    </row>
    <row r="154" spans="1:41" ht="15.75" hidden="1" customHeight="1" x14ac:dyDescent="0.45">
      <c r="A154" s="2" t="s">
        <v>118</v>
      </c>
      <c r="B154" s="2" t="s">
        <v>96</v>
      </c>
      <c r="C154" s="2">
        <v>3.0000000000000001E-3</v>
      </c>
      <c r="D154" s="2"/>
      <c r="E154" s="2" t="s">
        <v>83</v>
      </c>
      <c r="F154" s="2" t="s">
        <v>84</v>
      </c>
      <c r="H154" s="2">
        <v>5.0000000000000001E-3</v>
      </c>
      <c r="J154" s="2">
        <v>5.0000000000000001E-3</v>
      </c>
      <c r="K154" s="2">
        <v>28.1207852433777</v>
      </c>
      <c r="L154" s="2"/>
      <c r="M154" s="2">
        <v>5.5883943980498296</v>
      </c>
      <c r="N154" s="2">
        <v>131.97777777777699</v>
      </c>
      <c r="O154" s="2">
        <v>38.451070398817201</v>
      </c>
      <c r="P154" s="2">
        <v>23.4486236546444</v>
      </c>
      <c r="Q154" s="2">
        <v>4.5567347148202098</v>
      </c>
      <c r="R154" s="2">
        <v>1.71975901717988</v>
      </c>
      <c r="S154" s="2">
        <v>0.691042641881359</v>
      </c>
      <c r="T154" s="2">
        <v>7.3940116087588796</v>
      </c>
      <c r="U154" s="2">
        <v>4.37117015533914</v>
      </c>
      <c r="V154" s="2">
        <v>0.90667935155599999</v>
      </c>
      <c r="W154" s="2">
        <v>0.27770516090889202</v>
      </c>
      <c r="X154" s="2">
        <v>5.8469347698144398</v>
      </c>
      <c r="Y154" s="2">
        <v>1.08118130670557</v>
      </c>
      <c r="Z154" s="7">
        <v>57.001456583312098</v>
      </c>
      <c r="AA154" s="2">
        <v>16.647520954674299</v>
      </c>
      <c r="AB154" s="7">
        <v>84.386977830387394</v>
      </c>
      <c r="AC154" s="2">
        <v>19.722592417080701</v>
      </c>
      <c r="AD154" s="2">
        <v>172.033755007883</v>
      </c>
      <c r="AE154" s="2">
        <v>117.86834775526999</v>
      </c>
      <c r="AF154" s="2">
        <v>153.29081562209899</v>
      </c>
      <c r="AG154" s="2">
        <v>29.767876296156999</v>
      </c>
      <c r="AH154" s="2">
        <v>110.799073854968</v>
      </c>
      <c r="AI154" s="2">
        <v>61.659001148213598</v>
      </c>
      <c r="AJ154" s="2">
        <v>131.37265988674901</v>
      </c>
      <c r="AK154" s="2">
        <v>74.355825928713998</v>
      </c>
      <c r="AL154" s="2">
        <v>188.813531207057</v>
      </c>
      <c r="AM154" s="2">
        <v>87.859510397046606</v>
      </c>
      <c r="AN154"/>
      <c r="AO154"/>
    </row>
    <row r="155" spans="1:41" ht="15.75" hidden="1" customHeight="1" x14ac:dyDescent="0.45">
      <c r="A155" s="2" t="s">
        <v>118</v>
      </c>
      <c r="B155" s="2" t="s">
        <v>96</v>
      </c>
      <c r="C155" s="2">
        <v>0.01</v>
      </c>
      <c r="D155" s="2"/>
      <c r="E155" s="2" t="s">
        <v>83</v>
      </c>
      <c r="F155" s="2" t="s">
        <v>84</v>
      </c>
      <c r="H155" s="2">
        <v>5.0000000000000001E-3</v>
      </c>
      <c r="J155" s="2">
        <v>5.0000000000000001E-3</v>
      </c>
      <c r="K155" s="2">
        <v>0</v>
      </c>
      <c r="L155" s="2"/>
      <c r="M155" s="2">
        <v>0</v>
      </c>
      <c r="N155" s="2">
        <v>34.9444444444444</v>
      </c>
      <c r="O155" s="2">
        <v>4.9925870974801798</v>
      </c>
      <c r="P155" s="2">
        <v>10.6814277384111</v>
      </c>
      <c r="Q155" s="2">
        <v>5.1358295945791701</v>
      </c>
      <c r="R155" s="2">
        <v>0.26455026455000002</v>
      </c>
      <c r="S155" s="2">
        <v>0.45821449935638697</v>
      </c>
      <c r="T155" s="2">
        <v>10.7289774979666</v>
      </c>
      <c r="U155" s="2">
        <v>1.2646402756645001</v>
      </c>
      <c r="V155" s="2">
        <v>0.728790709255555</v>
      </c>
      <c r="W155" s="2">
        <v>0.64873878201282498</v>
      </c>
      <c r="X155" s="2">
        <v>9.1992304074111093</v>
      </c>
      <c r="Y155" s="2">
        <v>0.66912819486967001</v>
      </c>
      <c r="Z155" s="7">
        <v>15.0710167104576</v>
      </c>
      <c r="AA155" s="2">
        <v>1.76869443833228</v>
      </c>
      <c r="AB155" s="7">
        <v>0</v>
      </c>
      <c r="AC155" s="2">
        <v>0</v>
      </c>
      <c r="AD155" s="2">
        <v>235.64307846016499</v>
      </c>
      <c r="AE155" s="2">
        <v>38.289993295761803</v>
      </c>
      <c r="AF155" s="2">
        <v>68.730907007309995</v>
      </c>
      <c r="AG155" s="2">
        <v>28.941865206162099</v>
      </c>
      <c r="AH155" s="2">
        <v>16.833838035564099</v>
      </c>
      <c r="AI155" s="2">
        <v>29.157062763982601</v>
      </c>
      <c r="AJ155" s="2">
        <v>121.73963540707</v>
      </c>
      <c r="AK155" s="2">
        <v>141.717900739128</v>
      </c>
      <c r="AL155" s="2">
        <v>286.64086037459401</v>
      </c>
      <c r="AM155" s="2">
        <v>71.824806993320607</v>
      </c>
      <c r="AN155"/>
      <c r="AO155"/>
    </row>
    <row r="156" spans="1:41" ht="15.75" hidden="1" customHeight="1" x14ac:dyDescent="0.45">
      <c r="A156" s="2" t="s">
        <v>118</v>
      </c>
      <c r="B156" s="2" t="s">
        <v>96</v>
      </c>
      <c r="C156" s="2">
        <v>0.03</v>
      </c>
      <c r="D156" s="2"/>
      <c r="E156" s="2" t="s">
        <v>83</v>
      </c>
      <c r="F156" s="2" t="s">
        <v>84</v>
      </c>
      <c r="H156" s="2">
        <v>5.0000000000000001E-3</v>
      </c>
      <c r="J156" s="2">
        <v>5.0000000000000001E-3</v>
      </c>
      <c r="K156" s="2">
        <v>0</v>
      </c>
      <c r="L156" s="2"/>
      <c r="M156" s="2">
        <v>0</v>
      </c>
      <c r="N156" s="2">
        <v>24.677777777777699</v>
      </c>
      <c r="O156" s="2">
        <v>4.3372204787722497</v>
      </c>
      <c r="P156" s="2">
        <v>7.70457015178222</v>
      </c>
      <c r="Q156" s="2">
        <v>2.4460959247907201</v>
      </c>
      <c r="R156" s="2">
        <v>0.168350168349999</v>
      </c>
      <c r="S156" s="2">
        <v>0.29159104504497302</v>
      </c>
      <c r="T156" s="2">
        <v>17.489776436241101</v>
      </c>
      <c r="U156" s="2">
        <v>5.1313695062282196</v>
      </c>
      <c r="V156" s="2">
        <v>0.198412698411111</v>
      </c>
      <c r="W156" s="2">
        <v>0.34366087451488497</v>
      </c>
      <c r="X156" s="2">
        <v>8.47485356444</v>
      </c>
      <c r="Y156" s="2">
        <v>0.91435633642358705</v>
      </c>
      <c r="Z156" s="7">
        <v>10.6475701306235</v>
      </c>
      <c r="AA156" s="2">
        <v>1.75126757517333</v>
      </c>
      <c r="AB156" s="7">
        <v>0</v>
      </c>
      <c r="AC156" s="2">
        <v>0</v>
      </c>
      <c r="AD156" s="2">
        <v>385.16910200848997</v>
      </c>
      <c r="AE156" s="2">
        <v>136.63001042674799</v>
      </c>
      <c r="AF156" s="2">
        <v>49.756322746133897</v>
      </c>
      <c r="AG156" s="2">
        <v>11.895528213072801</v>
      </c>
      <c r="AH156" s="2">
        <v>6.1714384508036799</v>
      </c>
      <c r="AI156" s="2">
        <v>10.6892449525761</v>
      </c>
      <c r="AJ156" s="2">
        <v>18.493150420496701</v>
      </c>
      <c r="AK156" s="2">
        <v>32.031076120314097</v>
      </c>
      <c r="AL156" s="2">
        <v>260.483440633638</v>
      </c>
      <c r="AM156" s="2">
        <v>43.604313436100099</v>
      </c>
      <c r="AN156"/>
      <c r="AO156"/>
    </row>
    <row r="157" spans="1:41" ht="15.75" hidden="1" customHeight="1" x14ac:dyDescent="0.45">
      <c r="A157" s="2" t="s">
        <v>118</v>
      </c>
      <c r="B157" s="2" t="s">
        <v>96</v>
      </c>
      <c r="C157" s="2">
        <v>0.1</v>
      </c>
      <c r="D157" s="2"/>
      <c r="E157" s="2" t="s">
        <v>83</v>
      </c>
      <c r="F157" s="2" t="s">
        <v>84</v>
      </c>
      <c r="H157" s="2">
        <v>5.0000000000000001E-3</v>
      </c>
      <c r="J157" s="2">
        <v>5.0000000000000001E-3</v>
      </c>
      <c r="K157" s="2">
        <v>0</v>
      </c>
      <c r="L157" s="2"/>
      <c r="M157" s="2">
        <v>0</v>
      </c>
      <c r="N157" s="2">
        <v>27.2222222222222</v>
      </c>
      <c r="O157" s="2">
        <v>2.5294560972960198</v>
      </c>
      <c r="P157" s="2">
        <v>5.1542075560055496</v>
      </c>
      <c r="Q157" s="2">
        <v>2.9913597987706599</v>
      </c>
      <c r="R157" s="2">
        <v>0</v>
      </c>
      <c r="S157" s="2">
        <v>0</v>
      </c>
      <c r="T157" s="2">
        <v>16.347622761566601</v>
      </c>
      <c r="U157" s="2">
        <v>3.9881710847295899</v>
      </c>
      <c r="V157" s="2">
        <v>0.25839793281666601</v>
      </c>
      <c r="W157" s="2">
        <v>0.44755834820923501</v>
      </c>
      <c r="X157" s="2">
        <v>5.5985451623722202</v>
      </c>
      <c r="Y157" s="2">
        <v>2.3878059887587901</v>
      </c>
      <c r="Z157" s="7">
        <v>11.758272404477401</v>
      </c>
      <c r="AA157" s="2">
        <v>1.00180429879022</v>
      </c>
      <c r="AB157" s="7">
        <v>0</v>
      </c>
      <c r="AC157" s="2">
        <v>0</v>
      </c>
      <c r="AD157" s="2">
        <v>371.53220952158</v>
      </c>
      <c r="AE157" s="2">
        <v>147.077766254382</v>
      </c>
      <c r="AF157" s="2">
        <v>32.851088613957103</v>
      </c>
      <c r="AG157" s="2">
        <v>17.145620336305299</v>
      </c>
      <c r="AH157" s="2">
        <v>0</v>
      </c>
      <c r="AI157" s="2">
        <v>0</v>
      </c>
      <c r="AJ157" s="2">
        <v>24.084102873409801</v>
      </c>
      <c r="AK157" s="2">
        <v>41.714889831461299</v>
      </c>
      <c r="AL157" s="2">
        <v>188.49027440972199</v>
      </c>
      <c r="AM157" s="2">
        <v>132.99389264711999</v>
      </c>
      <c r="AN157"/>
      <c r="AO157"/>
    </row>
    <row r="158" spans="1:41" ht="15.75" hidden="1" customHeight="1" x14ac:dyDescent="0.45">
      <c r="A158" s="2" t="s">
        <v>118</v>
      </c>
      <c r="B158" s="2" t="s">
        <v>96</v>
      </c>
      <c r="C158" s="2">
        <v>0.3</v>
      </c>
      <c r="D158" s="2"/>
      <c r="E158" s="2" t="s">
        <v>83</v>
      </c>
      <c r="F158" s="2" t="s">
        <v>84</v>
      </c>
      <c r="H158" s="2">
        <v>5.0000000000000001E-3</v>
      </c>
      <c r="J158" s="2">
        <v>5.0000000000000001E-3</v>
      </c>
      <c r="K158" s="2">
        <v>0</v>
      </c>
      <c r="L158" s="2"/>
      <c r="M158" s="2">
        <v>0</v>
      </c>
      <c r="N158" s="2">
        <v>24.1111111111111</v>
      </c>
      <c r="O158" s="2">
        <v>1.54859554052955</v>
      </c>
      <c r="P158" s="2">
        <v>6.5723620109111103</v>
      </c>
      <c r="Q158" s="2">
        <v>5.7582210286638302</v>
      </c>
      <c r="R158" s="2">
        <v>0</v>
      </c>
      <c r="S158" s="2">
        <v>0</v>
      </c>
      <c r="T158" s="2">
        <v>20.219933980988799</v>
      </c>
      <c r="U158" s="2">
        <v>5.1443551894295201</v>
      </c>
      <c r="V158" s="2">
        <v>0.37037037037222198</v>
      </c>
      <c r="W158" s="2">
        <v>0.64150029910279105</v>
      </c>
      <c r="X158" s="2">
        <v>6.7042414483277701</v>
      </c>
      <c r="Y158" s="2">
        <v>2.3945953787908199</v>
      </c>
      <c r="Z158" s="7">
        <v>10.412425760128301</v>
      </c>
      <c r="AA158" s="2">
        <v>0.46374098692843302</v>
      </c>
      <c r="AB158" s="7">
        <v>0</v>
      </c>
      <c r="AC158" s="2">
        <v>0</v>
      </c>
      <c r="AD158" s="2">
        <v>455.69537144637502</v>
      </c>
      <c r="AE158" s="2">
        <v>178.07927690023101</v>
      </c>
      <c r="AF158" s="2">
        <v>41.588818144234097</v>
      </c>
      <c r="AG158" s="2">
        <v>34.057426875809803</v>
      </c>
      <c r="AH158" s="2">
        <v>0</v>
      </c>
      <c r="AI158" s="2">
        <v>0</v>
      </c>
      <c r="AJ158" s="2">
        <v>34.520547452042699</v>
      </c>
      <c r="AK158" s="2">
        <v>59.791342092030398</v>
      </c>
      <c r="AL158" s="2">
        <v>219.703081630589</v>
      </c>
      <c r="AM158" s="2">
        <v>125.35069067259001</v>
      </c>
      <c r="AN158"/>
      <c r="AO158"/>
    </row>
    <row r="159" spans="1:41" ht="15.75" hidden="1" customHeight="1" x14ac:dyDescent="0.45">
      <c r="A159" s="2" t="s">
        <v>118</v>
      </c>
      <c r="B159" s="2" t="s">
        <v>96</v>
      </c>
      <c r="C159" s="2">
        <v>1</v>
      </c>
      <c r="D159" s="2"/>
      <c r="E159" s="2" t="s">
        <v>83</v>
      </c>
      <c r="F159" s="2" t="s">
        <v>84</v>
      </c>
      <c r="H159" s="2">
        <v>5.0000000000000001E-3</v>
      </c>
      <c r="J159" s="2">
        <v>5.0000000000000001E-3</v>
      </c>
      <c r="K159" s="2">
        <v>0.22222222222222199</v>
      </c>
      <c r="L159" s="2"/>
      <c r="M159" s="2">
        <v>0.38490017945975002</v>
      </c>
      <c r="N159" s="2">
        <v>24.1666666666666</v>
      </c>
      <c r="O159" s="2">
        <v>2.8915585954829202</v>
      </c>
      <c r="P159" s="2">
        <v>4.5375055637555501</v>
      </c>
      <c r="Q159" s="2">
        <v>3.9704381651224798</v>
      </c>
      <c r="R159" s="2">
        <v>0.44444444444444398</v>
      </c>
      <c r="S159" s="2">
        <v>0.76980035891950105</v>
      </c>
      <c r="T159" s="2">
        <v>17.311732671827698</v>
      </c>
      <c r="U159" s="2">
        <v>1.4239302224600201</v>
      </c>
      <c r="V159" s="2">
        <v>0</v>
      </c>
      <c r="W159" s="2">
        <v>0</v>
      </c>
      <c r="X159" s="2">
        <v>5.8434545816999997</v>
      </c>
      <c r="Y159" s="2">
        <v>1.4284459143380099</v>
      </c>
      <c r="Z159" s="7">
        <v>10.472022891813699</v>
      </c>
      <c r="AA159" s="2">
        <v>1.5484198495616199</v>
      </c>
      <c r="AB159" s="7">
        <v>0.70485300110854299</v>
      </c>
      <c r="AC159" s="2">
        <v>1.22084120978739</v>
      </c>
      <c r="AD159" s="2">
        <v>386.85605347195298</v>
      </c>
      <c r="AE159" s="2">
        <v>97.9181406897752</v>
      </c>
      <c r="AF159" s="2">
        <v>28.546308126387299</v>
      </c>
      <c r="AG159" s="2">
        <v>22.8831533107141</v>
      </c>
      <c r="AH159" s="2">
        <v>28.280847899776099</v>
      </c>
      <c r="AI159" s="2">
        <v>48.983865443539798</v>
      </c>
      <c r="AJ159" s="2">
        <v>0</v>
      </c>
      <c r="AK159" s="2">
        <v>0</v>
      </c>
      <c r="AL159" s="2">
        <v>178.494731301359</v>
      </c>
      <c r="AM159" s="2">
        <v>38.810885384998301</v>
      </c>
      <c r="AN159"/>
      <c r="AO159"/>
    </row>
    <row r="160" spans="1:41" ht="15.75" hidden="1" customHeight="1" x14ac:dyDescent="0.45">
      <c r="A160" s="2" t="s">
        <v>118</v>
      </c>
      <c r="B160" s="2" t="s">
        <v>96</v>
      </c>
      <c r="C160" s="2">
        <v>3</v>
      </c>
      <c r="D160" s="2"/>
      <c r="E160" s="2" t="s">
        <v>83</v>
      </c>
      <c r="F160" s="2" t="s">
        <v>84</v>
      </c>
      <c r="H160" s="2">
        <v>5.0000000000000001E-3</v>
      </c>
      <c r="J160" s="2">
        <v>5.0000000000000001E-3</v>
      </c>
      <c r="K160" s="2">
        <v>0</v>
      </c>
      <c r="L160" s="2"/>
      <c r="M160" s="2">
        <v>0</v>
      </c>
      <c r="N160" s="2">
        <v>26.5888888888888</v>
      </c>
      <c r="O160" s="2">
        <v>2.6407771022377502</v>
      </c>
      <c r="P160" s="2">
        <v>3.3086315857866602</v>
      </c>
      <c r="Q160" s="2">
        <v>2.27469121312342</v>
      </c>
      <c r="R160" s="2">
        <v>0.25252525252777702</v>
      </c>
      <c r="S160" s="2">
        <v>0.43738656757227201</v>
      </c>
      <c r="T160" s="2">
        <v>21.326351245514399</v>
      </c>
      <c r="U160" s="2">
        <v>7.6439341036819402</v>
      </c>
      <c r="V160" s="2">
        <v>0.43771043771111101</v>
      </c>
      <c r="W160" s="2">
        <v>0.758136717118856</v>
      </c>
      <c r="X160" s="2">
        <v>4.6537955943355502</v>
      </c>
      <c r="Y160" s="2">
        <v>0.20559720077864099</v>
      </c>
      <c r="Z160" s="7">
        <v>11.4720683838997</v>
      </c>
      <c r="AA160" s="2">
        <v>0.79006752301081895</v>
      </c>
      <c r="AB160" s="7">
        <v>0</v>
      </c>
      <c r="AC160" s="2">
        <v>0</v>
      </c>
      <c r="AD160" s="2">
        <v>451.232254996405</v>
      </c>
      <c r="AE160" s="2">
        <v>59.579432489553398</v>
      </c>
      <c r="AF160" s="2">
        <v>21.296307049337099</v>
      </c>
      <c r="AG160" s="2">
        <v>14.0880502931003</v>
      </c>
      <c r="AH160" s="2">
        <v>16.068663579578899</v>
      </c>
      <c r="AI160" s="2">
        <v>27.8317417295623</v>
      </c>
      <c r="AJ160" s="2">
        <v>52.058723847973297</v>
      </c>
      <c r="AK160" s="2">
        <v>90.168354681887394</v>
      </c>
      <c r="AL160" s="2">
        <v>144.39871068778899</v>
      </c>
      <c r="AM160" s="2">
        <v>31.7567613654337</v>
      </c>
      <c r="AN160"/>
      <c r="AO160"/>
    </row>
    <row r="161" spans="1:41" ht="15.75" hidden="1" customHeight="1" x14ac:dyDescent="0.45">
      <c r="A161" s="2" t="s">
        <v>118</v>
      </c>
      <c r="B161" s="2" t="s">
        <v>96</v>
      </c>
      <c r="C161" s="2">
        <v>10</v>
      </c>
      <c r="D161" s="2"/>
      <c r="E161" s="2" t="s">
        <v>83</v>
      </c>
      <c r="F161" s="2" t="s">
        <v>84</v>
      </c>
      <c r="H161" s="2">
        <v>5.0000000000000001E-3</v>
      </c>
      <c r="J161" s="2">
        <v>5.0000000000000001E-3</v>
      </c>
      <c r="K161" s="2">
        <v>0</v>
      </c>
      <c r="L161" s="2"/>
      <c r="M161" s="2">
        <v>0</v>
      </c>
      <c r="N161" s="2">
        <v>28.3333333333333</v>
      </c>
      <c r="O161" s="2">
        <v>5.2993710318615399</v>
      </c>
      <c r="P161" s="2">
        <v>4.5962601231416604</v>
      </c>
      <c r="Q161" s="2">
        <v>1.64057394919884</v>
      </c>
      <c r="R161" s="2">
        <v>0</v>
      </c>
      <c r="S161" s="2">
        <v>0</v>
      </c>
      <c r="T161" s="2">
        <v>24.300296656902699</v>
      </c>
      <c r="U161" s="2">
        <v>6.3854404775532903</v>
      </c>
      <c r="V161" s="2">
        <v>0</v>
      </c>
      <c r="W161" s="2">
        <v>0</v>
      </c>
      <c r="X161" s="2">
        <v>5.7243757998444398</v>
      </c>
      <c r="Y161" s="2">
        <v>0.73168858037338702</v>
      </c>
      <c r="Z161" s="7">
        <v>12.2140563036129</v>
      </c>
      <c r="AA161" s="2">
        <v>1.99551084999175</v>
      </c>
      <c r="AB161" s="7">
        <v>0</v>
      </c>
      <c r="AC161" s="2">
        <v>0</v>
      </c>
      <c r="AD161" s="2">
        <v>545.42590845962798</v>
      </c>
      <c r="AE161" s="2">
        <v>206.248488647665</v>
      </c>
      <c r="AF161" s="2">
        <v>30.540864805609399</v>
      </c>
      <c r="AG161" s="2">
        <v>12.7871975030003</v>
      </c>
      <c r="AH161" s="2">
        <v>0</v>
      </c>
      <c r="AI161" s="2">
        <v>0</v>
      </c>
      <c r="AJ161" s="2">
        <v>0</v>
      </c>
      <c r="AK161" s="2">
        <v>0</v>
      </c>
      <c r="AL161" s="2">
        <v>182.92029216456399</v>
      </c>
      <c r="AM161" s="2">
        <v>72.991700136988698</v>
      </c>
      <c r="AN161"/>
      <c r="AO161"/>
    </row>
    <row r="162" spans="1:41" ht="15.75" hidden="1" customHeight="1" x14ac:dyDescent="0.45">
      <c r="A162" s="2" t="s">
        <v>118</v>
      </c>
      <c r="B162" s="2" t="s">
        <v>96</v>
      </c>
      <c r="C162" s="2">
        <v>3.0000000000000001E-3</v>
      </c>
      <c r="D162" s="2"/>
      <c r="E162" s="2" t="s">
        <v>83</v>
      </c>
      <c r="F162" s="2" t="s">
        <v>84</v>
      </c>
      <c r="H162" s="2">
        <v>0.13</v>
      </c>
      <c r="J162" s="2">
        <v>0.13363788300000001</v>
      </c>
      <c r="K162" s="2">
        <v>38.370785155</v>
      </c>
      <c r="L162" s="2"/>
      <c r="M162" s="2">
        <v>1.11414121892628</v>
      </c>
      <c r="N162" s="2">
        <v>259.166666666666</v>
      </c>
      <c r="O162" s="2">
        <v>21.333333333333599</v>
      </c>
      <c r="P162" s="2">
        <v>31.9301683266666</v>
      </c>
      <c r="Q162" s="2">
        <v>3.1151373629633898</v>
      </c>
      <c r="R162" s="2">
        <v>3.27209097766666</v>
      </c>
      <c r="S162" s="2">
        <v>1.10122694639993</v>
      </c>
      <c r="T162" s="2">
        <v>6.3363004818333302</v>
      </c>
      <c r="U162" s="2">
        <v>2.3181018419828798</v>
      </c>
      <c r="V162" s="2">
        <v>0.42321527822222199</v>
      </c>
      <c r="W162" s="2">
        <v>5.5511578498376998E-2</v>
      </c>
      <c r="X162" s="2">
        <v>3.7230474148888799</v>
      </c>
      <c r="Y162" s="2">
        <v>0.236932448680584</v>
      </c>
      <c r="Z162" s="7">
        <v>92.928286852589594</v>
      </c>
      <c r="AA162" s="2">
        <v>7.6494023904383504</v>
      </c>
      <c r="AB162" s="7">
        <v>96.118677670705196</v>
      </c>
      <c r="AC162" s="2">
        <v>2.7909197132409398</v>
      </c>
      <c r="AD162" s="2">
        <v>143.11524990951301</v>
      </c>
      <c r="AE162" s="2">
        <v>52.357953253993003</v>
      </c>
      <c r="AF162" s="2">
        <v>94.423435892652407</v>
      </c>
      <c r="AG162" s="2">
        <v>9.2120395382609495</v>
      </c>
      <c r="AH162" s="2">
        <v>87.599009878763795</v>
      </c>
      <c r="AI162" s="2">
        <v>29.4815733470952</v>
      </c>
      <c r="AJ162" s="2">
        <v>89.988609799186406</v>
      </c>
      <c r="AK162" s="2">
        <v>11.8034722135063</v>
      </c>
      <c r="AL162" s="2">
        <v>110.576098672374</v>
      </c>
      <c r="AM162" s="2">
        <v>7.0369949410847203</v>
      </c>
      <c r="AN162"/>
      <c r="AO162"/>
    </row>
    <row r="163" spans="1:41" ht="15.75" hidden="1" customHeight="1" x14ac:dyDescent="0.45">
      <c r="A163" s="2" t="s">
        <v>118</v>
      </c>
      <c r="B163" s="2" t="s">
        <v>96</v>
      </c>
      <c r="C163" s="2">
        <v>0.01</v>
      </c>
      <c r="D163" s="2"/>
      <c r="E163" s="2" t="s">
        <v>83</v>
      </c>
      <c r="F163" s="2" t="s">
        <v>84</v>
      </c>
      <c r="H163" s="2">
        <v>0.13</v>
      </c>
      <c r="J163" s="2">
        <v>0.13363788300000001</v>
      </c>
      <c r="K163" s="2">
        <v>39.872770602777699</v>
      </c>
      <c r="L163" s="2"/>
      <c r="M163" s="2">
        <v>0.88126811620787504</v>
      </c>
      <c r="N163" s="2">
        <v>298.77777777777698</v>
      </c>
      <c r="O163" s="2">
        <v>49.665641301869101</v>
      </c>
      <c r="P163" s="2">
        <v>33.981572948333302</v>
      </c>
      <c r="Q163" s="2">
        <v>2.21155877096697</v>
      </c>
      <c r="R163" s="2">
        <v>3.29750046288888</v>
      </c>
      <c r="S163" s="2">
        <v>0.72302047576470796</v>
      </c>
      <c r="T163" s="2">
        <v>3.75644885566666</v>
      </c>
      <c r="U163" s="2">
        <v>0.45158777659931898</v>
      </c>
      <c r="V163" s="2">
        <v>0.29382849627777702</v>
      </c>
      <c r="W163" s="2">
        <v>0.10199112648566599</v>
      </c>
      <c r="X163" s="2">
        <v>3.28128762388888</v>
      </c>
      <c r="Y163" s="2">
        <v>0.42940978367674798</v>
      </c>
      <c r="Z163" s="7">
        <v>107.13147410358501</v>
      </c>
      <c r="AA163" s="2">
        <v>17.808397279554601</v>
      </c>
      <c r="AB163" s="7">
        <v>99.881145770793907</v>
      </c>
      <c r="AC163" s="2">
        <v>2.2075734353905001</v>
      </c>
      <c r="AD163" s="2">
        <v>84.845268669375201</v>
      </c>
      <c r="AE163" s="2">
        <v>10.1998157583261</v>
      </c>
      <c r="AF163" s="2">
        <v>100.48982022242301</v>
      </c>
      <c r="AG163" s="2">
        <v>6.53998988344929</v>
      </c>
      <c r="AH163" s="2">
        <v>88.279261669495796</v>
      </c>
      <c r="AI163" s="2">
        <v>19.3563926649209</v>
      </c>
      <c r="AJ163" s="2">
        <v>62.476992821461501</v>
      </c>
      <c r="AK163" s="2">
        <v>21.6864564125658</v>
      </c>
      <c r="AL163" s="2">
        <v>97.455644164125502</v>
      </c>
      <c r="AM163" s="2">
        <v>12.753654014943599</v>
      </c>
      <c r="AN163"/>
      <c r="AO163"/>
    </row>
    <row r="164" spans="1:41" ht="15.75" hidden="1" customHeight="1" x14ac:dyDescent="0.45">
      <c r="A164" s="2" t="s">
        <v>118</v>
      </c>
      <c r="B164" s="2" t="s">
        <v>96</v>
      </c>
      <c r="C164" s="2">
        <v>0.03</v>
      </c>
      <c r="D164" s="2"/>
      <c r="E164" s="2" t="s">
        <v>83</v>
      </c>
      <c r="F164" s="2" t="s">
        <v>84</v>
      </c>
      <c r="H164" s="2">
        <v>0.13</v>
      </c>
      <c r="J164" s="2">
        <v>0.13363788300000001</v>
      </c>
      <c r="K164" s="2">
        <v>40.443446073333298</v>
      </c>
      <c r="L164" s="2"/>
      <c r="M164" s="2">
        <v>1.8276797663555999</v>
      </c>
      <c r="N164" s="2">
        <v>261.27777777777698</v>
      </c>
      <c r="O164" s="2">
        <v>26.384093131475598</v>
      </c>
      <c r="P164" s="2">
        <v>36.113845409999897</v>
      </c>
      <c r="Q164" s="2">
        <v>0.52354387895181198</v>
      </c>
      <c r="R164" s="2">
        <v>2.9376777090555501</v>
      </c>
      <c r="S164" s="2">
        <v>0.43753770513578299</v>
      </c>
      <c r="T164" s="2">
        <v>4.3847840148888899</v>
      </c>
      <c r="U164" s="2">
        <v>0.57955736459484997</v>
      </c>
      <c r="V164" s="2">
        <v>0.25249067927777702</v>
      </c>
      <c r="W164" s="2">
        <v>0.22948165270844501</v>
      </c>
      <c r="X164" s="2">
        <v>2.9723353022222199</v>
      </c>
      <c r="Y164" s="2">
        <v>0.20551999015901301</v>
      </c>
      <c r="Z164" s="7">
        <v>93.685258964143401</v>
      </c>
      <c r="AA164" s="2">
        <v>9.4604318001306993</v>
      </c>
      <c r="AB164" s="7">
        <v>101.310685755116</v>
      </c>
      <c r="AC164" s="2">
        <v>4.5783311870727399</v>
      </c>
      <c r="AD164" s="2">
        <v>99.037200317320597</v>
      </c>
      <c r="AE164" s="2">
        <v>13.090208917442601</v>
      </c>
      <c r="AF164" s="2">
        <v>106.795345768986</v>
      </c>
      <c r="AG164" s="2">
        <v>1.5482164511457099</v>
      </c>
      <c r="AH164" s="2">
        <v>78.646241932945799</v>
      </c>
      <c r="AI164" s="2">
        <v>11.7135709294528</v>
      </c>
      <c r="AJ164" s="2">
        <v>53.687299076024701</v>
      </c>
      <c r="AK164" s="2">
        <v>48.794870989533003</v>
      </c>
      <c r="AL164" s="2">
        <v>88.279628229154596</v>
      </c>
      <c r="AM164" s="2">
        <v>6.1040315038928297</v>
      </c>
      <c r="AN164"/>
      <c r="AO164"/>
    </row>
    <row r="165" spans="1:41" ht="15.75" hidden="1" customHeight="1" x14ac:dyDescent="0.45">
      <c r="A165" s="2" t="s">
        <v>118</v>
      </c>
      <c r="B165" s="2" t="s">
        <v>96</v>
      </c>
      <c r="C165" s="2">
        <v>0.1</v>
      </c>
      <c r="D165" s="2"/>
      <c r="E165" s="2" t="s">
        <v>83</v>
      </c>
      <c r="F165" s="2" t="s">
        <v>84</v>
      </c>
      <c r="H165" s="2">
        <v>0.13</v>
      </c>
      <c r="J165" s="2">
        <v>0.13363788300000001</v>
      </c>
      <c r="K165" s="2">
        <v>39.154772016666598</v>
      </c>
      <c r="L165" s="2"/>
      <c r="M165" s="2">
        <v>1.7020587299826</v>
      </c>
      <c r="N165" s="2">
        <v>197.333333333333</v>
      </c>
      <c r="O165" s="2">
        <v>13.3322916259736</v>
      </c>
      <c r="P165" s="2">
        <v>42.324232062777703</v>
      </c>
      <c r="Q165" s="2">
        <v>3.2349726440937498</v>
      </c>
      <c r="R165" s="2">
        <v>2.4370604966111098</v>
      </c>
      <c r="S165" s="2">
        <v>0.74158167330096902</v>
      </c>
      <c r="T165" s="2">
        <v>3.2501301950555499</v>
      </c>
      <c r="U165" s="2">
        <v>1.5098709778448101</v>
      </c>
      <c r="V165" s="2">
        <v>0.49086992555555498</v>
      </c>
      <c r="W165" s="2">
        <v>0.29793824504428301</v>
      </c>
      <c r="X165" s="2">
        <v>3.42842652638888</v>
      </c>
      <c r="Y165" s="2">
        <v>0.83130857532342695</v>
      </c>
      <c r="Z165" s="7">
        <v>70.756972111553793</v>
      </c>
      <c r="AA165" s="2">
        <v>4.7805029734566897</v>
      </c>
      <c r="AB165" s="7">
        <v>98.082561916237495</v>
      </c>
      <c r="AC165" s="2">
        <v>4.2636509464933301</v>
      </c>
      <c r="AD165" s="2">
        <v>73.409270352224198</v>
      </c>
      <c r="AE165" s="2">
        <v>34.102795936669402</v>
      </c>
      <c r="AF165" s="2">
        <v>125.160612120789</v>
      </c>
      <c r="AG165" s="2">
        <v>9.5664147131653792</v>
      </c>
      <c r="AH165" s="2">
        <v>65.243933611533507</v>
      </c>
      <c r="AI165" s="2">
        <v>19.853305048298498</v>
      </c>
      <c r="AJ165" s="2">
        <v>104.374072643427</v>
      </c>
      <c r="AK165" s="2">
        <v>63.350852053754103</v>
      </c>
      <c r="AL165" s="2">
        <v>101.825732424704</v>
      </c>
      <c r="AM165" s="2">
        <v>24.690219814161999</v>
      </c>
      <c r="AN165"/>
      <c r="AO165"/>
    </row>
    <row r="166" spans="1:41" ht="15.75" hidden="1" customHeight="1" x14ac:dyDescent="0.45">
      <c r="A166" s="2" t="s">
        <v>118</v>
      </c>
      <c r="B166" s="2" t="s">
        <v>96</v>
      </c>
      <c r="C166" s="2">
        <v>0.3</v>
      </c>
      <c r="D166" s="2"/>
      <c r="E166" s="2" t="s">
        <v>83</v>
      </c>
      <c r="F166" s="2" t="s">
        <v>84</v>
      </c>
      <c r="H166" s="2">
        <v>0.13</v>
      </c>
      <c r="J166" s="2">
        <v>0.13363788300000001</v>
      </c>
      <c r="K166" s="2">
        <v>0</v>
      </c>
      <c r="L166" s="2"/>
      <c r="M166" s="2">
        <v>0</v>
      </c>
      <c r="N166" s="2">
        <v>20.266666666666602</v>
      </c>
      <c r="O166" s="2">
        <v>4.0403520198671501</v>
      </c>
      <c r="P166" s="2">
        <v>20.958752901277698</v>
      </c>
      <c r="Q166" s="2">
        <v>4.3565624860140799</v>
      </c>
      <c r="R166" s="2">
        <v>3.0022126817888801</v>
      </c>
      <c r="S166" s="2">
        <v>0.78254341375041803</v>
      </c>
      <c r="T166" s="2">
        <v>17.878906495777699</v>
      </c>
      <c r="U166" s="2">
        <v>6.4132711726060396</v>
      </c>
      <c r="V166" s="2">
        <v>0.24154589372222199</v>
      </c>
      <c r="W166" s="2">
        <v>0.41836976028652101</v>
      </c>
      <c r="X166" s="2">
        <v>5.4084507131111099</v>
      </c>
      <c r="Y166" s="2">
        <v>1.61631610016242</v>
      </c>
      <c r="Z166" s="7">
        <v>7.26693227091633</v>
      </c>
      <c r="AA166" s="2">
        <v>1.4487317999523599</v>
      </c>
      <c r="AB166" s="7">
        <v>0</v>
      </c>
      <c r="AC166" s="2">
        <v>0</v>
      </c>
      <c r="AD166" s="2">
        <v>403.82304762663603</v>
      </c>
      <c r="AE166" s="2">
        <v>144.85375326446399</v>
      </c>
      <c r="AF166" s="2">
        <v>61.978923528285101</v>
      </c>
      <c r="AG166" s="2">
        <v>12.8831641099409</v>
      </c>
      <c r="AH166" s="2">
        <v>80.3739444181696</v>
      </c>
      <c r="AI166" s="2">
        <v>20.949915115308801</v>
      </c>
      <c r="AJ166" s="2">
        <v>51.3601003963553</v>
      </c>
      <c r="AK166" s="2">
        <v>88.9583033683259</v>
      </c>
      <c r="AL166" s="2">
        <v>160.63329661770999</v>
      </c>
      <c r="AM166" s="2">
        <v>48.005278649571501</v>
      </c>
      <c r="AN166"/>
      <c r="AO166"/>
    </row>
    <row r="167" spans="1:41" ht="15.75" hidden="1" customHeight="1" x14ac:dyDescent="0.45">
      <c r="A167" s="2" t="s">
        <v>118</v>
      </c>
      <c r="B167" s="2" t="s">
        <v>96</v>
      </c>
      <c r="C167" s="2">
        <v>1</v>
      </c>
      <c r="D167" s="2"/>
      <c r="E167" s="2" t="s">
        <v>83</v>
      </c>
      <c r="F167" s="2" t="s">
        <v>84</v>
      </c>
      <c r="H167" s="2">
        <v>0.13</v>
      </c>
      <c r="J167" s="2">
        <v>0.13363788300000001</v>
      </c>
      <c r="K167" s="2">
        <v>0</v>
      </c>
      <c r="L167" s="2"/>
      <c r="M167" s="2">
        <v>0</v>
      </c>
      <c r="N167" s="2">
        <v>18.6666666666666</v>
      </c>
      <c r="O167" s="2">
        <v>4.0104031385053496</v>
      </c>
      <c r="P167" s="2">
        <v>20.244845151</v>
      </c>
      <c r="Q167" s="2">
        <v>4.3947216990322904</v>
      </c>
      <c r="R167" s="2">
        <v>11.3448667713888</v>
      </c>
      <c r="S167" s="2">
        <v>10.8272163260669</v>
      </c>
      <c r="T167" s="2">
        <v>13.3396311390555</v>
      </c>
      <c r="U167" s="2">
        <v>9.0442383093403809</v>
      </c>
      <c r="V167" s="2">
        <v>0</v>
      </c>
      <c r="W167" s="2">
        <v>0</v>
      </c>
      <c r="X167" s="2">
        <v>8.8992527153888794</v>
      </c>
      <c r="Y167" s="2">
        <v>2.2878803027403301</v>
      </c>
      <c r="Z167" s="7">
        <v>6.6932270916334602</v>
      </c>
      <c r="AA167" s="2">
        <v>1.43799315723299</v>
      </c>
      <c r="AB167" s="7">
        <v>0</v>
      </c>
      <c r="AC167" s="2">
        <v>0</v>
      </c>
      <c r="AD167" s="2">
        <v>301.296418886732</v>
      </c>
      <c r="AE167" s="2">
        <v>204.27825820342599</v>
      </c>
      <c r="AF167" s="2">
        <v>59.867765766698099</v>
      </c>
      <c r="AG167" s="2">
        <v>12.99600798747</v>
      </c>
      <c r="AH167" s="2">
        <v>303.71988528535201</v>
      </c>
      <c r="AI167" s="2">
        <v>289.86157059208603</v>
      </c>
      <c r="AJ167" s="2">
        <v>0</v>
      </c>
      <c r="AK167" s="2">
        <v>0</v>
      </c>
      <c r="AL167" s="2">
        <v>264.31160732251999</v>
      </c>
      <c r="AM167" s="2">
        <v>67.951022351926397</v>
      </c>
      <c r="AN167"/>
      <c r="AO167"/>
    </row>
    <row r="168" spans="1:41" ht="15.75" hidden="1" customHeight="1" x14ac:dyDescent="0.45">
      <c r="A168" s="2" t="s">
        <v>118</v>
      </c>
      <c r="B168" s="2" t="s">
        <v>96</v>
      </c>
      <c r="C168" s="2">
        <v>3</v>
      </c>
      <c r="D168" s="2"/>
      <c r="E168" s="2" t="s">
        <v>83</v>
      </c>
      <c r="F168" s="2" t="s">
        <v>84</v>
      </c>
      <c r="H168" s="2">
        <v>0.13</v>
      </c>
      <c r="J168" s="2">
        <v>0.13363788300000001</v>
      </c>
      <c r="K168" s="2">
        <v>0</v>
      </c>
      <c r="L168" s="2"/>
      <c r="M168" s="2">
        <v>0</v>
      </c>
      <c r="N168" s="2">
        <v>20.1666666666666</v>
      </c>
      <c r="O168" s="2">
        <v>1.32287565553233</v>
      </c>
      <c r="P168" s="2">
        <v>12.636599701277699</v>
      </c>
      <c r="Q168" s="2">
        <v>5.0568394153762002</v>
      </c>
      <c r="R168" s="2">
        <v>6.3859531961111102</v>
      </c>
      <c r="S168" s="2">
        <v>2.8412056450308598</v>
      </c>
      <c r="T168" s="2">
        <v>21.710220709055498</v>
      </c>
      <c r="U168" s="2">
        <v>10.270204252105399</v>
      </c>
      <c r="V168" s="2">
        <v>0.37037037038888798</v>
      </c>
      <c r="W168" s="2">
        <v>0.64150029913165896</v>
      </c>
      <c r="X168" s="2">
        <v>6.4589021232222201</v>
      </c>
      <c r="Y168" s="2">
        <v>2.5920506868462998</v>
      </c>
      <c r="Z168" s="7">
        <v>7.2310756972111498</v>
      </c>
      <c r="AA168" s="2">
        <v>0.47433788445382602</v>
      </c>
      <c r="AB168" s="7">
        <v>0</v>
      </c>
      <c r="AC168" s="2">
        <v>0</v>
      </c>
      <c r="AD168" s="2">
        <v>490.35926741090799</v>
      </c>
      <c r="AE168" s="2">
        <v>231.968615184193</v>
      </c>
      <c r="AF168" s="2">
        <v>37.368771426056398</v>
      </c>
      <c r="AG168" s="2">
        <v>14.954013003383899</v>
      </c>
      <c r="AH168" s="2">
        <v>170.96198758824599</v>
      </c>
      <c r="AI168" s="2">
        <v>76.063533399716206</v>
      </c>
      <c r="AJ168" s="2">
        <v>78.752153944228297</v>
      </c>
      <c r="AK168" s="2">
        <v>136.40273183688899</v>
      </c>
      <c r="AL168" s="2">
        <v>191.83215224078501</v>
      </c>
      <c r="AM168" s="2">
        <v>76.985012698546896</v>
      </c>
      <c r="AN168"/>
      <c r="AO168"/>
    </row>
    <row r="169" spans="1:41" ht="15.75" hidden="1" customHeight="1" x14ac:dyDescent="0.45">
      <c r="A169" s="2" t="s">
        <v>118</v>
      </c>
      <c r="B169" s="2" t="s">
        <v>96</v>
      </c>
      <c r="C169" s="2">
        <v>10</v>
      </c>
      <c r="D169" s="2"/>
      <c r="E169" s="2" t="s">
        <v>83</v>
      </c>
      <c r="F169" s="2" t="s">
        <v>84</v>
      </c>
      <c r="H169" s="2">
        <v>0.13</v>
      </c>
      <c r="J169" s="2">
        <v>0.13363788300000001</v>
      </c>
      <c r="K169" s="2">
        <v>0</v>
      </c>
      <c r="L169" s="2"/>
      <c r="M169" s="2">
        <v>0</v>
      </c>
      <c r="N169" s="2">
        <v>23.2777777777777</v>
      </c>
      <c r="O169" s="2">
        <v>1.60150392282212</v>
      </c>
      <c r="P169" s="2">
        <v>5.96355604511111</v>
      </c>
      <c r="Q169" s="2">
        <v>4.9176232206899204</v>
      </c>
      <c r="R169" s="2">
        <v>13.4748640351111</v>
      </c>
      <c r="S169" s="2">
        <v>10.619870516217899</v>
      </c>
      <c r="T169" s="2">
        <v>22.887559418722201</v>
      </c>
      <c r="U169" s="2">
        <v>9.1899727277994394</v>
      </c>
      <c r="V169" s="2">
        <v>0</v>
      </c>
      <c r="W169" s="2">
        <v>0</v>
      </c>
      <c r="X169" s="2">
        <v>5.1705874404444403</v>
      </c>
      <c r="Y169" s="2">
        <v>0.49809681878853901</v>
      </c>
      <c r="Z169" s="7">
        <v>8.3466135458167301</v>
      </c>
      <c r="AA169" s="2">
        <v>0.57424443447805396</v>
      </c>
      <c r="AB169" s="7">
        <v>0</v>
      </c>
      <c r="AC169" s="2">
        <v>0</v>
      </c>
      <c r="AD169" s="2">
        <v>516.95130232863005</v>
      </c>
      <c r="AE169" s="2">
        <v>207.56989782468199</v>
      </c>
      <c r="AF169" s="2">
        <v>17.635342418396</v>
      </c>
      <c r="AG169" s="2">
        <v>14.5423248688369</v>
      </c>
      <c r="AH169" s="2">
        <v>360.74325432370199</v>
      </c>
      <c r="AI169" s="2">
        <v>284.31059790542702</v>
      </c>
      <c r="AJ169" s="2">
        <v>0</v>
      </c>
      <c r="AK169" s="2">
        <v>0</v>
      </c>
      <c r="AL169" s="2">
        <v>153.56865580659999</v>
      </c>
      <c r="AM169" s="2">
        <v>14.793688300206901</v>
      </c>
      <c r="AN169"/>
      <c r="AO169"/>
    </row>
    <row r="170" spans="1:41" ht="15.75" hidden="1" customHeight="1" x14ac:dyDescent="0.45">
      <c r="A170" s="2" t="s">
        <v>118</v>
      </c>
      <c r="B170" s="2" t="s">
        <v>96</v>
      </c>
      <c r="C170" s="2">
        <v>3.0000000000000001E-3</v>
      </c>
      <c r="D170" s="2"/>
      <c r="E170" s="2" t="s">
        <v>85</v>
      </c>
      <c r="F170" s="2" t="s">
        <v>84</v>
      </c>
      <c r="G170" s="2" t="s">
        <v>86</v>
      </c>
      <c r="H170" s="2">
        <v>4.0000000000000001E-3</v>
      </c>
      <c r="I170" s="2">
        <v>3539</v>
      </c>
      <c r="J170" s="2">
        <v>4.0000000000000001E-3</v>
      </c>
      <c r="K170" s="2">
        <v>0</v>
      </c>
      <c r="L170" s="2"/>
      <c r="M170" s="2">
        <v>0</v>
      </c>
      <c r="N170" s="2">
        <v>63.7222222222222</v>
      </c>
      <c r="O170" s="2">
        <v>11.9493529965867</v>
      </c>
      <c r="P170" s="2">
        <v>0.23255620856111101</v>
      </c>
      <c r="Q170" s="2">
        <v>0.26929384969099901</v>
      </c>
      <c r="R170" s="2">
        <v>0</v>
      </c>
      <c r="S170" s="2">
        <v>0</v>
      </c>
      <c r="T170" s="2">
        <v>19.7415344052222</v>
      </c>
      <c r="U170" s="2">
        <v>2.5306417921058899</v>
      </c>
      <c r="V170" s="2">
        <v>0</v>
      </c>
      <c r="W170" s="2">
        <v>0</v>
      </c>
      <c r="X170" s="2">
        <v>1.52051422679222</v>
      </c>
      <c r="Y170" s="2">
        <v>0.33635237864047901</v>
      </c>
      <c r="Z170" s="7">
        <v>41.145995233335498</v>
      </c>
      <c r="AA170" s="2">
        <v>6.62862422124996</v>
      </c>
      <c r="AB170" s="7">
        <v>0</v>
      </c>
      <c r="AC170" s="2">
        <v>0</v>
      </c>
      <c r="AD170" s="2">
        <v>259.55579370280901</v>
      </c>
      <c r="AE170" s="2">
        <v>61.123614601695799</v>
      </c>
      <c r="AF170" s="2">
        <v>114.956664778601</v>
      </c>
      <c r="AG170" s="2">
        <v>109.38394693427701</v>
      </c>
      <c r="AH170" s="2">
        <v>0</v>
      </c>
      <c r="AI170" s="2">
        <v>0</v>
      </c>
      <c r="AJ170" s="2">
        <v>0</v>
      </c>
      <c r="AK170" s="2">
        <v>0</v>
      </c>
      <c r="AL170" s="2">
        <v>397.25512387977602</v>
      </c>
      <c r="AM170" s="2">
        <v>134.11683556449199</v>
      </c>
      <c r="AN170"/>
      <c r="AO170"/>
    </row>
    <row r="171" spans="1:41" ht="15.75" hidden="1" customHeight="1" x14ac:dyDescent="0.45">
      <c r="A171" s="2" t="s">
        <v>118</v>
      </c>
      <c r="B171" s="2" t="s">
        <v>96</v>
      </c>
      <c r="C171" s="2">
        <v>0.01</v>
      </c>
      <c r="D171" s="2"/>
      <c r="E171" s="2" t="s">
        <v>85</v>
      </c>
      <c r="F171" s="2" t="s">
        <v>84</v>
      </c>
      <c r="G171" s="2" t="s">
        <v>86</v>
      </c>
      <c r="H171" s="2">
        <v>4.0000000000000001E-3</v>
      </c>
      <c r="I171" s="2">
        <v>3539</v>
      </c>
      <c r="J171" s="2">
        <v>4.0000000000000001E-3</v>
      </c>
      <c r="K171" s="2">
        <v>6.0386473427777698E-2</v>
      </c>
      <c r="L171" s="2"/>
      <c r="M171" s="2">
        <v>0.104592440066819</v>
      </c>
      <c r="N171" s="2">
        <v>69.4444444444444</v>
      </c>
      <c r="O171" s="2">
        <v>25.6072544698076</v>
      </c>
      <c r="P171" s="2">
        <v>0.226658262377777</v>
      </c>
      <c r="Q171" s="2">
        <v>0.19725550670023101</v>
      </c>
      <c r="R171" s="2">
        <v>0.12077294686111099</v>
      </c>
      <c r="S171" s="2">
        <v>0.20918488014326</v>
      </c>
      <c r="T171" s="2">
        <v>27.344100938555499</v>
      </c>
      <c r="U171" s="2">
        <v>4.9030283521656299</v>
      </c>
      <c r="V171" s="2">
        <v>6.0386473427777698E-2</v>
      </c>
      <c r="W171" s="2">
        <v>0.104592440066819</v>
      </c>
      <c r="X171" s="2">
        <v>1.0192138106505499</v>
      </c>
      <c r="Y171" s="2">
        <v>0.31176442380420999</v>
      </c>
      <c r="Z171" s="7">
        <v>44.663198360200198</v>
      </c>
      <c r="AA171" s="2">
        <v>14.919996218173701</v>
      </c>
      <c r="AB171" s="7">
        <v>1.45464383837583</v>
      </c>
      <c r="AC171" s="2">
        <v>2.51951703498395</v>
      </c>
      <c r="AD171" s="2">
        <v>357.29659903600702</v>
      </c>
      <c r="AE171" s="2">
        <v>84.7228713100302</v>
      </c>
      <c r="AF171" s="2">
        <v>133.65488681371201</v>
      </c>
      <c r="AG171" s="2">
        <v>134.34655603709001</v>
      </c>
      <c r="AH171" s="2">
        <v>43.175527702702098</v>
      </c>
      <c r="AI171" s="2">
        <v>74.782207624677696</v>
      </c>
      <c r="AJ171" s="2">
        <v>0</v>
      </c>
      <c r="AK171" s="2">
        <v>0</v>
      </c>
      <c r="AL171" s="2">
        <v>277.29871575599799</v>
      </c>
      <c r="AM171" s="2">
        <v>129.16907233538399</v>
      </c>
      <c r="AN171"/>
      <c r="AO171"/>
    </row>
    <row r="172" spans="1:41" ht="15.75" hidden="1" customHeight="1" x14ac:dyDescent="0.45">
      <c r="A172" s="2" t="s">
        <v>118</v>
      </c>
      <c r="B172" s="2" t="s">
        <v>96</v>
      </c>
      <c r="C172" s="2">
        <v>0.03</v>
      </c>
      <c r="D172" s="2"/>
      <c r="E172" s="2" t="s">
        <v>85</v>
      </c>
      <c r="F172" s="2" t="s">
        <v>84</v>
      </c>
      <c r="G172" s="2" t="s">
        <v>86</v>
      </c>
      <c r="H172" s="2">
        <v>4.0000000000000001E-3</v>
      </c>
      <c r="I172" s="2">
        <v>3539</v>
      </c>
      <c r="J172" s="2">
        <v>4.0000000000000001E-3</v>
      </c>
      <c r="K172" s="2">
        <v>0</v>
      </c>
      <c r="L172" s="2"/>
      <c r="M172" s="2">
        <v>0</v>
      </c>
      <c r="N172" s="2">
        <v>84.2222222222222</v>
      </c>
      <c r="O172" s="2">
        <v>11.7902187960724</v>
      </c>
      <c r="P172" s="2">
        <v>7.0323488044444396E-2</v>
      </c>
      <c r="Q172" s="2">
        <v>0.12180385425843999</v>
      </c>
      <c r="R172" s="2">
        <v>0.54852289176111102</v>
      </c>
      <c r="S172" s="2">
        <v>0.79673701663832996</v>
      </c>
      <c r="T172" s="2">
        <v>35.316129966888802</v>
      </c>
      <c r="U172" s="2">
        <v>2.1736258726301698</v>
      </c>
      <c r="V172" s="2">
        <v>0</v>
      </c>
      <c r="W172" s="2">
        <v>0</v>
      </c>
      <c r="X172" s="2">
        <v>1.12973811327388</v>
      </c>
      <c r="Y172" s="2">
        <v>0.15574590817269901</v>
      </c>
      <c r="Z172" s="7">
        <v>54.531599696375103</v>
      </c>
      <c r="AA172" s="2">
        <v>7.6142918599195299</v>
      </c>
      <c r="AB172" s="7">
        <v>0</v>
      </c>
      <c r="AC172" s="2">
        <v>0</v>
      </c>
      <c r="AD172" s="2">
        <v>477.33269567554299</v>
      </c>
      <c r="AE172" s="2">
        <v>155.439604956745</v>
      </c>
      <c r="AF172" s="2">
        <v>29.023914015060601</v>
      </c>
      <c r="AG172" s="2">
        <v>50.270893708595402</v>
      </c>
      <c r="AH172" s="2">
        <v>134.49395918796199</v>
      </c>
      <c r="AI172" s="2">
        <v>163.14648149143201</v>
      </c>
      <c r="AJ172" s="2">
        <v>0</v>
      </c>
      <c r="AK172" s="2">
        <v>0</v>
      </c>
      <c r="AL172" s="2">
        <v>295.09051425294501</v>
      </c>
      <c r="AM172" s="2">
        <v>80.472669346389907</v>
      </c>
      <c r="AN172"/>
      <c r="AO172"/>
    </row>
    <row r="173" spans="1:41" ht="15.75" hidden="1" customHeight="1" x14ac:dyDescent="0.45">
      <c r="A173" s="2" t="s">
        <v>118</v>
      </c>
      <c r="B173" s="2" t="s">
        <v>96</v>
      </c>
      <c r="C173" s="2">
        <v>0.1</v>
      </c>
      <c r="D173" s="2"/>
      <c r="E173" s="2" t="s">
        <v>85</v>
      </c>
      <c r="F173" s="2" t="s">
        <v>84</v>
      </c>
      <c r="G173" s="2" t="s">
        <v>86</v>
      </c>
      <c r="H173" s="2">
        <v>4.0000000000000001E-3</v>
      </c>
      <c r="I173" s="2">
        <v>3539</v>
      </c>
      <c r="J173" s="2">
        <v>4.0000000000000001E-3</v>
      </c>
      <c r="K173" s="2">
        <v>0</v>
      </c>
      <c r="L173" s="2"/>
      <c r="M173" s="2">
        <v>0</v>
      </c>
      <c r="N173" s="2">
        <v>66.3888888888888</v>
      </c>
      <c r="O173" s="2">
        <v>12.0096411887067</v>
      </c>
      <c r="P173" s="2">
        <v>5.0505050505000003E-2</v>
      </c>
      <c r="Q173" s="2">
        <v>8.7477313513492194E-2</v>
      </c>
      <c r="R173" s="2">
        <v>4.7080979284444401E-2</v>
      </c>
      <c r="S173" s="2">
        <v>8.1546648190755494E-2</v>
      </c>
      <c r="T173" s="2">
        <v>36.158674664777699</v>
      </c>
      <c r="U173" s="2">
        <v>6.0751677445019503</v>
      </c>
      <c r="V173" s="2">
        <v>0</v>
      </c>
      <c r="W173" s="2">
        <v>0</v>
      </c>
      <c r="X173" s="2">
        <v>0.98430235323333304</v>
      </c>
      <c r="Y173" s="2">
        <v>0.52698434967799801</v>
      </c>
      <c r="Z173" s="7">
        <v>42.885720703362502</v>
      </c>
      <c r="AA173" s="2">
        <v>7.0409784446574104</v>
      </c>
      <c r="AB173" s="7">
        <v>0</v>
      </c>
      <c r="AC173" s="2">
        <v>0</v>
      </c>
      <c r="AD173" s="2">
        <v>497.71215480007299</v>
      </c>
      <c r="AE173" s="2">
        <v>215.782569477587</v>
      </c>
      <c r="AF173" s="2">
        <v>37.750385515143897</v>
      </c>
      <c r="AG173" s="2">
        <v>65.385585717541503</v>
      </c>
      <c r="AH173" s="2">
        <v>10.172597554782101</v>
      </c>
      <c r="AI173" s="2">
        <v>17.6194558098335</v>
      </c>
      <c r="AJ173" s="2">
        <v>0</v>
      </c>
      <c r="AK173" s="2">
        <v>0</v>
      </c>
      <c r="AL173" s="2">
        <v>263.65792217444999</v>
      </c>
      <c r="AM173" s="2">
        <v>174.705702482052</v>
      </c>
      <c r="AN173"/>
      <c r="AO173"/>
    </row>
    <row r="174" spans="1:41" ht="15.75" hidden="1" customHeight="1" x14ac:dyDescent="0.45">
      <c r="A174" s="2" t="s">
        <v>118</v>
      </c>
      <c r="B174" s="2" t="s">
        <v>96</v>
      </c>
      <c r="C174" s="2">
        <v>0.3</v>
      </c>
      <c r="D174" s="2"/>
      <c r="E174" s="2" t="s">
        <v>85</v>
      </c>
      <c r="F174" s="2" t="s">
        <v>84</v>
      </c>
      <c r="G174" s="2" t="s">
        <v>86</v>
      </c>
      <c r="H174" s="2">
        <v>4.0000000000000001E-3</v>
      </c>
      <c r="I174" s="2">
        <v>3539</v>
      </c>
      <c r="J174" s="2">
        <v>4.0000000000000001E-3</v>
      </c>
      <c r="K174" s="2">
        <v>0</v>
      </c>
      <c r="L174" s="2"/>
      <c r="M174" s="2">
        <v>0</v>
      </c>
      <c r="N174" s="2">
        <v>64.6666666666666</v>
      </c>
      <c r="O174" s="2">
        <v>11.7272237881681</v>
      </c>
      <c r="P174" s="2">
        <v>5.4466230936666603E-2</v>
      </c>
      <c r="Q174" s="2">
        <v>9.4338279279086404E-2</v>
      </c>
      <c r="R174" s="2">
        <v>5.2399798758388796</v>
      </c>
      <c r="S174" s="2">
        <v>9.07591137559141</v>
      </c>
      <c r="T174" s="2">
        <v>34.630892035661098</v>
      </c>
      <c r="U174" s="2">
        <v>2.0213552794045002</v>
      </c>
      <c r="V174" s="2">
        <v>0.14274385408888801</v>
      </c>
      <c r="W174" s="2">
        <v>0.24723960775015399</v>
      </c>
      <c r="X174" s="2">
        <v>0.80691411529999901</v>
      </c>
      <c r="Y174" s="2">
        <v>0.122461718134866</v>
      </c>
      <c r="Z174" s="7">
        <v>41.945914643003498</v>
      </c>
      <c r="AA174" s="2">
        <v>8.2895123741173204</v>
      </c>
      <c r="AB174" s="7">
        <v>0</v>
      </c>
      <c r="AC174" s="2">
        <v>0</v>
      </c>
      <c r="AD174" s="2">
        <v>469.10308835580003</v>
      </c>
      <c r="AE174" s="2">
        <v>156.537443009604</v>
      </c>
      <c r="AF174" s="2">
        <v>15.8579802008013</v>
      </c>
      <c r="AG174" s="2">
        <v>27.466827413209302</v>
      </c>
      <c r="AH174" s="2">
        <v>1132.18134546487</v>
      </c>
      <c r="AI174" s="2">
        <v>1960.99561372685</v>
      </c>
      <c r="AJ174" s="2">
        <v>0</v>
      </c>
      <c r="AK174" s="2">
        <v>0</v>
      </c>
      <c r="AL174" s="2">
        <v>215.31787823174699</v>
      </c>
      <c r="AM174" s="2">
        <v>74.489248821249603</v>
      </c>
      <c r="AN174"/>
      <c r="AO174"/>
    </row>
    <row r="175" spans="1:41" ht="15.75" hidden="1" customHeight="1" x14ac:dyDescent="0.45">
      <c r="A175" s="2" t="s">
        <v>118</v>
      </c>
      <c r="B175" s="2" t="s">
        <v>96</v>
      </c>
      <c r="C175" s="2">
        <v>1</v>
      </c>
      <c r="D175" s="2"/>
      <c r="E175" s="2" t="s">
        <v>85</v>
      </c>
      <c r="F175" s="2" t="s">
        <v>84</v>
      </c>
      <c r="G175" s="2" t="s">
        <v>86</v>
      </c>
      <c r="H175" s="2">
        <v>4.0000000000000001E-3</v>
      </c>
      <c r="I175" s="2">
        <v>3539</v>
      </c>
      <c r="J175" s="2">
        <v>4.0000000000000001E-3</v>
      </c>
      <c r="K175" s="2">
        <v>0</v>
      </c>
      <c r="L175" s="2"/>
      <c r="M175" s="2">
        <v>0</v>
      </c>
      <c r="N175" s="2">
        <v>53.9444444444444</v>
      </c>
      <c r="O175" s="2">
        <v>4.0150181033675896</v>
      </c>
      <c r="P175" s="2">
        <v>9.1074681238888802E-2</v>
      </c>
      <c r="Q175" s="2">
        <v>0.15774597518889499</v>
      </c>
      <c r="R175" s="2">
        <v>0.11111111111111099</v>
      </c>
      <c r="S175" s="2">
        <v>0.19245008972987501</v>
      </c>
      <c r="T175" s="2">
        <v>30.116696392944402</v>
      </c>
      <c r="U175" s="2">
        <v>2.2716906202786902</v>
      </c>
      <c r="V175" s="2">
        <v>0</v>
      </c>
      <c r="W175" s="2">
        <v>0</v>
      </c>
      <c r="X175" s="2">
        <v>0.71814080936111102</v>
      </c>
      <c r="Y175" s="2">
        <v>0.26069228522594701</v>
      </c>
      <c r="Z175" s="7">
        <v>34.967024133554403</v>
      </c>
      <c r="AA175" s="2">
        <v>3.4056691304564302</v>
      </c>
      <c r="AB175" s="7">
        <v>0</v>
      </c>
      <c r="AC175" s="2">
        <v>0</v>
      </c>
      <c r="AD175" s="2">
        <v>399.26036043230903</v>
      </c>
      <c r="AE175" s="2">
        <v>102.442934833279</v>
      </c>
      <c r="AF175" s="2">
        <v>68.074465683318707</v>
      </c>
      <c r="AG175" s="2">
        <v>117.908433261612</v>
      </c>
      <c r="AH175" s="2">
        <v>53.085156062089098</v>
      </c>
      <c r="AI175" s="2">
        <v>91.946187427261407</v>
      </c>
      <c r="AJ175" s="2">
        <v>0</v>
      </c>
      <c r="AK175" s="2">
        <v>0</v>
      </c>
      <c r="AL175" s="2">
        <v>189.87609950210401</v>
      </c>
      <c r="AM175" s="2">
        <v>92.731146052240305</v>
      </c>
      <c r="AN175"/>
      <c r="AO175"/>
    </row>
    <row r="176" spans="1:41" ht="15.75" hidden="1" customHeight="1" x14ac:dyDescent="0.45">
      <c r="A176" s="2" t="s">
        <v>118</v>
      </c>
      <c r="B176" s="2" t="s">
        <v>96</v>
      </c>
      <c r="C176" s="2">
        <v>3</v>
      </c>
      <c r="D176" s="2"/>
      <c r="E176" s="2" t="s">
        <v>85</v>
      </c>
      <c r="F176" s="2" t="s">
        <v>84</v>
      </c>
      <c r="G176" s="2" t="s">
        <v>86</v>
      </c>
      <c r="H176" s="2">
        <v>4.0000000000000001E-3</v>
      </c>
      <c r="I176" s="2">
        <v>3539</v>
      </c>
      <c r="J176" s="2">
        <v>4.0000000000000001E-3</v>
      </c>
      <c r="K176" s="2">
        <v>0</v>
      </c>
      <c r="L176" s="2"/>
      <c r="M176" s="2">
        <v>0</v>
      </c>
      <c r="N176" s="2">
        <v>54.0555555555555</v>
      </c>
      <c r="O176" s="2">
        <v>3.3347219329910098</v>
      </c>
      <c r="P176" s="2">
        <v>0.21057643008888799</v>
      </c>
      <c r="Q176" s="2">
        <v>0.20364756104982901</v>
      </c>
      <c r="R176" s="2">
        <v>0.31471282454444399</v>
      </c>
      <c r="S176" s="2">
        <v>0.28032465678304902</v>
      </c>
      <c r="T176" s="2">
        <v>32.605340413166601</v>
      </c>
      <c r="U176" s="2">
        <v>0.58608577100425496</v>
      </c>
      <c r="V176" s="2">
        <v>0.104821802933333</v>
      </c>
      <c r="W176" s="2">
        <v>0.18155668842150499</v>
      </c>
      <c r="X176" s="2">
        <v>1.2369944053722199</v>
      </c>
      <c r="Y176" s="2">
        <v>1.93975167794402E-2</v>
      </c>
      <c r="Z176" s="7">
        <v>35.044345827130599</v>
      </c>
      <c r="AA176" s="2">
        <v>3.0814587072889199</v>
      </c>
      <c r="AB176" s="7">
        <v>0</v>
      </c>
      <c r="AC176" s="2">
        <v>0</v>
      </c>
      <c r="AD176" s="2">
        <v>438.95354927964797</v>
      </c>
      <c r="AE176" s="2">
        <v>137.16906462852899</v>
      </c>
      <c r="AF176" s="2">
        <v>132.26651139979001</v>
      </c>
      <c r="AG176" s="2">
        <v>155.690167365957</v>
      </c>
      <c r="AH176" s="2">
        <v>87.162336327371904</v>
      </c>
      <c r="AI176" s="2">
        <v>76.879789250194904</v>
      </c>
      <c r="AJ176" s="2">
        <v>0</v>
      </c>
      <c r="AK176" s="2">
        <v>0</v>
      </c>
      <c r="AL176" s="2">
        <v>323.00335892185598</v>
      </c>
      <c r="AM176" s="2">
        <v>72.299318744230405</v>
      </c>
      <c r="AN176"/>
      <c r="AO176"/>
    </row>
    <row r="177" spans="1:41" ht="15.75" hidden="1" customHeight="1" x14ac:dyDescent="0.45">
      <c r="A177" s="2" t="s">
        <v>118</v>
      </c>
      <c r="B177" s="2" t="s">
        <v>96</v>
      </c>
      <c r="C177" s="2">
        <v>10</v>
      </c>
      <c r="D177" s="2"/>
      <c r="E177" s="2" t="s">
        <v>85</v>
      </c>
      <c r="F177" s="2" t="s">
        <v>84</v>
      </c>
      <c r="G177" s="2" t="s">
        <v>86</v>
      </c>
      <c r="H177" s="2">
        <v>4.0000000000000001E-3</v>
      </c>
      <c r="I177" s="2">
        <v>3539</v>
      </c>
      <c r="J177" s="2">
        <v>4.0000000000000001E-3</v>
      </c>
      <c r="K177" s="2">
        <v>0</v>
      </c>
      <c r="L177" s="2"/>
      <c r="M177" s="2">
        <v>0</v>
      </c>
      <c r="N177" s="2">
        <v>38.7222222222222</v>
      </c>
      <c r="O177" s="2">
        <v>4.1107357185968798</v>
      </c>
      <c r="P177" s="2">
        <v>0</v>
      </c>
      <c r="Q177" s="2">
        <v>0</v>
      </c>
      <c r="R177" s="2">
        <v>0</v>
      </c>
      <c r="S177" s="2">
        <v>0</v>
      </c>
      <c r="T177" s="2">
        <v>33.842563986333303</v>
      </c>
      <c r="U177" s="2">
        <v>8.26092847151331</v>
      </c>
      <c r="V177" s="2">
        <v>0.15015015014999999</v>
      </c>
      <c r="W177" s="2">
        <v>0.26006768882389503</v>
      </c>
      <c r="X177" s="2">
        <v>0.32058157058333298</v>
      </c>
      <c r="Y177" s="2">
        <v>0.33265775586311103</v>
      </c>
      <c r="Z177" s="7">
        <v>25.152989290164001</v>
      </c>
      <c r="AA177" s="2">
        <v>3.6340384041648202</v>
      </c>
      <c r="AB177" s="7">
        <v>0</v>
      </c>
      <c r="AC177" s="2">
        <v>0</v>
      </c>
      <c r="AD177" s="2">
        <v>436.64047944481501</v>
      </c>
      <c r="AE177" s="2">
        <v>99.850337426349995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84.240073440229807</v>
      </c>
      <c r="AM177" s="2">
        <v>100.096970929468</v>
      </c>
      <c r="AN177"/>
      <c r="AO177"/>
    </row>
    <row r="178" spans="1:41" ht="15.75" hidden="1" customHeight="1" x14ac:dyDescent="0.45">
      <c r="A178" s="2" t="s">
        <v>119</v>
      </c>
      <c r="B178" s="2" t="s">
        <v>98</v>
      </c>
      <c r="C178" s="2">
        <v>3.0000000000000001E-3</v>
      </c>
      <c r="D178" s="2"/>
      <c r="E178" s="2" t="s">
        <v>83</v>
      </c>
      <c r="F178" s="2" t="s">
        <v>84</v>
      </c>
      <c r="H178" s="2">
        <v>10.1</v>
      </c>
      <c r="J178" s="2">
        <v>10.13842095</v>
      </c>
      <c r="K178" s="2">
        <v>39.223894533888803</v>
      </c>
      <c r="L178" s="2"/>
      <c r="M178" s="2">
        <v>2.5005408635939701</v>
      </c>
      <c r="N178" s="2">
        <v>254</v>
      </c>
      <c r="O178" s="2">
        <v>11.372481406155</v>
      </c>
      <c r="P178" s="2">
        <v>35.370733042777701</v>
      </c>
      <c r="Q178" s="2">
        <v>6.7198603872727203</v>
      </c>
      <c r="R178" s="2">
        <v>4.4812424628333298</v>
      </c>
      <c r="S178" s="2">
        <v>0.56104919838488398</v>
      </c>
      <c r="T178" s="2">
        <v>3.5313606158333299</v>
      </c>
      <c r="U178" s="2">
        <v>0.215394413976466</v>
      </c>
      <c r="V178" s="2">
        <v>0.48319782327777699</v>
      </c>
      <c r="W178" s="2">
        <v>0.29379713720815298</v>
      </c>
      <c r="X178" s="2">
        <v>3.9940200501111098</v>
      </c>
      <c r="Y178" s="2">
        <v>0.38159553934156099</v>
      </c>
      <c r="Z178" s="7">
        <v>91.075697211155401</v>
      </c>
      <c r="AA178" s="2">
        <v>4.0777821775058003</v>
      </c>
      <c r="AB178" s="7">
        <v>98.255713571222699</v>
      </c>
      <c r="AC178" s="2">
        <v>6.26384579568336</v>
      </c>
      <c r="AD178" s="2">
        <v>79.761298963740302</v>
      </c>
      <c r="AE178" s="2">
        <v>4.8650194973764798</v>
      </c>
      <c r="AF178" s="2">
        <v>104.597824532969</v>
      </c>
      <c r="AG178" s="2">
        <v>19.871874773528901</v>
      </c>
      <c r="AH178" s="2">
        <v>119.969892478601</v>
      </c>
      <c r="AI178" s="2">
        <v>15.0201674119822</v>
      </c>
      <c r="AJ178" s="2">
        <v>102.742747278439</v>
      </c>
      <c r="AK178" s="2">
        <v>62.470324916909703</v>
      </c>
      <c r="AL178" s="2">
        <v>118.624101695387</v>
      </c>
      <c r="AM178" s="2">
        <v>11.333550532401601</v>
      </c>
      <c r="AN178"/>
      <c r="AO178"/>
    </row>
    <row r="179" spans="1:41" ht="15.75" hidden="1" customHeight="1" x14ac:dyDescent="0.45">
      <c r="A179" s="2" t="s">
        <v>119</v>
      </c>
      <c r="B179" s="2" t="s">
        <v>98</v>
      </c>
      <c r="C179" s="2">
        <v>0.01</v>
      </c>
      <c r="D179" s="2"/>
      <c r="E179" s="2" t="s">
        <v>83</v>
      </c>
      <c r="F179" s="2" t="s">
        <v>84</v>
      </c>
      <c r="H179" s="2">
        <v>10.1</v>
      </c>
      <c r="J179" s="2">
        <v>10.13842095</v>
      </c>
      <c r="K179" s="2">
        <v>23.5329989938888</v>
      </c>
      <c r="L179" s="2"/>
      <c r="M179" s="2">
        <v>20.380366187676199</v>
      </c>
      <c r="N179" s="2">
        <v>243.111111111111</v>
      </c>
      <c r="O179" s="2">
        <v>18.397866220882001</v>
      </c>
      <c r="P179" s="2">
        <v>38.058900188333297</v>
      </c>
      <c r="Q179" s="2">
        <v>1.8471204973947299</v>
      </c>
      <c r="R179" s="2">
        <v>4.4729642390000004</v>
      </c>
      <c r="S179" s="2">
        <v>1.55162841078584</v>
      </c>
      <c r="T179" s="2">
        <v>3.50866585638888</v>
      </c>
      <c r="U179" s="2">
        <v>1.3969323746998601</v>
      </c>
      <c r="V179" s="2">
        <v>0.56329795122222204</v>
      </c>
      <c r="W179" s="2">
        <v>9.2787438023629695E-2</v>
      </c>
      <c r="X179" s="2">
        <v>3.9192082241111099</v>
      </c>
      <c r="Y179" s="2">
        <v>0.43082185126780198</v>
      </c>
      <c r="Z179" s="7">
        <v>87.1713147410358</v>
      </c>
      <c r="AA179" s="2">
        <v>6.5968444616708704</v>
      </c>
      <c r="AB179" s="7">
        <v>58.950077142841202</v>
      </c>
      <c r="AC179" s="2">
        <v>51.052743395555098</v>
      </c>
      <c r="AD179" s="2">
        <v>79.248702350173801</v>
      </c>
      <c r="AE179" s="2">
        <v>31.5519010635707</v>
      </c>
      <c r="AF179" s="2">
        <v>112.547233867122</v>
      </c>
      <c r="AG179" s="2">
        <v>5.4622782469360001</v>
      </c>
      <c r="AH179" s="2">
        <v>119.74827143679499</v>
      </c>
      <c r="AI179" s="2">
        <v>41.539527296861699</v>
      </c>
      <c r="AJ179" s="2">
        <v>119.774502816037</v>
      </c>
      <c r="AK179" s="2">
        <v>19.729468627997601</v>
      </c>
      <c r="AL179" s="2">
        <v>116.402158504292</v>
      </c>
      <c r="AM179" s="2">
        <v>12.795593025619601</v>
      </c>
      <c r="AN179"/>
      <c r="AO179"/>
    </row>
    <row r="180" spans="1:41" ht="15.75" hidden="1" customHeight="1" x14ac:dyDescent="0.45">
      <c r="A180" s="2" t="s">
        <v>119</v>
      </c>
      <c r="B180" s="2" t="s">
        <v>98</v>
      </c>
      <c r="C180" s="2">
        <v>0.03</v>
      </c>
      <c r="D180" s="2"/>
      <c r="E180" s="2" t="s">
        <v>83</v>
      </c>
      <c r="F180" s="2" t="s">
        <v>84</v>
      </c>
      <c r="H180" s="2">
        <v>10.1</v>
      </c>
      <c r="J180" s="2">
        <v>10.13842095</v>
      </c>
      <c r="K180" s="2">
        <v>39.6694766438888</v>
      </c>
      <c r="L180" s="2"/>
      <c r="M180" s="2">
        <v>2.0553426698674002</v>
      </c>
      <c r="N180" s="2">
        <v>299.222222222222</v>
      </c>
      <c r="O180" s="2">
        <v>43.431086323729403</v>
      </c>
      <c r="P180" s="2">
        <v>33.8330675705555</v>
      </c>
      <c r="Q180" s="2">
        <v>3.5890298112921202</v>
      </c>
      <c r="R180" s="2">
        <v>3.8617632555555499</v>
      </c>
      <c r="S180" s="2">
        <v>0.115996371731417</v>
      </c>
      <c r="T180" s="2">
        <v>5.4068117961111097</v>
      </c>
      <c r="U180" s="2">
        <v>1.9258719244037501</v>
      </c>
      <c r="V180" s="2">
        <v>0.44837497438888801</v>
      </c>
      <c r="W180" s="2">
        <v>0.134395279087549</v>
      </c>
      <c r="X180" s="2">
        <v>3.4265509622777701</v>
      </c>
      <c r="Y180" s="2">
        <v>0.68284492296254695</v>
      </c>
      <c r="Z180" s="7">
        <v>107.29083665338599</v>
      </c>
      <c r="AA180" s="2">
        <v>15.5728994786281</v>
      </c>
      <c r="AB180" s="7">
        <v>99.371895140974601</v>
      </c>
      <c r="AC180" s="2">
        <v>5.1486259348041603</v>
      </c>
      <c r="AD180" s="2">
        <v>122.121295167848</v>
      </c>
      <c r="AE180" s="2">
        <v>43.498827516938</v>
      </c>
      <c r="AF180" s="2">
        <v>100.050662248846</v>
      </c>
      <c r="AG180" s="2">
        <v>10.613427490776299</v>
      </c>
      <c r="AH180" s="2">
        <v>103.385462043017</v>
      </c>
      <c r="AI180" s="2">
        <v>3.1054048871364599</v>
      </c>
      <c r="AJ180" s="2">
        <v>95.338336516328695</v>
      </c>
      <c r="AK180" s="2">
        <v>28.5765778103878</v>
      </c>
      <c r="AL180" s="2">
        <v>101.770027369381</v>
      </c>
      <c r="AM180" s="2">
        <v>20.2807859167944</v>
      </c>
      <c r="AN180"/>
      <c r="AO180"/>
    </row>
    <row r="181" spans="1:41" ht="15.75" hidden="1" customHeight="1" x14ac:dyDescent="0.45">
      <c r="A181" s="2" t="s">
        <v>119</v>
      </c>
      <c r="B181" s="2" t="s">
        <v>98</v>
      </c>
      <c r="C181" s="2">
        <v>0.1</v>
      </c>
      <c r="D181" s="2"/>
      <c r="E181" s="2" t="s">
        <v>83</v>
      </c>
      <c r="F181" s="2" t="s">
        <v>84</v>
      </c>
      <c r="H181" s="2">
        <v>10.1</v>
      </c>
      <c r="J181" s="2">
        <v>10.13842095</v>
      </c>
      <c r="K181" s="2">
        <v>39.0578307555555</v>
      </c>
      <c r="L181" s="2"/>
      <c r="M181" s="2">
        <v>0.239972597082768</v>
      </c>
      <c r="N181" s="2">
        <v>236.777777777777</v>
      </c>
      <c r="O181" s="2">
        <v>24.5935477837698</v>
      </c>
      <c r="P181" s="2">
        <v>37.308143999444397</v>
      </c>
      <c r="Q181" s="2">
        <v>6.2768851873862497</v>
      </c>
      <c r="R181" s="2">
        <v>3.3359700777222199</v>
      </c>
      <c r="S181" s="2">
        <v>0.58528197255374304</v>
      </c>
      <c r="T181" s="2">
        <v>2.8016078503888799</v>
      </c>
      <c r="U181" s="2">
        <v>0.59782962727046496</v>
      </c>
      <c r="V181" s="2">
        <v>0.48908806105555502</v>
      </c>
      <c r="W181" s="2">
        <v>0.30912673914509597</v>
      </c>
      <c r="X181" s="2">
        <v>3.3819361424444399</v>
      </c>
      <c r="Y181" s="2">
        <v>0.795224542768595</v>
      </c>
      <c r="Z181" s="7">
        <v>84.900398406374507</v>
      </c>
      <c r="AA181" s="2">
        <v>8.8184035878059106</v>
      </c>
      <c r="AB181" s="7">
        <v>97.839724408688596</v>
      </c>
      <c r="AC181" s="2">
        <v>0.601130485488515</v>
      </c>
      <c r="AD181" s="2">
        <v>63.2786921653137</v>
      </c>
      <c r="AE181" s="2">
        <v>13.5029165291997</v>
      </c>
      <c r="AF181" s="2">
        <v>110.32710843128601</v>
      </c>
      <c r="AG181" s="2">
        <v>18.561914864749401</v>
      </c>
      <c r="AH181" s="2">
        <v>89.309153623239894</v>
      </c>
      <c r="AI181" s="2">
        <v>15.6689168013777</v>
      </c>
      <c r="AJ181" s="2">
        <v>103.995193341434</v>
      </c>
      <c r="AK181" s="2">
        <v>65.729870680179801</v>
      </c>
      <c r="AL181" s="2">
        <v>100.44494816130801</v>
      </c>
      <c r="AM181" s="2">
        <v>23.618508632530599</v>
      </c>
      <c r="AN181"/>
      <c r="AO181"/>
    </row>
    <row r="182" spans="1:41" ht="15.75" hidden="1" customHeight="1" x14ac:dyDescent="0.45">
      <c r="A182" s="2" t="s">
        <v>119</v>
      </c>
      <c r="B182" s="2" t="s">
        <v>98</v>
      </c>
      <c r="C182" s="2">
        <v>0.3</v>
      </c>
      <c r="D182" s="2"/>
      <c r="E182" s="2" t="s">
        <v>83</v>
      </c>
      <c r="F182" s="2" t="s">
        <v>84</v>
      </c>
      <c r="H182" s="2">
        <v>10.1</v>
      </c>
      <c r="J182" s="2">
        <v>10.13842095</v>
      </c>
      <c r="K182" s="2">
        <v>38.364338648333302</v>
      </c>
      <c r="L182" s="2"/>
      <c r="M182" s="2">
        <v>1.2066403204980001</v>
      </c>
      <c r="N182" s="2">
        <v>223.888888888888</v>
      </c>
      <c r="O182" s="2">
        <v>16.661943775273102</v>
      </c>
      <c r="P182" s="2">
        <v>40.022363382222203</v>
      </c>
      <c r="Q182" s="2">
        <v>7.1773914683286097</v>
      </c>
      <c r="R182" s="2">
        <v>3.4244425488888801</v>
      </c>
      <c r="S182" s="2">
        <v>0.75737004767996396</v>
      </c>
      <c r="T182" s="2">
        <v>2.6597968719999998</v>
      </c>
      <c r="U182" s="2">
        <v>0.71083432885397002</v>
      </c>
      <c r="V182" s="2">
        <v>0.493838330722222</v>
      </c>
      <c r="W182" s="2">
        <v>0.23021867550108299</v>
      </c>
      <c r="X182" s="2">
        <v>3.858228209</v>
      </c>
      <c r="Y182" s="2">
        <v>0.17229834248109399</v>
      </c>
      <c r="Z182" s="7">
        <v>80.278884462151396</v>
      </c>
      <c r="AA182" s="2">
        <v>5.9744021504963598</v>
      </c>
      <c r="AB182" s="7">
        <v>96.102529194881896</v>
      </c>
      <c r="AC182" s="2">
        <v>3.0226296272519999</v>
      </c>
      <c r="AD182" s="2">
        <v>60.075669570311</v>
      </c>
      <c r="AE182" s="2">
        <v>16.055304338843801</v>
      </c>
      <c r="AF182" s="2">
        <v>118.353559067761</v>
      </c>
      <c r="AG182" s="2">
        <v>21.224879125369299</v>
      </c>
      <c r="AH182" s="2">
        <v>91.677700503086697</v>
      </c>
      <c r="AI182" s="2">
        <v>20.275984604776301</v>
      </c>
      <c r="AJ182" s="2">
        <v>105.005247055162</v>
      </c>
      <c r="AK182" s="2">
        <v>48.951584747075998</v>
      </c>
      <c r="AL182" s="2">
        <v>114.59102600541399</v>
      </c>
      <c r="AM182" s="2">
        <v>5.1173343758891399</v>
      </c>
      <c r="AN182"/>
      <c r="AO182"/>
    </row>
    <row r="183" spans="1:41" ht="15.75" hidden="1" customHeight="1" x14ac:dyDescent="0.45">
      <c r="A183" s="2" t="s">
        <v>119</v>
      </c>
      <c r="B183" s="2" t="s">
        <v>98</v>
      </c>
      <c r="C183" s="2">
        <v>1</v>
      </c>
      <c r="D183" s="2"/>
      <c r="E183" s="2" t="s">
        <v>83</v>
      </c>
      <c r="F183" s="2" t="s">
        <v>84</v>
      </c>
      <c r="H183" s="2">
        <v>10.1</v>
      </c>
      <c r="J183" s="2">
        <v>10.13842095</v>
      </c>
      <c r="K183" s="2">
        <v>28.537843008333301</v>
      </c>
      <c r="L183" s="2"/>
      <c r="M183" s="2">
        <v>1.51759067171364</v>
      </c>
      <c r="N183" s="2">
        <v>201.055555555555</v>
      </c>
      <c r="O183" s="2">
        <v>19.5116299601981</v>
      </c>
      <c r="P183" s="2">
        <v>34.500032495555502</v>
      </c>
      <c r="Q183" s="2">
        <v>3.9351029784379499</v>
      </c>
      <c r="R183" s="2">
        <v>3.1253534837777699</v>
      </c>
      <c r="S183" s="2">
        <v>0.33383256123428201</v>
      </c>
      <c r="T183" s="2">
        <v>2.7754933485555502</v>
      </c>
      <c r="U183" s="2">
        <v>0.17391042101130999</v>
      </c>
      <c r="V183" s="2">
        <v>0.483632360833333</v>
      </c>
      <c r="W183" s="2">
        <v>0.201472962861761</v>
      </c>
      <c r="X183" s="2">
        <v>3.5091513327777699</v>
      </c>
      <c r="Y183" s="2">
        <v>0.48704070246433101</v>
      </c>
      <c r="Z183" s="7">
        <v>72.091633466135406</v>
      </c>
      <c r="AA183" s="2">
        <v>6.99620197776028</v>
      </c>
      <c r="AB183" s="7">
        <v>71.487193250142397</v>
      </c>
      <c r="AC183" s="2">
        <v>3.8015591294593398</v>
      </c>
      <c r="AD183" s="2">
        <v>62.688855324896302</v>
      </c>
      <c r="AE183" s="2">
        <v>3.9280386774998699</v>
      </c>
      <c r="AF183" s="2">
        <v>102.023001360688</v>
      </c>
      <c r="AG183" s="2">
        <v>11.6368300979236</v>
      </c>
      <c r="AH183" s="2">
        <v>83.670616913992404</v>
      </c>
      <c r="AI183" s="2">
        <v>8.9372214981224207</v>
      </c>
      <c r="AJ183" s="2">
        <v>102.835143353302</v>
      </c>
      <c r="AK183" s="2">
        <v>42.839360422458903</v>
      </c>
      <c r="AL183" s="2">
        <v>104.223293659318</v>
      </c>
      <c r="AM183" s="2">
        <v>14.465316922311001</v>
      </c>
      <c r="AN183"/>
      <c r="AO183"/>
    </row>
    <row r="184" spans="1:41" ht="15.75" hidden="1" customHeight="1" x14ac:dyDescent="0.45">
      <c r="A184" s="2" t="s">
        <v>119</v>
      </c>
      <c r="B184" s="2" t="s">
        <v>98</v>
      </c>
      <c r="C184" s="2">
        <v>3</v>
      </c>
      <c r="D184" s="2"/>
      <c r="E184" s="2" t="s">
        <v>83</v>
      </c>
      <c r="F184" s="2" t="s">
        <v>84</v>
      </c>
      <c r="H184" s="2">
        <v>10.1</v>
      </c>
      <c r="J184" s="2">
        <v>10.13842095</v>
      </c>
      <c r="K184" s="2">
        <v>23.331024529555499</v>
      </c>
      <c r="L184" s="2"/>
      <c r="M184" s="2">
        <v>1.9706937106660201</v>
      </c>
      <c r="N184" s="2">
        <v>160.28888888888801</v>
      </c>
      <c r="O184" s="2">
        <v>22.010536197551101</v>
      </c>
      <c r="P184" s="2">
        <v>34.501412005777702</v>
      </c>
      <c r="Q184" s="2">
        <v>5.7646242697849699</v>
      </c>
      <c r="R184" s="2">
        <v>2.50699546272222</v>
      </c>
      <c r="S184" s="2">
        <v>0.56439313269236902</v>
      </c>
      <c r="T184" s="2">
        <v>3.2293138554777698</v>
      </c>
      <c r="U184" s="2">
        <v>2.2030828440797601</v>
      </c>
      <c r="V184" s="2">
        <v>0.25566967669999902</v>
      </c>
      <c r="W184" s="2">
        <v>0.15086329307545701</v>
      </c>
      <c r="X184" s="2">
        <v>4.3237084928444398</v>
      </c>
      <c r="Y184" s="2">
        <v>0.88770075953430205</v>
      </c>
      <c r="Z184" s="7">
        <v>57.474103585657303</v>
      </c>
      <c r="AA184" s="2">
        <v>7.8922241345800996</v>
      </c>
      <c r="AB184" s="7">
        <v>58.444131842098798</v>
      </c>
      <c r="AC184" s="2">
        <v>4.93658059896413</v>
      </c>
      <c r="AD184" s="2">
        <v>72.939100787283806</v>
      </c>
      <c r="AE184" s="2">
        <v>49.760069413660503</v>
      </c>
      <c r="AF184" s="2">
        <v>102.02708082853501</v>
      </c>
      <c r="AG184" s="2">
        <v>17.047064225110301</v>
      </c>
      <c r="AH184" s="2">
        <v>67.116202392888397</v>
      </c>
      <c r="AI184" s="2">
        <v>15.1096897805333</v>
      </c>
      <c r="AJ184" s="2">
        <v>54.363251890825403</v>
      </c>
      <c r="AK184" s="2">
        <v>32.0781850565876</v>
      </c>
      <c r="AL184" s="2">
        <v>128.41598928431</v>
      </c>
      <c r="AM184" s="2">
        <v>26.365091775425601</v>
      </c>
      <c r="AN184"/>
      <c r="AO184"/>
    </row>
    <row r="185" spans="1:41" ht="15.75" hidden="1" customHeight="1" x14ac:dyDescent="0.45">
      <c r="A185" s="2" t="s">
        <v>119</v>
      </c>
      <c r="B185" s="2" t="s">
        <v>98</v>
      </c>
      <c r="C185" s="2">
        <v>10</v>
      </c>
      <c r="D185" s="2"/>
      <c r="E185" s="2" t="s">
        <v>83</v>
      </c>
      <c r="F185" s="2" t="s">
        <v>84</v>
      </c>
      <c r="H185" s="2">
        <v>10.1</v>
      </c>
      <c r="J185" s="2">
        <v>10.13842095</v>
      </c>
      <c r="K185" s="2">
        <v>22.244249329444401</v>
      </c>
      <c r="L185" s="2"/>
      <c r="M185" s="2">
        <v>1.55605789933508</v>
      </c>
      <c r="N185" s="2">
        <v>148.555555555555</v>
      </c>
      <c r="O185" s="2">
        <v>29.878147594917799</v>
      </c>
      <c r="P185" s="2">
        <v>21.066676437222199</v>
      </c>
      <c r="Q185" s="2">
        <v>3.1415641966210202</v>
      </c>
      <c r="R185" s="2">
        <v>2.0408359305000001</v>
      </c>
      <c r="S185" s="2">
        <v>0.110232713279692</v>
      </c>
      <c r="T185" s="2">
        <v>4.34140476394444</v>
      </c>
      <c r="U185" s="2">
        <v>1.36031610137421</v>
      </c>
      <c r="V185" s="2">
        <v>0.363694184277777</v>
      </c>
      <c r="W185" s="2">
        <v>7.3050601478028596E-2</v>
      </c>
      <c r="X185" s="2">
        <v>4.8768608778888796</v>
      </c>
      <c r="Y185" s="2">
        <v>0.32651883295425799</v>
      </c>
      <c r="Z185" s="7">
        <v>53.2669322709163</v>
      </c>
      <c r="AA185" s="2">
        <v>10.7132800141139</v>
      </c>
      <c r="AB185" s="7">
        <v>55.721763906753402</v>
      </c>
      <c r="AC185" s="2">
        <v>3.8979193951587399</v>
      </c>
      <c r="AD185" s="2">
        <v>98.057412133726501</v>
      </c>
      <c r="AE185" s="2">
        <v>30.7248652999135</v>
      </c>
      <c r="AF185" s="2">
        <v>62.298073461141797</v>
      </c>
      <c r="AG185" s="2">
        <v>9.2901885917888904</v>
      </c>
      <c r="AH185" s="2">
        <v>54.6363802403473</v>
      </c>
      <c r="AI185" s="2">
        <v>2.95110270633021</v>
      </c>
      <c r="AJ185" s="2">
        <v>77.332591046066398</v>
      </c>
      <c r="AK185" s="2">
        <v>15.532808975177</v>
      </c>
      <c r="AL185" s="2">
        <v>144.84485142152701</v>
      </c>
      <c r="AM185" s="2">
        <v>9.6977488244575891</v>
      </c>
      <c r="AN185"/>
      <c r="AO185"/>
    </row>
    <row r="186" spans="1:41" ht="15.75" hidden="1" customHeight="1" x14ac:dyDescent="0.45">
      <c r="A186" s="2" t="s">
        <v>120</v>
      </c>
      <c r="B186" s="2" t="s">
        <v>104</v>
      </c>
      <c r="C186" s="2">
        <v>3.0000000000000001E-3</v>
      </c>
      <c r="D186" s="2"/>
      <c r="E186" s="2" t="s">
        <v>83</v>
      </c>
      <c r="F186" s="2" t="s">
        <v>84</v>
      </c>
      <c r="H186" s="2">
        <v>6.3</v>
      </c>
      <c r="J186" s="2">
        <v>6.2613594609999996</v>
      </c>
      <c r="K186" s="2">
        <v>34.088398535777699</v>
      </c>
      <c r="L186" s="2"/>
      <c r="M186" s="2">
        <v>6.8456945697088596</v>
      </c>
      <c r="N186" s="2">
        <v>267.64444444444399</v>
      </c>
      <c r="O186" s="2">
        <v>14.2511727912441</v>
      </c>
      <c r="P186" s="2">
        <v>34.205404212222199</v>
      </c>
      <c r="Q186" s="2">
        <v>1.0021492058216801</v>
      </c>
      <c r="R186" s="2">
        <v>3.6068120678777702</v>
      </c>
      <c r="S186" s="2">
        <v>0.76190875611447695</v>
      </c>
      <c r="T186" s="2">
        <v>3.7923981868777701</v>
      </c>
      <c r="U186" s="2">
        <v>1.3640057996753401</v>
      </c>
      <c r="V186" s="2">
        <v>0.42000075405555498</v>
      </c>
      <c r="W186" s="2">
        <v>0.26330512381318699</v>
      </c>
      <c r="X186" s="2">
        <v>3.3763271902666601</v>
      </c>
      <c r="Y186" s="2">
        <v>0.334451492441936</v>
      </c>
      <c r="Z186" s="7">
        <v>95.968127490039805</v>
      </c>
      <c r="AA186" s="2">
        <v>5.1099822757448896</v>
      </c>
      <c r="AB186" s="7">
        <v>85.391314718614893</v>
      </c>
      <c r="AC186" s="2">
        <v>17.1484400728297</v>
      </c>
      <c r="AD186" s="2">
        <v>85.657240502956796</v>
      </c>
      <c r="AE186" s="2">
        <v>30.8082029029786</v>
      </c>
      <c r="AF186" s="2">
        <v>101.151730826224</v>
      </c>
      <c r="AG186" s="2">
        <v>2.96354126049967</v>
      </c>
      <c r="AH186" s="2">
        <v>96.560018691832596</v>
      </c>
      <c r="AI186" s="2">
        <v>20.3974929514896</v>
      </c>
      <c r="AJ186" s="2">
        <v>89.305102903737506</v>
      </c>
      <c r="AK186" s="2">
        <v>55.986783238269197</v>
      </c>
      <c r="AL186" s="2">
        <v>100.278359885537</v>
      </c>
      <c r="AM186" s="2">
        <v>9.9333521999977297</v>
      </c>
      <c r="AN186"/>
      <c r="AO186"/>
    </row>
    <row r="187" spans="1:41" ht="15.75" hidden="1" customHeight="1" x14ac:dyDescent="0.45">
      <c r="A187" s="2" t="s">
        <v>120</v>
      </c>
      <c r="B187" s="2" t="s">
        <v>104</v>
      </c>
      <c r="C187" s="2">
        <v>0.01</v>
      </c>
      <c r="D187" s="2"/>
      <c r="E187" s="2" t="s">
        <v>83</v>
      </c>
      <c r="F187" s="2" t="s">
        <v>84</v>
      </c>
      <c r="H187" s="2">
        <v>6.3</v>
      </c>
      <c r="J187" s="2">
        <v>6.2613594609999996</v>
      </c>
      <c r="K187" s="2">
        <v>37.135270743333301</v>
      </c>
      <c r="L187" s="2"/>
      <c r="M187" s="2">
        <v>5.8592970072337804</v>
      </c>
      <c r="N187" s="2">
        <v>283.77777777777698</v>
      </c>
      <c r="O187" s="2">
        <v>54.418474531819903</v>
      </c>
      <c r="P187" s="2">
        <v>36.430524342777701</v>
      </c>
      <c r="Q187" s="2">
        <v>5.5459529639052896</v>
      </c>
      <c r="R187" s="2">
        <v>2.9542684054444401</v>
      </c>
      <c r="S187" s="2">
        <v>0.268302904741893</v>
      </c>
      <c r="T187" s="2">
        <v>4.0681804992222199</v>
      </c>
      <c r="U187" s="2">
        <v>0.400717335789114</v>
      </c>
      <c r="V187" s="2">
        <v>0.53944473566666595</v>
      </c>
      <c r="W187" s="2">
        <v>0.139622452823955</v>
      </c>
      <c r="X187" s="2">
        <v>3.5573543534444401</v>
      </c>
      <c r="Y187" s="2">
        <v>0.14876376269799901</v>
      </c>
      <c r="Z187" s="7">
        <v>101.752988047808</v>
      </c>
      <c r="AA187" s="2">
        <v>19.512600429736199</v>
      </c>
      <c r="AB187" s="7">
        <v>93.023718549780796</v>
      </c>
      <c r="AC187" s="2">
        <v>14.6775177557669</v>
      </c>
      <c r="AD187" s="2">
        <v>91.886215070207498</v>
      </c>
      <c r="AE187" s="2">
        <v>9.0508273430145607</v>
      </c>
      <c r="AF187" s="2">
        <v>107.73182416777701</v>
      </c>
      <c r="AG187" s="2">
        <v>16.4004125751392</v>
      </c>
      <c r="AH187" s="2">
        <v>79.090400908593296</v>
      </c>
      <c r="AI187" s="2">
        <v>7.1828897678591597</v>
      </c>
      <c r="AJ187" s="2">
        <v>114.70257413685199</v>
      </c>
      <c r="AK187" s="2">
        <v>29.688036025445399</v>
      </c>
      <c r="AL187" s="2">
        <v>105.654943964986</v>
      </c>
      <c r="AM187" s="2">
        <v>4.4183473025842801</v>
      </c>
      <c r="AN187"/>
      <c r="AO187"/>
    </row>
    <row r="188" spans="1:41" ht="15.75" hidden="1" customHeight="1" x14ac:dyDescent="0.45">
      <c r="A188" s="2" t="s">
        <v>120</v>
      </c>
      <c r="B188" s="2" t="s">
        <v>104</v>
      </c>
      <c r="C188" s="2">
        <v>0.03</v>
      </c>
      <c r="D188" s="2"/>
      <c r="E188" s="2" t="s">
        <v>83</v>
      </c>
      <c r="F188" s="2" t="s">
        <v>84</v>
      </c>
      <c r="H188" s="2">
        <v>6.3</v>
      </c>
      <c r="J188" s="2">
        <v>6.2613594609999996</v>
      </c>
      <c r="K188" s="2">
        <v>37.531691710555499</v>
      </c>
      <c r="L188" s="2"/>
      <c r="M188" s="2">
        <v>0.81439741624712603</v>
      </c>
      <c r="N188" s="2">
        <v>263.33333333333297</v>
      </c>
      <c r="O188" s="2">
        <v>7.5847068353210796</v>
      </c>
      <c r="P188" s="2">
        <v>32.823612496111103</v>
      </c>
      <c r="Q188" s="2">
        <v>1.6745606358337499</v>
      </c>
      <c r="R188" s="2">
        <v>2.87698236249999</v>
      </c>
      <c r="S188" s="2">
        <v>0.23788558219505801</v>
      </c>
      <c r="T188" s="2">
        <v>3.7909689581666601</v>
      </c>
      <c r="U188" s="2">
        <v>1.2399341250534699</v>
      </c>
      <c r="V188" s="2">
        <v>0.50009436622222203</v>
      </c>
      <c r="W188" s="2">
        <v>0.24473535235970101</v>
      </c>
      <c r="X188" s="2">
        <v>3.3299707213333298</v>
      </c>
      <c r="Y188" s="2">
        <v>0.14950711957698601</v>
      </c>
      <c r="Z188" s="7">
        <v>94.422310756972095</v>
      </c>
      <c r="AA188" s="2">
        <v>2.7196159967286699</v>
      </c>
      <c r="AB188" s="7">
        <v>94.016751635145596</v>
      </c>
      <c r="AC188" s="2">
        <v>2.0400625744795899</v>
      </c>
      <c r="AD188" s="2">
        <v>85.624959138656706</v>
      </c>
      <c r="AE188" s="2">
        <v>28.005850209777002</v>
      </c>
      <c r="AF188" s="2">
        <v>97.065516178422399</v>
      </c>
      <c r="AG188" s="2">
        <v>4.9519866988597903</v>
      </c>
      <c r="AH188" s="2">
        <v>77.021332265456493</v>
      </c>
      <c r="AI188" s="2">
        <v>6.3685703138915901</v>
      </c>
      <c r="AJ188" s="2">
        <v>106.335472986192</v>
      </c>
      <c r="AK188" s="2">
        <v>52.0382775878888</v>
      </c>
      <c r="AL188" s="2">
        <v>98.901552955178204</v>
      </c>
      <c r="AM188" s="2">
        <v>4.4404253194451204</v>
      </c>
      <c r="AN188"/>
      <c r="AO188"/>
    </row>
    <row r="189" spans="1:41" ht="15.75" hidden="1" customHeight="1" x14ac:dyDescent="0.45">
      <c r="A189" s="2" t="s">
        <v>120</v>
      </c>
      <c r="B189" s="2" t="s">
        <v>104</v>
      </c>
      <c r="C189" s="2">
        <v>0.1</v>
      </c>
      <c r="D189" s="2"/>
      <c r="E189" s="2" t="s">
        <v>83</v>
      </c>
      <c r="F189" s="2" t="s">
        <v>84</v>
      </c>
      <c r="H189" s="2">
        <v>6.3</v>
      </c>
      <c r="J189" s="2">
        <v>6.2613594609999996</v>
      </c>
      <c r="K189" s="2">
        <v>36.851676786444401</v>
      </c>
      <c r="L189" s="2"/>
      <c r="M189" s="2">
        <v>6.1053302564938798</v>
      </c>
      <c r="N189" s="2">
        <v>331.24444444444401</v>
      </c>
      <c r="O189" s="2">
        <v>44.232734652232701</v>
      </c>
      <c r="P189" s="2">
        <v>30.728578547888802</v>
      </c>
      <c r="Q189" s="2">
        <v>4.9264597403010697</v>
      </c>
      <c r="R189" s="2">
        <v>11.8800834034777</v>
      </c>
      <c r="S189" s="2">
        <v>12.8282584411378</v>
      </c>
      <c r="T189" s="2">
        <v>10.7765349799999</v>
      </c>
      <c r="U189" s="2">
        <v>11.037180554107101</v>
      </c>
      <c r="V189" s="2">
        <v>0.43455923276666603</v>
      </c>
      <c r="W189" s="2">
        <v>0.12011767317637601</v>
      </c>
      <c r="X189" s="2">
        <v>3.1688855653222201</v>
      </c>
      <c r="Y189" s="2">
        <v>1.02672365951605</v>
      </c>
      <c r="Z189" s="7">
        <v>118.772908366533</v>
      </c>
      <c r="AA189" s="2">
        <v>15.8603431023942</v>
      </c>
      <c r="AB189" s="7">
        <v>92.3133167161605</v>
      </c>
      <c r="AC189" s="2">
        <v>15.2938301529821</v>
      </c>
      <c r="AD189" s="2">
        <v>243.40488605980201</v>
      </c>
      <c r="AE189" s="2">
        <v>249.291973735505</v>
      </c>
      <c r="AF189" s="2">
        <v>90.870111829812004</v>
      </c>
      <c r="AG189" s="2">
        <v>14.568456097914099</v>
      </c>
      <c r="AH189" s="2">
        <v>318.04847436237799</v>
      </c>
      <c r="AI189" s="2">
        <v>343.432607950869</v>
      </c>
      <c r="AJ189" s="2">
        <v>92.400684106540893</v>
      </c>
      <c r="AK189" s="2">
        <v>25.5407188201259</v>
      </c>
      <c r="AL189" s="2">
        <v>94.117255007613295</v>
      </c>
      <c r="AM189" s="2">
        <v>30.494131294134</v>
      </c>
      <c r="AN189"/>
      <c r="AO189"/>
    </row>
    <row r="190" spans="1:41" ht="15.75" hidden="1" customHeight="1" x14ac:dyDescent="0.45">
      <c r="A190" s="2" t="s">
        <v>120</v>
      </c>
      <c r="B190" s="2" t="s">
        <v>104</v>
      </c>
      <c r="C190" s="2">
        <v>0.3</v>
      </c>
      <c r="D190" s="2"/>
      <c r="E190" s="2" t="s">
        <v>83</v>
      </c>
      <c r="F190" s="2" t="s">
        <v>84</v>
      </c>
      <c r="H190" s="2">
        <v>6.3</v>
      </c>
      <c r="J190" s="2">
        <v>6.2613594609999996</v>
      </c>
      <c r="K190" s="2">
        <v>37.550217540111099</v>
      </c>
      <c r="L190" s="2"/>
      <c r="M190" s="2">
        <v>2.66304429126146</v>
      </c>
      <c r="N190" s="2">
        <v>237.02222222222201</v>
      </c>
      <c r="O190" s="2">
        <v>4.8718389561673998</v>
      </c>
      <c r="P190" s="2">
        <v>35.612265958222203</v>
      </c>
      <c r="Q190" s="2">
        <v>4.2785627957442696</v>
      </c>
      <c r="R190" s="2">
        <v>3.6716407577888801</v>
      </c>
      <c r="S190" s="2">
        <v>0.33095148174300598</v>
      </c>
      <c r="T190" s="2">
        <v>3.81958996183333</v>
      </c>
      <c r="U190" s="2">
        <v>1.5408253244351899</v>
      </c>
      <c r="V190" s="2">
        <v>0.51253744974444404</v>
      </c>
      <c r="W190" s="2">
        <v>7.10006013474202E-2</v>
      </c>
      <c r="X190" s="2">
        <v>4.09315562625555</v>
      </c>
      <c r="Y190" s="2">
        <v>0.93006917907343301</v>
      </c>
      <c r="Z190" s="7">
        <v>84.988047808764904</v>
      </c>
      <c r="AA190" s="2">
        <v>1.7468745261158001</v>
      </c>
      <c r="AB190" s="7">
        <v>94.063158771002804</v>
      </c>
      <c r="AC190" s="2">
        <v>6.6709162927102099</v>
      </c>
      <c r="AD190" s="2">
        <v>86.2714092405987</v>
      </c>
      <c r="AE190" s="2">
        <v>34.801948235517798</v>
      </c>
      <c r="AF190" s="2">
        <v>105.312082206906</v>
      </c>
      <c r="AG190" s="2">
        <v>12.6525045444012</v>
      </c>
      <c r="AH190" s="2">
        <v>98.295584446792205</v>
      </c>
      <c r="AI190" s="2">
        <v>8.8600904792906192</v>
      </c>
      <c r="AJ190" s="2">
        <v>108.981255984583</v>
      </c>
      <c r="AK190" s="2">
        <v>15.096915775346099</v>
      </c>
      <c r="AL190" s="2">
        <v>121.568470656645</v>
      </c>
      <c r="AM190" s="2">
        <v>27.623451935120599</v>
      </c>
      <c r="AN190"/>
      <c r="AO190"/>
    </row>
    <row r="191" spans="1:41" ht="15.75" hidden="1" customHeight="1" x14ac:dyDescent="0.45">
      <c r="A191" s="2" t="s">
        <v>120</v>
      </c>
      <c r="B191" s="2" t="s">
        <v>104</v>
      </c>
      <c r="C191" s="2">
        <v>1</v>
      </c>
      <c r="D191" s="2"/>
      <c r="E191" s="2" t="s">
        <v>83</v>
      </c>
      <c r="F191" s="2" t="s">
        <v>84</v>
      </c>
      <c r="H191" s="2">
        <v>6.3</v>
      </c>
      <c r="J191" s="2">
        <v>6.2613594609999996</v>
      </c>
      <c r="K191" s="2">
        <v>40.069248055555498</v>
      </c>
      <c r="L191" s="2"/>
      <c r="M191" s="2">
        <v>2.6795657622870301</v>
      </c>
      <c r="N191" s="2">
        <v>215.111111111111</v>
      </c>
      <c r="O191" s="2">
        <v>15.974226927332801</v>
      </c>
      <c r="P191" s="2">
        <v>33.851442669444403</v>
      </c>
      <c r="Q191" s="2">
        <v>4.9418659363785098</v>
      </c>
      <c r="R191" s="2">
        <v>3.22753000222222</v>
      </c>
      <c r="S191" s="2">
        <v>0.36178784507758799</v>
      </c>
      <c r="T191" s="2">
        <v>2.8834538893333299</v>
      </c>
      <c r="U191" s="2">
        <v>0.371529800955478</v>
      </c>
      <c r="V191" s="2">
        <v>0.425178467666666</v>
      </c>
      <c r="W191" s="2">
        <v>0.20232535114480699</v>
      </c>
      <c r="X191" s="2">
        <v>3.6370563467222201</v>
      </c>
      <c r="Y191" s="2">
        <v>0.47866603948856501</v>
      </c>
      <c r="Z191" s="7">
        <v>77.131474103585603</v>
      </c>
      <c r="AA191" s="2">
        <v>5.7278104520317097</v>
      </c>
      <c r="AB191" s="7">
        <v>100.373321077523</v>
      </c>
      <c r="AC191" s="2">
        <v>6.71230251771805</v>
      </c>
      <c r="AD191" s="2">
        <v>65.127312878807501</v>
      </c>
      <c r="AE191" s="2">
        <v>8.3915812491882509</v>
      </c>
      <c r="AF191" s="2">
        <v>100.105000827778</v>
      </c>
      <c r="AG191" s="2">
        <v>14.614015080027301</v>
      </c>
      <c r="AH191" s="2">
        <v>86.406042643192393</v>
      </c>
      <c r="AI191" s="2">
        <v>9.68562831268469</v>
      </c>
      <c r="AJ191" s="2">
        <v>90.406044372012104</v>
      </c>
      <c r="AK191" s="2">
        <v>43.020604438324</v>
      </c>
      <c r="AL191" s="2">
        <v>108.022127213264</v>
      </c>
      <c r="AM191" s="2">
        <v>14.216585854354999</v>
      </c>
      <c r="AN191"/>
      <c r="AO191"/>
    </row>
    <row r="192" spans="1:41" ht="15.75" hidden="1" customHeight="1" x14ac:dyDescent="0.45">
      <c r="A192" s="2" t="s">
        <v>120</v>
      </c>
      <c r="B192" s="2" t="s">
        <v>104</v>
      </c>
      <c r="C192" s="2">
        <v>3</v>
      </c>
      <c r="D192" s="2"/>
      <c r="E192" s="2" t="s">
        <v>83</v>
      </c>
      <c r="F192" s="2" t="s">
        <v>84</v>
      </c>
      <c r="H192" s="2">
        <v>6.3</v>
      </c>
      <c r="J192" s="2">
        <v>6.2613594609999996</v>
      </c>
      <c r="K192" s="2">
        <v>33.848991143333301</v>
      </c>
      <c r="L192" s="2"/>
      <c r="M192" s="2">
        <v>4.1139701345827397</v>
      </c>
      <c r="N192" s="2">
        <v>205.888888888888</v>
      </c>
      <c r="O192" s="2">
        <v>42.669379254049602</v>
      </c>
      <c r="P192" s="2">
        <v>26.146856308333302</v>
      </c>
      <c r="Q192" s="2">
        <v>3.68168609436785</v>
      </c>
      <c r="R192" s="2">
        <v>3.8555716557222199</v>
      </c>
      <c r="S192" s="2">
        <v>1.4943630238708101</v>
      </c>
      <c r="T192" s="2">
        <v>3.9493507058333299</v>
      </c>
      <c r="U192" s="2">
        <v>0.84366446211708701</v>
      </c>
      <c r="V192" s="2">
        <v>0.29500016761111097</v>
      </c>
      <c r="W192" s="2">
        <v>0.189039599305487</v>
      </c>
      <c r="X192" s="2">
        <v>3.9624755992222198</v>
      </c>
      <c r="Y192" s="2">
        <v>0.83206678283374902</v>
      </c>
      <c r="Z192" s="7">
        <v>73.824701195219106</v>
      </c>
      <c r="AA192" s="2">
        <v>15.299777421770701</v>
      </c>
      <c r="AB192" s="7">
        <v>84.7916000686958</v>
      </c>
      <c r="AC192" s="2">
        <v>10.3054802687908</v>
      </c>
      <c r="AD192" s="2">
        <v>89.202258457621795</v>
      </c>
      <c r="AE192" s="2">
        <v>19.055480509776402</v>
      </c>
      <c r="AF192" s="2">
        <v>77.321108525519804</v>
      </c>
      <c r="AG192" s="2">
        <v>10.887429322384101</v>
      </c>
      <c r="AH192" s="2">
        <v>103.219703199921</v>
      </c>
      <c r="AI192" s="2">
        <v>40.006443031075896</v>
      </c>
      <c r="AJ192" s="2">
        <v>62.726126252728797</v>
      </c>
      <c r="AK192" s="2">
        <v>40.195644188354798</v>
      </c>
      <c r="AL192" s="2">
        <v>117.6872180285</v>
      </c>
      <c r="AM192" s="2">
        <v>24.7127389011175</v>
      </c>
      <c r="AN192"/>
      <c r="AO192"/>
    </row>
    <row r="193" spans="1:41" ht="15.75" hidden="1" customHeight="1" x14ac:dyDescent="0.45">
      <c r="A193" s="2" t="s">
        <v>120</v>
      </c>
      <c r="B193" s="2" t="s">
        <v>104</v>
      </c>
      <c r="C193" s="2">
        <v>10</v>
      </c>
      <c r="D193" s="2"/>
      <c r="E193" s="2" t="s">
        <v>83</v>
      </c>
      <c r="F193" s="2" t="s">
        <v>84</v>
      </c>
      <c r="H193" s="2">
        <v>6.3</v>
      </c>
      <c r="J193" s="2">
        <v>6.2613594609999996</v>
      </c>
      <c r="K193" s="2">
        <v>22.228217961111099</v>
      </c>
      <c r="L193" s="2"/>
      <c r="M193" s="2">
        <v>3.5351076488414299</v>
      </c>
      <c r="N193" s="2">
        <v>102.388888888888</v>
      </c>
      <c r="O193" s="2">
        <v>12.4435763586114</v>
      </c>
      <c r="P193" s="2">
        <v>17.718870619999901</v>
      </c>
      <c r="Q193" s="2">
        <v>3.4183124260009898</v>
      </c>
      <c r="R193" s="2">
        <v>4.34919407744444</v>
      </c>
      <c r="S193" s="2">
        <v>3.3617510731224902</v>
      </c>
      <c r="T193" s="2">
        <v>7.1120676150555502</v>
      </c>
      <c r="U193" s="2">
        <v>3.1379355125382702</v>
      </c>
      <c r="V193" s="2">
        <v>9.4047619055555504E-2</v>
      </c>
      <c r="W193" s="2">
        <v>8.1814388133214302E-2</v>
      </c>
      <c r="X193" s="2">
        <v>6.7913644944999998</v>
      </c>
      <c r="Y193" s="2">
        <v>1.3791241379711801</v>
      </c>
      <c r="Z193" s="7">
        <v>36.713147410358502</v>
      </c>
      <c r="AA193" s="2">
        <v>4.4618401285857896</v>
      </c>
      <c r="AB193" s="7">
        <v>55.6816053872124</v>
      </c>
      <c r="AC193" s="2">
        <v>8.8554318411166797</v>
      </c>
      <c r="AD193" s="2">
        <v>160.637163123856</v>
      </c>
      <c r="AE193" s="2">
        <v>70.8751780892364</v>
      </c>
      <c r="AF193" s="2">
        <v>52.397990106443999</v>
      </c>
      <c r="AG193" s="2">
        <v>10.108584487104</v>
      </c>
      <c r="AH193" s="2">
        <v>116.43474999781201</v>
      </c>
      <c r="AI193" s="2">
        <v>89.999351324394098</v>
      </c>
      <c r="AJ193" s="2">
        <v>19.997421948668499</v>
      </c>
      <c r="AK193" s="2">
        <v>17.3962600797535</v>
      </c>
      <c r="AL193" s="2">
        <v>201.706426692474</v>
      </c>
      <c r="AM193" s="2">
        <v>40.960576046358597</v>
      </c>
      <c r="AN193"/>
      <c r="AO193"/>
    </row>
    <row r="194" spans="1:41" ht="15.75" hidden="1" customHeight="1" x14ac:dyDescent="0.45">
      <c r="A194" s="2" t="s">
        <v>121</v>
      </c>
      <c r="B194" s="2" t="s">
        <v>122</v>
      </c>
      <c r="C194" s="2">
        <v>3.0000000000000001E-3</v>
      </c>
      <c r="D194" s="2"/>
      <c r="E194" s="2" t="s">
        <v>109</v>
      </c>
      <c r="F194" s="2" t="s">
        <v>84</v>
      </c>
      <c r="H194" s="2">
        <v>0.1</v>
      </c>
      <c r="J194" s="2">
        <v>0.1</v>
      </c>
      <c r="K194" s="2">
        <v>34.6111111111111</v>
      </c>
      <c r="L194" s="2"/>
      <c r="M194" s="2">
        <v>1.97437284932406</v>
      </c>
      <c r="N194" s="2">
        <v>146.055555555555</v>
      </c>
      <c r="O194" s="2">
        <v>9.9167833793321503</v>
      </c>
      <c r="P194" s="2">
        <v>17.8888888888888</v>
      </c>
      <c r="Q194" s="2">
        <v>4.0971986816649304</v>
      </c>
      <c r="R194" s="2">
        <v>1.94444444444444</v>
      </c>
      <c r="S194" s="2">
        <v>0.85526690657448101</v>
      </c>
      <c r="T194" s="2">
        <v>4.7222222222222197</v>
      </c>
      <c r="U194" s="2">
        <v>0.48112522432468702</v>
      </c>
      <c r="V194" s="2">
        <v>0.61111111111111105</v>
      </c>
      <c r="W194" s="2">
        <v>0.34694433324435497</v>
      </c>
      <c r="X194" s="2">
        <v>2.3333333333333299</v>
      </c>
      <c r="Y194" s="2">
        <v>0.600925212577331</v>
      </c>
      <c r="Z194" s="7">
        <v>101.73164361033101</v>
      </c>
      <c r="AA194" s="2">
        <v>6.9073077615547502</v>
      </c>
      <c r="AB194" s="7">
        <v>97.34375</v>
      </c>
      <c r="AC194" s="2">
        <v>5.5529236387239402</v>
      </c>
      <c r="AD194" s="2">
        <v>96.590909090908994</v>
      </c>
      <c r="AE194" s="2">
        <v>9.8411977702777005</v>
      </c>
      <c r="AF194" s="2">
        <v>106.622516556291</v>
      </c>
      <c r="AG194" s="2">
        <v>24.4203894933671</v>
      </c>
      <c r="AH194" s="2">
        <v>83.3333333333333</v>
      </c>
      <c r="AI194" s="2">
        <v>36.6542959960492</v>
      </c>
      <c r="AJ194" s="2">
        <v>100</v>
      </c>
      <c r="AK194" s="2">
        <v>56.772709076349003</v>
      </c>
      <c r="AL194" s="2">
        <v>103.703703703703</v>
      </c>
      <c r="AM194" s="2">
        <v>26.7077872256591</v>
      </c>
      <c r="AN194"/>
      <c r="AO194"/>
    </row>
    <row r="195" spans="1:41" ht="15.75" hidden="1" customHeight="1" x14ac:dyDescent="0.45">
      <c r="A195" s="2" t="s">
        <v>121</v>
      </c>
      <c r="B195" s="2" t="s">
        <v>122</v>
      </c>
      <c r="C195" s="2">
        <v>0.01</v>
      </c>
      <c r="D195" s="2"/>
      <c r="E195" s="2" t="s">
        <v>109</v>
      </c>
      <c r="F195" s="2" t="s">
        <v>84</v>
      </c>
      <c r="H195" s="2">
        <v>0.1</v>
      </c>
      <c r="J195" s="2">
        <v>0.1</v>
      </c>
      <c r="K195" s="2">
        <v>19.2222222222222</v>
      </c>
      <c r="L195" s="2"/>
      <c r="M195" s="2">
        <v>10.435427549849001</v>
      </c>
      <c r="N195" s="2">
        <v>101</v>
      </c>
      <c r="O195" s="2">
        <v>25.981296691615999</v>
      </c>
      <c r="P195" s="2">
        <v>12.7222222222222</v>
      </c>
      <c r="Q195" s="2">
        <v>3.3678765702728102</v>
      </c>
      <c r="R195" s="2">
        <v>1</v>
      </c>
      <c r="S195" s="2">
        <v>0.88191710368819698</v>
      </c>
      <c r="T195" s="2">
        <v>4.1666666666666599</v>
      </c>
      <c r="U195" s="2">
        <v>1.4529663145135501</v>
      </c>
      <c r="V195" s="2">
        <v>0.38888888888888801</v>
      </c>
      <c r="W195" s="2">
        <v>0.25458753860865702</v>
      </c>
      <c r="X195" s="2">
        <v>2.55555555555555</v>
      </c>
      <c r="Y195" s="2">
        <v>0.53575837561072004</v>
      </c>
      <c r="Z195" s="7">
        <v>70.349230918061295</v>
      </c>
      <c r="AA195" s="2">
        <v>18.096675648605501</v>
      </c>
      <c r="AB195" s="7">
        <v>54.0625</v>
      </c>
      <c r="AC195" s="2">
        <v>29.3496399839504</v>
      </c>
      <c r="AD195" s="2">
        <v>85.227272727272705</v>
      </c>
      <c r="AE195" s="2">
        <v>29.7197655241409</v>
      </c>
      <c r="AF195" s="2">
        <v>75.8278145695364</v>
      </c>
      <c r="AG195" s="2">
        <v>20.073436511559802</v>
      </c>
      <c r="AH195" s="2">
        <v>42.857142857142797</v>
      </c>
      <c r="AI195" s="2">
        <v>37.796447300922701</v>
      </c>
      <c r="AJ195" s="2">
        <v>63.636363636363598</v>
      </c>
      <c r="AK195" s="2">
        <v>41.659779045053</v>
      </c>
      <c r="AL195" s="2">
        <v>113.58024691358</v>
      </c>
      <c r="AM195" s="2">
        <v>23.811483360476402</v>
      </c>
      <c r="AN195"/>
      <c r="AO195"/>
    </row>
    <row r="196" spans="1:41" ht="15.75" hidden="1" customHeight="1" x14ac:dyDescent="0.45">
      <c r="A196" s="2" t="s">
        <v>121</v>
      </c>
      <c r="B196" s="2" t="s">
        <v>122</v>
      </c>
      <c r="C196" s="2">
        <v>0.03</v>
      </c>
      <c r="D196" s="2"/>
      <c r="E196" s="2" t="s">
        <v>109</v>
      </c>
      <c r="F196" s="2" t="s">
        <v>84</v>
      </c>
      <c r="H196" s="2">
        <v>0.1</v>
      </c>
      <c r="J196" s="2">
        <v>0.1</v>
      </c>
      <c r="K196" s="2">
        <v>8.6666666666666607</v>
      </c>
      <c r="L196" s="2"/>
      <c r="M196" s="2">
        <v>3.0595932917809701</v>
      </c>
      <c r="N196" s="2">
        <v>70.2777777777777</v>
      </c>
      <c r="O196" s="2">
        <v>8.9090050157338698</v>
      </c>
      <c r="P196" s="2">
        <v>9.7222222222222197</v>
      </c>
      <c r="Q196" s="2">
        <v>2.99227400211005</v>
      </c>
      <c r="R196" s="2">
        <v>0.22222222222222199</v>
      </c>
      <c r="S196" s="2">
        <v>0.25458753860865702</v>
      </c>
      <c r="T196" s="2">
        <v>1.6111111111111101</v>
      </c>
      <c r="U196" s="2">
        <v>0.25458753860865702</v>
      </c>
      <c r="V196" s="2">
        <v>0.27777777777777701</v>
      </c>
      <c r="W196" s="2">
        <v>0.25458753860865702</v>
      </c>
      <c r="X196" s="2">
        <v>2.2222222222222201</v>
      </c>
      <c r="Y196" s="2">
        <v>0.34694433324435497</v>
      </c>
      <c r="Z196" s="7">
        <v>48.950372448486</v>
      </c>
      <c r="AA196" s="2">
        <v>6.2053628821983002</v>
      </c>
      <c r="AB196" s="7">
        <v>24.375</v>
      </c>
      <c r="AC196" s="2">
        <v>8.6051061331339795</v>
      </c>
      <c r="AD196" s="2">
        <v>32.954545454545404</v>
      </c>
      <c r="AE196" s="2">
        <v>5.2074723806316197</v>
      </c>
      <c r="AF196" s="2">
        <v>57.947019867549599</v>
      </c>
      <c r="AG196" s="2">
        <v>17.834745707940701</v>
      </c>
      <c r="AH196" s="2">
        <v>9.5238095238095202</v>
      </c>
      <c r="AI196" s="2">
        <v>10.910894511799601</v>
      </c>
      <c r="AJ196" s="2">
        <v>45.454545454545404</v>
      </c>
      <c r="AK196" s="2">
        <v>41.659779045053</v>
      </c>
      <c r="AL196" s="2">
        <v>98.765432098765402</v>
      </c>
      <c r="AM196" s="2">
        <v>15.4197481441935</v>
      </c>
      <c r="AN196"/>
      <c r="AO196"/>
    </row>
    <row r="197" spans="1:41" ht="15.75" hidden="1" customHeight="1" x14ac:dyDescent="0.45">
      <c r="A197" s="2" t="s">
        <v>121</v>
      </c>
      <c r="B197" s="2" t="s">
        <v>122</v>
      </c>
      <c r="C197" s="2">
        <v>0.1</v>
      </c>
      <c r="D197" s="2"/>
      <c r="E197" s="2" t="s">
        <v>109</v>
      </c>
      <c r="F197" s="2" t="s">
        <v>84</v>
      </c>
      <c r="H197" s="2">
        <v>0.1</v>
      </c>
      <c r="J197" s="2">
        <v>0.1</v>
      </c>
      <c r="K197" s="2">
        <v>4.2222222222222197</v>
      </c>
      <c r="L197" s="2"/>
      <c r="M197" s="2">
        <v>1.5122952876462401</v>
      </c>
      <c r="N197" s="2">
        <v>63.5</v>
      </c>
      <c r="O197" s="2">
        <v>5.6297819180181703</v>
      </c>
      <c r="P197" s="2">
        <v>9.7222222222222197</v>
      </c>
      <c r="Q197" s="2">
        <v>2.2993557873972001</v>
      </c>
      <c r="R197" s="2">
        <v>0.16666666666666599</v>
      </c>
      <c r="S197" s="2">
        <v>0.16666666666666599</v>
      </c>
      <c r="T197" s="2">
        <v>2.3333333333333299</v>
      </c>
      <c r="U197" s="2">
        <v>0.33333333333333498</v>
      </c>
      <c r="V197" s="2">
        <v>5.5555555555555497E-2</v>
      </c>
      <c r="W197" s="2">
        <v>9.6225044864937603E-2</v>
      </c>
      <c r="X197" s="2">
        <v>2.1666666666666599</v>
      </c>
      <c r="Y197" s="2">
        <v>0.92796072713833699</v>
      </c>
      <c r="Z197" s="7">
        <v>44.229466963335497</v>
      </c>
      <c r="AA197" s="2">
        <v>3.9212953284058001</v>
      </c>
      <c r="AB197" s="7">
        <v>11.875</v>
      </c>
      <c r="AC197" s="2">
        <v>4.2533304965050602</v>
      </c>
      <c r="AD197" s="2">
        <v>47.727272727272698</v>
      </c>
      <c r="AE197" s="2">
        <v>6.8181818181818601</v>
      </c>
      <c r="AF197" s="2">
        <v>57.947019867549599</v>
      </c>
      <c r="AG197" s="2">
        <v>13.704769593758099</v>
      </c>
      <c r="AH197" s="2">
        <v>7.1428571428571397</v>
      </c>
      <c r="AI197" s="2">
        <v>7.1428571428571397</v>
      </c>
      <c r="AJ197" s="2">
        <v>9.0909090909090899</v>
      </c>
      <c r="AK197" s="2">
        <v>15.7459164324443</v>
      </c>
      <c r="AL197" s="2">
        <v>96.296296296296305</v>
      </c>
      <c r="AM197" s="2">
        <v>41.242698983926097</v>
      </c>
      <c r="AN197"/>
      <c r="AO197"/>
    </row>
    <row r="198" spans="1:41" ht="15.75" hidden="1" customHeight="1" x14ac:dyDescent="0.45">
      <c r="A198" s="2" t="s">
        <v>121</v>
      </c>
      <c r="B198" s="2" t="s">
        <v>122</v>
      </c>
      <c r="C198" s="2">
        <v>0.3</v>
      </c>
      <c r="D198" s="2"/>
      <c r="E198" s="2" t="s">
        <v>109</v>
      </c>
      <c r="F198" s="2" t="s">
        <v>84</v>
      </c>
      <c r="H198" s="2">
        <v>0.1</v>
      </c>
      <c r="J198" s="2">
        <v>0.1</v>
      </c>
      <c r="K198" s="2">
        <v>0.66666666666666596</v>
      </c>
      <c r="L198" s="2"/>
      <c r="M198" s="2">
        <v>1.1547005383792499</v>
      </c>
      <c r="N198" s="2">
        <v>58.1666666666666</v>
      </c>
      <c r="O198" s="2">
        <v>3.9826010484494101</v>
      </c>
      <c r="P198" s="2">
        <v>8.1666666666666607</v>
      </c>
      <c r="Q198" s="2">
        <v>2.4888640871780101</v>
      </c>
      <c r="R198" s="2">
        <v>5.5555555555555497E-2</v>
      </c>
      <c r="S198" s="2">
        <v>9.6225044864937603E-2</v>
      </c>
      <c r="T198" s="2">
        <v>3.7777777777777701</v>
      </c>
      <c r="U198" s="2">
        <v>2.5294560972960398</v>
      </c>
      <c r="V198" s="2">
        <v>0.27777777777777701</v>
      </c>
      <c r="W198" s="2">
        <v>0.25458753860865702</v>
      </c>
      <c r="X198" s="2">
        <v>2.5</v>
      </c>
      <c r="Y198" s="2">
        <v>0.66666666666666596</v>
      </c>
      <c r="Z198" s="7">
        <v>40.514656089774597</v>
      </c>
      <c r="AA198" s="2">
        <v>2.7739893149691199</v>
      </c>
      <c r="AB198" s="7">
        <v>1.875</v>
      </c>
      <c r="AC198" s="2">
        <v>3.2475952641916401</v>
      </c>
      <c r="AD198" s="2">
        <v>77.272727272727195</v>
      </c>
      <c r="AE198" s="2">
        <v>51.738874717419101</v>
      </c>
      <c r="AF198" s="2">
        <v>48.675496688741703</v>
      </c>
      <c r="AG198" s="2">
        <v>14.8342892613259</v>
      </c>
      <c r="AH198" s="2">
        <v>2.38095238095238</v>
      </c>
      <c r="AI198" s="2">
        <v>4.12393049421161</v>
      </c>
      <c r="AJ198" s="2">
        <v>45.454545454545404</v>
      </c>
      <c r="AK198" s="2">
        <v>41.659779045053099</v>
      </c>
      <c r="AL198" s="2">
        <v>111.111111111111</v>
      </c>
      <c r="AM198" s="2">
        <v>29.629629629629601</v>
      </c>
      <c r="AN198"/>
      <c r="AO198"/>
    </row>
    <row r="199" spans="1:41" ht="15.75" hidden="1" customHeight="1" x14ac:dyDescent="0.45">
      <c r="A199" s="2" t="s">
        <v>121</v>
      </c>
      <c r="B199" s="2" t="s">
        <v>122</v>
      </c>
      <c r="C199" s="2">
        <v>1</v>
      </c>
      <c r="D199" s="2"/>
      <c r="E199" s="2" t="s">
        <v>109</v>
      </c>
      <c r="F199" s="2" t="s">
        <v>84</v>
      </c>
      <c r="H199" s="2">
        <v>0.1</v>
      </c>
      <c r="J199" s="2">
        <v>0.1</v>
      </c>
      <c r="K199" s="2">
        <v>0.11111111111111099</v>
      </c>
      <c r="L199" s="2"/>
      <c r="M199" s="2">
        <v>0.19245008972987501</v>
      </c>
      <c r="N199" s="2">
        <v>52.2777777777777</v>
      </c>
      <c r="O199" s="2">
        <v>4.3022388658998301</v>
      </c>
      <c r="P199" s="2">
        <v>6</v>
      </c>
      <c r="Q199" s="2">
        <v>0.44095855184409599</v>
      </c>
      <c r="R199" s="2">
        <v>0</v>
      </c>
      <c r="S199" s="2">
        <v>0</v>
      </c>
      <c r="T199" s="2">
        <v>4</v>
      </c>
      <c r="U199" s="2">
        <v>2.2047927592204899</v>
      </c>
      <c r="V199" s="2">
        <v>0</v>
      </c>
      <c r="W199" s="2">
        <v>0</v>
      </c>
      <c r="X199" s="2">
        <v>3.1111111111111098</v>
      </c>
      <c r="Y199" s="2">
        <v>0.34694433324435497</v>
      </c>
      <c r="Z199" s="7">
        <v>36.412885750217598</v>
      </c>
      <c r="AA199" s="2">
        <v>2.99662569744401</v>
      </c>
      <c r="AB199" s="7">
        <v>0.3125</v>
      </c>
      <c r="AC199" s="2">
        <v>0.54126587736527398</v>
      </c>
      <c r="AD199" s="2">
        <v>81.818181818181799</v>
      </c>
      <c r="AE199" s="2">
        <v>45.098033711328199</v>
      </c>
      <c r="AF199" s="2">
        <v>35.761589403973502</v>
      </c>
      <c r="AG199" s="2">
        <v>2.6282297792032199</v>
      </c>
      <c r="AH199" s="2">
        <v>0</v>
      </c>
      <c r="AI199" s="2">
        <v>0</v>
      </c>
      <c r="AJ199" s="2">
        <v>0</v>
      </c>
      <c r="AK199" s="2">
        <v>0</v>
      </c>
      <c r="AL199" s="2">
        <v>138.271604938271</v>
      </c>
      <c r="AM199" s="2">
        <v>15.4197481441935</v>
      </c>
      <c r="AN199"/>
      <c r="AO199"/>
    </row>
    <row r="200" spans="1:41" ht="15.75" hidden="1" customHeight="1" x14ac:dyDescent="0.45">
      <c r="A200" s="2" t="s">
        <v>121</v>
      </c>
      <c r="B200" s="2" t="s">
        <v>122</v>
      </c>
      <c r="C200" s="2">
        <v>3</v>
      </c>
      <c r="D200" s="2"/>
      <c r="E200" s="2" t="s">
        <v>109</v>
      </c>
      <c r="F200" s="2" t="s">
        <v>84</v>
      </c>
      <c r="H200" s="2">
        <v>0.1</v>
      </c>
      <c r="J200" s="2">
        <v>0.1</v>
      </c>
      <c r="K200" s="2">
        <v>0</v>
      </c>
      <c r="L200" s="2"/>
      <c r="M200" s="2">
        <v>0</v>
      </c>
      <c r="N200" s="2">
        <v>36.2222222222222</v>
      </c>
      <c r="O200" s="2">
        <v>2.3114048958572901</v>
      </c>
      <c r="P200" s="2">
        <v>3.2777777777777701</v>
      </c>
      <c r="Q200" s="2">
        <v>1.22851913263866</v>
      </c>
      <c r="R200" s="2">
        <v>0.5</v>
      </c>
      <c r="S200" s="2">
        <v>0.5</v>
      </c>
      <c r="T200" s="2">
        <v>7.9444444444444402</v>
      </c>
      <c r="U200" s="2">
        <v>3.1284240500668998</v>
      </c>
      <c r="V200" s="2">
        <v>0</v>
      </c>
      <c r="W200" s="2">
        <v>0</v>
      </c>
      <c r="X200" s="2">
        <v>7.4444444444444402</v>
      </c>
      <c r="Y200" s="2">
        <v>1.6777409856157099</v>
      </c>
      <c r="Z200" s="7">
        <v>25.229757182935</v>
      </c>
      <c r="AA200" s="2">
        <v>1.60995600756239</v>
      </c>
      <c r="AB200" s="7">
        <v>0</v>
      </c>
      <c r="AC200" s="2">
        <v>0</v>
      </c>
      <c r="AD200" s="2">
        <v>162.5</v>
      </c>
      <c r="AE200" s="2">
        <v>63.990491933186703</v>
      </c>
      <c r="AF200" s="2">
        <v>19.536423841059602</v>
      </c>
      <c r="AG200" s="2">
        <v>7.3222994660582597</v>
      </c>
      <c r="AH200" s="2">
        <v>21.428571428571399</v>
      </c>
      <c r="AI200" s="2">
        <v>21.428571428571399</v>
      </c>
      <c r="AJ200" s="2">
        <v>0</v>
      </c>
      <c r="AK200" s="2">
        <v>0</v>
      </c>
      <c r="AL200" s="2">
        <v>330.86419753086398</v>
      </c>
      <c r="AM200" s="2">
        <v>74.566266027365103</v>
      </c>
      <c r="AN200"/>
      <c r="AO200"/>
    </row>
    <row r="201" spans="1:41" ht="15.75" hidden="1" customHeight="1" x14ac:dyDescent="0.45">
      <c r="A201" s="2" t="s">
        <v>121</v>
      </c>
      <c r="B201" s="2" t="s">
        <v>122</v>
      </c>
      <c r="C201" s="2">
        <v>10</v>
      </c>
      <c r="D201" s="2"/>
      <c r="E201" s="2" t="s">
        <v>109</v>
      </c>
      <c r="F201" s="2" t="s">
        <v>84</v>
      </c>
      <c r="H201" s="2">
        <v>0.1</v>
      </c>
      <c r="J201" s="2">
        <v>0.1</v>
      </c>
      <c r="K201" s="2">
        <v>0.16666666666666599</v>
      </c>
      <c r="L201" s="2"/>
      <c r="M201" s="2">
        <v>0.28867513459481198</v>
      </c>
      <c r="N201" s="2">
        <v>30.1111111111111</v>
      </c>
      <c r="O201" s="2">
        <v>4.50411334637983</v>
      </c>
      <c r="P201" s="2">
        <v>3.4444444444444402</v>
      </c>
      <c r="Q201" s="2">
        <v>1.1097213530798999</v>
      </c>
      <c r="R201" s="2">
        <v>0.11111111111111099</v>
      </c>
      <c r="S201" s="2">
        <v>0.19245008972987501</v>
      </c>
      <c r="T201" s="2">
        <v>9.1111111111111107</v>
      </c>
      <c r="U201" s="2">
        <v>1.6015039228221699</v>
      </c>
      <c r="V201" s="2">
        <v>0.11111111111111099</v>
      </c>
      <c r="W201" s="2">
        <v>0.19245008972987501</v>
      </c>
      <c r="X201" s="2">
        <v>7.2777777777777697</v>
      </c>
      <c r="Y201" s="2">
        <v>0.96225044864937503</v>
      </c>
      <c r="Z201" s="7">
        <v>20.973203056979699</v>
      </c>
      <c r="AA201" s="2">
        <v>3.1372367315405598</v>
      </c>
      <c r="AB201" s="7">
        <v>0.46875</v>
      </c>
      <c r="AC201" s="2">
        <v>0.81189881604791103</v>
      </c>
      <c r="AD201" s="2">
        <v>186.363636363636</v>
      </c>
      <c r="AE201" s="2">
        <v>32.758034784998998</v>
      </c>
      <c r="AF201" s="2">
        <v>20.5298013245033</v>
      </c>
      <c r="AG201" s="2">
        <v>6.6142332302775397</v>
      </c>
      <c r="AH201" s="2">
        <v>4.7619047619047601</v>
      </c>
      <c r="AI201" s="2">
        <v>8.2478609884232199</v>
      </c>
      <c r="AJ201" s="2">
        <v>18.181818181818102</v>
      </c>
      <c r="AK201" s="2">
        <v>31.4918328648886</v>
      </c>
      <c r="AL201" s="2">
        <v>323.45679012345602</v>
      </c>
      <c r="AM201" s="2">
        <v>42.7666866066388</v>
      </c>
      <c r="AN201"/>
      <c r="AO201"/>
    </row>
    <row r="202" spans="1:41" ht="15.75" hidden="1" customHeight="1" x14ac:dyDescent="0.45">
      <c r="A202" s="2" t="s">
        <v>121</v>
      </c>
      <c r="B202" s="2" t="s">
        <v>122</v>
      </c>
      <c r="C202" s="2">
        <v>3.0000000000000001E-3</v>
      </c>
      <c r="D202" s="2"/>
      <c r="E202" s="2" t="s">
        <v>109</v>
      </c>
      <c r="F202" s="2" t="s">
        <v>84</v>
      </c>
      <c r="H202" s="2">
        <v>0.1</v>
      </c>
      <c r="J202" s="2">
        <v>0.1</v>
      </c>
      <c r="K202" s="2">
        <v>24.5</v>
      </c>
      <c r="L202" s="2"/>
      <c r="M202" s="2">
        <v>10.6314522892113</v>
      </c>
      <c r="N202" s="2">
        <v>182.222222222222</v>
      </c>
      <c r="O202" s="2">
        <v>72.896679800426497</v>
      </c>
      <c r="P202" s="2">
        <v>11.2222222222222</v>
      </c>
      <c r="Q202" s="2">
        <v>1.6442942874387301</v>
      </c>
      <c r="R202" s="2">
        <v>1.8333333333333299</v>
      </c>
      <c r="S202" s="2">
        <v>1.42400062421958</v>
      </c>
      <c r="T202" s="2">
        <v>7.2777777777777697</v>
      </c>
      <c r="U202" s="2">
        <v>0.69388866648869996</v>
      </c>
      <c r="V202" s="2">
        <v>0.44444444444444398</v>
      </c>
      <c r="W202" s="2">
        <v>0.25458753860865702</v>
      </c>
      <c r="X202" s="2">
        <v>4.3888888888888804</v>
      </c>
      <c r="Y202" s="2">
        <v>0.34694433324436502</v>
      </c>
      <c r="Z202" s="7">
        <v>76.891519662427399</v>
      </c>
      <c r="AA202" s="2">
        <v>30.759895362074101</v>
      </c>
      <c r="AB202" s="7">
        <v>69.944488501189497</v>
      </c>
      <c r="AC202" s="2">
        <v>30.3514894854567</v>
      </c>
      <c r="AD202" s="2">
        <v>91.289198606271697</v>
      </c>
      <c r="AE202" s="2">
        <v>8.7038299629244609</v>
      </c>
      <c r="AF202" s="2">
        <v>80.8</v>
      </c>
      <c r="AG202" s="2">
        <v>11.838918869558899</v>
      </c>
      <c r="AH202" s="2">
        <v>100.763358778625</v>
      </c>
      <c r="AI202" s="2">
        <v>78.265683163214007</v>
      </c>
      <c r="AJ202" s="2">
        <v>68.085106382978694</v>
      </c>
      <c r="AK202" s="2">
        <v>39.0006442123901</v>
      </c>
      <c r="AL202" s="2">
        <v>114.90909090909</v>
      </c>
      <c r="AM202" s="2">
        <v>9.0836334522161106</v>
      </c>
      <c r="AN202"/>
      <c r="AO202"/>
    </row>
    <row r="203" spans="1:41" ht="15.75" hidden="1" customHeight="1" x14ac:dyDescent="0.45">
      <c r="A203" s="2" t="s">
        <v>121</v>
      </c>
      <c r="B203" s="2" t="s">
        <v>122</v>
      </c>
      <c r="C203" s="2">
        <v>0.01</v>
      </c>
      <c r="D203" s="2"/>
      <c r="E203" s="2" t="s">
        <v>109</v>
      </c>
      <c r="F203" s="2" t="s">
        <v>84</v>
      </c>
      <c r="H203" s="2">
        <v>0.1</v>
      </c>
      <c r="J203" s="2">
        <v>0.1</v>
      </c>
      <c r="K203" s="2">
        <v>28.0555555555555</v>
      </c>
      <c r="L203" s="2"/>
      <c r="M203" s="2">
        <v>3.1899727155457098</v>
      </c>
      <c r="N203" s="2">
        <v>240.777777777777</v>
      </c>
      <c r="O203" s="2">
        <v>22.6263939615597</v>
      </c>
      <c r="P203" s="2">
        <v>11.4444444444444</v>
      </c>
      <c r="Q203" s="2">
        <v>1.6694421334796501</v>
      </c>
      <c r="R203" s="2">
        <v>2.2222222222222201</v>
      </c>
      <c r="S203" s="2">
        <v>1.13447654759234</v>
      </c>
      <c r="T203" s="2">
        <v>7.55555555555555</v>
      </c>
      <c r="U203" s="2">
        <v>1.3471506281091301</v>
      </c>
      <c r="V203" s="2">
        <v>0.44444444444444398</v>
      </c>
      <c r="W203" s="2">
        <v>0.25458753860865702</v>
      </c>
      <c r="X203" s="2">
        <v>3.1666666666666599</v>
      </c>
      <c r="Y203" s="2">
        <v>0.76376261582597604</v>
      </c>
      <c r="Z203" s="7">
        <v>101.599953114927</v>
      </c>
      <c r="AA203" s="2">
        <v>9.5475611863816603</v>
      </c>
      <c r="AB203" s="7">
        <v>80.095162569389302</v>
      </c>
      <c r="AC203" s="2">
        <v>9.1069799967998097</v>
      </c>
      <c r="AD203" s="2">
        <v>94.773519163762998</v>
      </c>
      <c r="AE203" s="2">
        <v>16.898056659208599</v>
      </c>
      <c r="AF203" s="2">
        <v>82.399999999999906</v>
      </c>
      <c r="AG203" s="2">
        <v>12.0199833610534</v>
      </c>
      <c r="AH203" s="2">
        <v>122.13740458015199</v>
      </c>
      <c r="AI203" s="2">
        <v>62.352909485991198</v>
      </c>
      <c r="AJ203" s="2">
        <v>68.085106382978694</v>
      </c>
      <c r="AK203" s="2">
        <v>39.0006442123901</v>
      </c>
      <c r="AL203" s="2">
        <v>82.909090909090907</v>
      </c>
      <c r="AM203" s="2">
        <v>19.996693941625502</v>
      </c>
      <c r="AN203"/>
      <c r="AO203"/>
    </row>
    <row r="204" spans="1:41" ht="15.75" hidden="1" customHeight="1" x14ac:dyDescent="0.45">
      <c r="A204" s="2" t="s">
        <v>121</v>
      </c>
      <c r="B204" s="2" t="s">
        <v>122</v>
      </c>
      <c r="C204" s="2">
        <v>0.03</v>
      </c>
      <c r="D204" s="2"/>
      <c r="E204" s="2" t="s">
        <v>109</v>
      </c>
      <c r="F204" s="2" t="s">
        <v>84</v>
      </c>
      <c r="H204" s="2">
        <v>0.1</v>
      </c>
      <c r="J204" s="2">
        <v>0.1</v>
      </c>
      <c r="K204" s="2">
        <v>22.5555555555555</v>
      </c>
      <c r="L204" s="2"/>
      <c r="M204" s="2">
        <v>5.8365070731401403</v>
      </c>
      <c r="N204" s="2">
        <v>162.5</v>
      </c>
      <c r="O204" s="2">
        <v>22.030282189144099</v>
      </c>
      <c r="P204" s="2">
        <v>11.6666666666666</v>
      </c>
      <c r="Q204" s="2">
        <v>0.600925212577334</v>
      </c>
      <c r="R204" s="2">
        <v>1.55555555555555</v>
      </c>
      <c r="S204" s="2">
        <v>0.53575837561071904</v>
      </c>
      <c r="T204" s="2">
        <v>7.5</v>
      </c>
      <c r="U204" s="2">
        <v>0.28867513459482902</v>
      </c>
      <c r="V204" s="2">
        <v>0.5</v>
      </c>
      <c r="W204" s="2">
        <v>0.16666666666666599</v>
      </c>
      <c r="X204" s="2">
        <v>3</v>
      </c>
      <c r="Y204" s="2">
        <v>0.28867513459481697</v>
      </c>
      <c r="Z204" s="7">
        <v>68.569419211158603</v>
      </c>
      <c r="AA204" s="2">
        <v>9.2960224908771991</v>
      </c>
      <c r="AB204" s="7">
        <v>64.3933386201427</v>
      </c>
      <c r="AC204" s="2">
        <v>16.662510280178001</v>
      </c>
      <c r="AD204" s="2">
        <v>94.076655052264798</v>
      </c>
      <c r="AE204" s="2">
        <v>3.6210121412591798</v>
      </c>
      <c r="AF204" s="2">
        <v>84</v>
      </c>
      <c r="AG204" s="2">
        <v>4.3266615305567999</v>
      </c>
      <c r="AH204" s="2">
        <v>85.496183206106807</v>
      </c>
      <c r="AI204" s="2">
        <v>29.446261865627299</v>
      </c>
      <c r="AJ204" s="2">
        <v>76.595744680850999</v>
      </c>
      <c r="AK204" s="2">
        <v>25.531914893617</v>
      </c>
      <c r="AL204" s="2">
        <v>78.545454545454504</v>
      </c>
      <c r="AM204" s="2">
        <v>7.5580398875733898</v>
      </c>
      <c r="AN204"/>
      <c r="AO204"/>
    </row>
    <row r="205" spans="1:41" ht="15.75" hidden="1" customHeight="1" x14ac:dyDescent="0.45">
      <c r="A205" s="2" t="s">
        <v>121</v>
      </c>
      <c r="B205" s="2" t="s">
        <v>122</v>
      </c>
      <c r="C205" s="2">
        <v>0.1</v>
      </c>
      <c r="D205" s="2"/>
      <c r="E205" s="2" t="s">
        <v>109</v>
      </c>
      <c r="F205" s="2" t="s">
        <v>84</v>
      </c>
      <c r="H205" s="2">
        <v>0.1</v>
      </c>
      <c r="J205" s="2">
        <v>0.1</v>
      </c>
      <c r="K205" s="2">
        <v>12.4444444444444</v>
      </c>
      <c r="L205" s="2"/>
      <c r="M205" s="2">
        <v>3.5642255405212002</v>
      </c>
      <c r="N205" s="2">
        <v>118.388888888888</v>
      </c>
      <c r="O205" s="2">
        <v>24.513223944396799</v>
      </c>
      <c r="P205" s="2">
        <v>11.4444444444444</v>
      </c>
      <c r="Q205" s="2">
        <v>0.78763593770873797</v>
      </c>
      <c r="R205" s="2">
        <v>0.72222222222222199</v>
      </c>
      <c r="S205" s="2">
        <v>0.38490017945975002</v>
      </c>
      <c r="T205" s="2">
        <v>6.8333333333333304</v>
      </c>
      <c r="U205" s="2">
        <v>0.44095855184409599</v>
      </c>
      <c r="V205" s="2">
        <v>0.61111111111111105</v>
      </c>
      <c r="W205" s="2">
        <v>9.6225044864937798E-2</v>
      </c>
      <c r="X205" s="2">
        <v>3.2222222222222201</v>
      </c>
      <c r="Y205" s="2">
        <v>0.75154162547047998</v>
      </c>
      <c r="Z205" s="7">
        <v>49.956045244095399</v>
      </c>
      <c r="AA205" s="2">
        <v>10.3437386391406</v>
      </c>
      <c r="AB205" s="7">
        <v>35.527359238699397</v>
      </c>
      <c r="AC205" s="2">
        <v>10.1754258095767</v>
      </c>
      <c r="AD205" s="2">
        <v>85.714285714285694</v>
      </c>
      <c r="AE205" s="2">
        <v>5.5311874098910998</v>
      </c>
      <c r="AF205" s="2">
        <v>82.4</v>
      </c>
      <c r="AG205" s="2">
        <v>5.6709787515029104</v>
      </c>
      <c r="AH205" s="2">
        <v>39.694656488549597</v>
      </c>
      <c r="AI205" s="2">
        <v>21.154819023742</v>
      </c>
      <c r="AJ205" s="2">
        <v>93.617021276595693</v>
      </c>
      <c r="AK205" s="2">
        <v>14.740857936756401</v>
      </c>
      <c r="AL205" s="2">
        <v>84.363636363636303</v>
      </c>
      <c r="AM205" s="2">
        <v>19.676726194136201</v>
      </c>
      <c r="AN205"/>
      <c r="AO205"/>
    </row>
    <row r="206" spans="1:41" ht="15.75" hidden="1" customHeight="1" x14ac:dyDescent="0.45">
      <c r="A206" s="2" t="s">
        <v>121</v>
      </c>
      <c r="B206" s="2" t="s">
        <v>122</v>
      </c>
      <c r="C206" s="2">
        <v>0.3</v>
      </c>
      <c r="D206" s="2"/>
      <c r="E206" s="2" t="s">
        <v>109</v>
      </c>
      <c r="F206" s="2" t="s">
        <v>84</v>
      </c>
      <c r="H206" s="2">
        <v>0.1</v>
      </c>
      <c r="J206" s="2">
        <v>0.1</v>
      </c>
      <c r="K206" s="2">
        <v>0.83333333333333304</v>
      </c>
      <c r="L206" s="2"/>
      <c r="M206" s="2">
        <v>0.28867513459481198</v>
      </c>
      <c r="N206" s="2">
        <v>77.0555555555555</v>
      </c>
      <c r="O206" s="2">
        <v>15.061294519150399</v>
      </c>
      <c r="P206" s="2">
        <v>9.7222222222222197</v>
      </c>
      <c r="Q206" s="2">
        <v>2.5513250007122301</v>
      </c>
      <c r="R206" s="2">
        <v>5.5555555555555497E-2</v>
      </c>
      <c r="S206" s="2">
        <v>9.6225044864937603E-2</v>
      </c>
      <c r="T206" s="2">
        <v>6.7222222222222197</v>
      </c>
      <c r="U206" s="2">
        <v>4.45450250786691</v>
      </c>
      <c r="V206" s="2">
        <v>0.66666666666666596</v>
      </c>
      <c r="W206" s="2">
        <v>0.66666666666666596</v>
      </c>
      <c r="X206" s="2">
        <v>3.38888888888888</v>
      </c>
      <c r="Y206" s="2">
        <v>0.34694433324435497</v>
      </c>
      <c r="Z206" s="7">
        <v>32.514798101154497</v>
      </c>
      <c r="AA206" s="2">
        <v>6.3553490322852397</v>
      </c>
      <c r="AB206" s="7">
        <v>2.3790642347343298</v>
      </c>
      <c r="AC206" s="2">
        <v>0.824132025805968</v>
      </c>
      <c r="AD206" s="2">
        <v>84.320557491289193</v>
      </c>
      <c r="AE206" s="2">
        <v>55.8752927816058</v>
      </c>
      <c r="AF206" s="2">
        <v>70</v>
      </c>
      <c r="AG206" s="2">
        <v>18.369540005127998</v>
      </c>
      <c r="AH206" s="2">
        <v>3.0534351145038099</v>
      </c>
      <c r="AI206" s="2">
        <v>5.2887047559355</v>
      </c>
      <c r="AJ206" s="2">
        <v>102.127659574468</v>
      </c>
      <c r="AK206" s="2">
        <v>102.127659574468</v>
      </c>
      <c r="AL206" s="2">
        <v>88.727272727272705</v>
      </c>
      <c r="AM206" s="2">
        <v>9.0836334522158495</v>
      </c>
      <c r="AN206"/>
      <c r="AO206"/>
    </row>
    <row r="207" spans="1:41" ht="15.75" hidden="1" customHeight="1" x14ac:dyDescent="0.45">
      <c r="A207" s="2" t="s">
        <v>121</v>
      </c>
      <c r="B207" s="2" t="s">
        <v>122</v>
      </c>
      <c r="C207" s="2">
        <v>1</v>
      </c>
      <c r="D207" s="2"/>
      <c r="E207" s="2" t="s">
        <v>109</v>
      </c>
      <c r="F207" s="2" t="s">
        <v>84</v>
      </c>
      <c r="H207" s="2">
        <v>0.1</v>
      </c>
      <c r="J207" s="2">
        <v>0.1</v>
      </c>
      <c r="K207" s="2">
        <v>0.66666666666666596</v>
      </c>
      <c r="L207" s="2"/>
      <c r="M207" s="2">
        <v>1.1547005383792499</v>
      </c>
      <c r="N207" s="2">
        <v>58.2222222222222</v>
      </c>
      <c r="O207" s="2">
        <v>2.5945098730746299</v>
      </c>
      <c r="P207" s="2">
        <v>7.8333333333333304</v>
      </c>
      <c r="Q207" s="2">
        <v>2.1666666666666599</v>
      </c>
      <c r="R207" s="2">
        <v>0.11111111111111099</v>
      </c>
      <c r="S207" s="2">
        <v>0.19245008972987501</v>
      </c>
      <c r="T207" s="2">
        <v>8.7222222222222197</v>
      </c>
      <c r="U207" s="2">
        <v>3.0291790844923501</v>
      </c>
      <c r="V207" s="2">
        <v>0.33333333333333298</v>
      </c>
      <c r="W207" s="2">
        <v>0.57735026918962495</v>
      </c>
      <c r="X207" s="2">
        <v>6.3888888888888804</v>
      </c>
      <c r="Y207" s="2">
        <v>1.5485955405295899</v>
      </c>
      <c r="Z207" s="7">
        <v>24.567778233604798</v>
      </c>
      <c r="AA207" s="2">
        <v>1.0947940623651899</v>
      </c>
      <c r="AB207" s="7">
        <v>1.9032513877874699</v>
      </c>
      <c r="AC207" s="2">
        <v>3.2965281032238698</v>
      </c>
      <c r="AD207" s="2">
        <v>109.40766550522601</v>
      </c>
      <c r="AE207" s="2">
        <v>37.996671443109598</v>
      </c>
      <c r="AF207" s="2">
        <v>56.399999999999899</v>
      </c>
      <c r="AG207" s="2">
        <v>15.5999999999999</v>
      </c>
      <c r="AH207" s="2">
        <v>6.1068702290076304</v>
      </c>
      <c r="AI207" s="2">
        <v>10.577409511871</v>
      </c>
      <c r="AJ207" s="2">
        <v>51.063829787233999</v>
      </c>
      <c r="AK207" s="2">
        <v>88.445147620538407</v>
      </c>
      <c r="AL207" s="2">
        <v>167.272727272727</v>
      </c>
      <c r="AM207" s="2">
        <v>40.545046879320402</v>
      </c>
      <c r="AN207"/>
      <c r="AO207"/>
    </row>
    <row r="208" spans="1:41" ht="15.75" hidden="1" customHeight="1" x14ac:dyDescent="0.45">
      <c r="A208" s="2" t="s">
        <v>121</v>
      </c>
      <c r="B208" s="2" t="s">
        <v>122</v>
      </c>
      <c r="C208" s="2">
        <v>3</v>
      </c>
      <c r="D208" s="2"/>
      <c r="E208" s="2" t="s">
        <v>109</v>
      </c>
      <c r="F208" s="2" t="s">
        <v>84</v>
      </c>
      <c r="H208" s="2">
        <v>0.1</v>
      </c>
      <c r="J208" s="2">
        <v>0.1</v>
      </c>
      <c r="K208" s="2">
        <v>0</v>
      </c>
      <c r="L208" s="2"/>
      <c r="M208" s="2">
        <v>0</v>
      </c>
      <c r="N208" s="2">
        <v>42.2777777777777</v>
      </c>
      <c r="O208" s="2">
        <v>10.2121024787766</v>
      </c>
      <c r="P208" s="2">
        <v>4.6666666666666599</v>
      </c>
      <c r="Q208" s="2">
        <v>3.03223423311004</v>
      </c>
      <c r="R208" s="2">
        <v>0.27777777777777701</v>
      </c>
      <c r="S208" s="2">
        <v>0.48112522432468802</v>
      </c>
      <c r="T208" s="2">
        <v>18.4444444444444</v>
      </c>
      <c r="U208" s="2">
        <v>5.7381117038557203</v>
      </c>
      <c r="V208" s="2">
        <v>0.38888888888888801</v>
      </c>
      <c r="W208" s="2">
        <v>9.6225044864937895E-2</v>
      </c>
      <c r="X208" s="2">
        <v>8.7222222222222197</v>
      </c>
      <c r="Y208" s="2">
        <v>1.29457557752567</v>
      </c>
      <c r="Z208" s="7">
        <v>17.839770263142402</v>
      </c>
      <c r="AA208" s="2">
        <v>4.3091565285818403</v>
      </c>
      <c r="AB208" s="7">
        <v>0</v>
      </c>
      <c r="AC208" s="2">
        <v>0</v>
      </c>
      <c r="AD208" s="2">
        <v>231.35888501742099</v>
      </c>
      <c r="AE208" s="2">
        <v>71.976314055333106</v>
      </c>
      <c r="AF208" s="2">
        <v>33.599999999999902</v>
      </c>
      <c r="AG208" s="2">
        <v>21.832086478392299</v>
      </c>
      <c r="AH208" s="2">
        <v>15.267175572518999</v>
      </c>
      <c r="AI208" s="2">
        <v>26.443523779677498</v>
      </c>
      <c r="AJ208" s="2">
        <v>59.574468085106297</v>
      </c>
      <c r="AK208" s="2">
        <v>14.740857936756401</v>
      </c>
      <c r="AL208" s="2">
        <v>228.363636363636</v>
      </c>
      <c r="AM208" s="2">
        <v>33.894342393399299</v>
      </c>
      <c r="AN208"/>
      <c r="AO208"/>
    </row>
    <row r="209" spans="1:41" ht="15.75" hidden="1" customHeight="1" x14ac:dyDescent="0.45">
      <c r="A209" s="2" t="s">
        <v>121</v>
      </c>
      <c r="B209" s="2" t="s">
        <v>122</v>
      </c>
      <c r="C209" s="2">
        <v>10</v>
      </c>
      <c r="D209" s="2"/>
      <c r="E209" s="2" t="s">
        <v>109</v>
      </c>
      <c r="F209" s="2" t="s">
        <v>84</v>
      </c>
      <c r="H209" s="2">
        <v>0.1</v>
      </c>
      <c r="J209" s="2">
        <v>0.1</v>
      </c>
      <c r="K209" s="2">
        <v>0.16666666666666599</v>
      </c>
      <c r="L209" s="2"/>
      <c r="M209" s="2">
        <v>0.28867513459481198</v>
      </c>
      <c r="N209" s="2">
        <v>39.0555555555555</v>
      </c>
      <c r="O209" s="2">
        <v>3.8345408726083301</v>
      </c>
      <c r="P209" s="2">
        <v>5.2222222222222197</v>
      </c>
      <c r="Q209" s="2">
        <v>2.3114048958571898</v>
      </c>
      <c r="R209" s="2">
        <v>0</v>
      </c>
      <c r="S209" s="2">
        <v>0</v>
      </c>
      <c r="T209" s="2">
        <v>11.8333333333333</v>
      </c>
      <c r="U209" s="2">
        <v>7.08872343937891</v>
      </c>
      <c r="V209" s="2">
        <v>0.27777777777777701</v>
      </c>
      <c r="W209" s="2">
        <v>0.25458753860865702</v>
      </c>
      <c r="X209" s="2">
        <v>7.8888888888888804</v>
      </c>
      <c r="Y209" s="2">
        <v>2.1688023662159002</v>
      </c>
      <c r="Z209" s="7">
        <v>16.480103147160499</v>
      </c>
      <c r="AA209" s="2">
        <v>1.6180445573920199</v>
      </c>
      <c r="AB209" s="7">
        <v>0.47581284694686699</v>
      </c>
      <c r="AC209" s="2">
        <v>0.824132025805968</v>
      </c>
      <c r="AD209" s="2">
        <v>148.43205574912801</v>
      </c>
      <c r="AE209" s="2">
        <v>88.917785302313902</v>
      </c>
      <c r="AF209" s="2">
        <v>37.599999999999902</v>
      </c>
      <c r="AG209" s="2">
        <v>16.642115250171699</v>
      </c>
      <c r="AH209" s="2">
        <v>0</v>
      </c>
      <c r="AI209" s="2">
        <v>0</v>
      </c>
      <c r="AJ209" s="2">
        <v>42.553191489361602</v>
      </c>
      <c r="AK209" s="2">
        <v>39.0006442123901</v>
      </c>
      <c r="AL209" s="2">
        <v>206.54545454545399</v>
      </c>
      <c r="AM209" s="2">
        <v>56.783189224561802</v>
      </c>
      <c r="AN209"/>
      <c r="AO209"/>
    </row>
    <row r="210" spans="1:41" ht="15.75" hidden="1" customHeight="1" x14ac:dyDescent="0.45">
      <c r="A210" s="2" t="s">
        <v>123</v>
      </c>
      <c r="B210" s="2" t="s">
        <v>124</v>
      </c>
      <c r="C210" s="2">
        <v>3.0000000000000001E-3</v>
      </c>
      <c r="D210" s="2"/>
      <c r="E210" s="2" t="s">
        <v>83</v>
      </c>
      <c r="F210" s="2" t="s">
        <v>84</v>
      </c>
      <c r="H210" s="2">
        <v>0.8</v>
      </c>
      <c r="J210" s="2">
        <v>0.8</v>
      </c>
      <c r="K210" s="2">
        <v>24.3816008102777</v>
      </c>
      <c r="L210" s="2"/>
      <c r="M210" s="2">
        <v>21.115097620927799</v>
      </c>
      <c r="N210" s="2">
        <v>284.11111111111097</v>
      </c>
      <c r="O210" s="2">
        <v>23.829448012755101</v>
      </c>
      <c r="P210" s="2">
        <v>17.0640086882388</v>
      </c>
      <c r="Q210" s="2">
        <v>2.7916369262498701</v>
      </c>
      <c r="R210" s="2">
        <v>2.17254542142777</v>
      </c>
      <c r="S210" s="2">
        <v>0.42532945436562303</v>
      </c>
      <c r="T210" s="2">
        <v>3.9030572727288799</v>
      </c>
      <c r="U210" s="2">
        <v>1.37443789263591</v>
      </c>
      <c r="V210" s="2">
        <v>0.65737020307388805</v>
      </c>
      <c r="W210" s="2">
        <v>0.10282419540832501</v>
      </c>
      <c r="X210" s="2">
        <v>3.9233170346555499</v>
      </c>
      <c r="Y210" s="2">
        <v>0.67833660721386002</v>
      </c>
      <c r="Z210" s="7">
        <v>123.013352328351</v>
      </c>
      <c r="AA210" s="2">
        <v>13.791820618648901</v>
      </c>
      <c r="AB210" s="7">
        <v>70.758515739935305</v>
      </c>
      <c r="AC210" s="2">
        <v>61.379537997697902</v>
      </c>
      <c r="AD210" s="2">
        <v>86.611508809562906</v>
      </c>
      <c r="AE210" s="2">
        <v>37.553559375832997</v>
      </c>
      <c r="AF210" s="2">
        <v>111.467167186878</v>
      </c>
      <c r="AG210" s="2">
        <v>17.361618628710001</v>
      </c>
      <c r="AH210" s="2">
        <v>128.50601064760201</v>
      </c>
      <c r="AI210" s="2">
        <v>35.478361651442</v>
      </c>
      <c r="AJ210" s="2">
        <v>98.045550950962294</v>
      </c>
      <c r="AK210" s="2">
        <v>58.432784936488602</v>
      </c>
      <c r="AL210" s="2">
        <v>122.22073281658</v>
      </c>
      <c r="AM210" s="2">
        <v>35.4904728686232</v>
      </c>
      <c r="AN210"/>
      <c r="AO210"/>
    </row>
    <row r="211" spans="1:41" ht="15.75" hidden="1" customHeight="1" x14ac:dyDescent="0.45">
      <c r="A211" s="2" t="s">
        <v>123</v>
      </c>
      <c r="B211" s="2" t="s">
        <v>124</v>
      </c>
      <c r="C211" s="2">
        <v>0.01</v>
      </c>
      <c r="D211" s="2"/>
      <c r="E211" s="2" t="s">
        <v>83</v>
      </c>
      <c r="F211" s="2" t="s">
        <v>84</v>
      </c>
      <c r="H211" s="2">
        <v>0.8</v>
      </c>
      <c r="J211" s="2">
        <v>0.8</v>
      </c>
      <c r="K211" s="2">
        <v>21.5185417186111</v>
      </c>
      <c r="L211" s="2"/>
      <c r="M211" s="2">
        <v>18.911943947027499</v>
      </c>
      <c r="N211" s="2">
        <v>230.5</v>
      </c>
      <c r="O211" s="2">
        <v>22.011991681303599</v>
      </c>
      <c r="P211" s="2">
        <v>17.273767444999901</v>
      </c>
      <c r="Q211" s="2">
        <v>1.8794709633943201</v>
      </c>
      <c r="R211" s="2">
        <v>1.8381014364644399</v>
      </c>
      <c r="S211" s="2">
        <v>0.294272269412236</v>
      </c>
      <c r="T211" s="2">
        <v>2.9880240293611098</v>
      </c>
      <c r="U211" s="2">
        <v>0.14123100913967401</v>
      </c>
      <c r="V211" s="2">
        <v>0.65715787394388803</v>
      </c>
      <c r="W211" s="2">
        <v>6.3138825175271002E-2</v>
      </c>
      <c r="X211" s="2">
        <v>4.25872595971666</v>
      </c>
      <c r="Y211" s="2">
        <v>5.2441432933123401E-2</v>
      </c>
      <c r="Z211" s="7">
        <v>99.488009429524595</v>
      </c>
      <c r="AA211" s="2">
        <v>7.3506941331968596</v>
      </c>
      <c r="AB211" s="7">
        <v>62.245599152603397</v>
      </c>
      <c r="AC211" s="2">
        <v>54.273298655708103</v>
      </c>
      <c r="AD211" s="2">
        <v>66.627219130842306</v>
      </c>
      <c r="AE211" s="2">
        <v>15.3769739188957</v>
      </c>
      <c r="AF211" s="2">
        <v>113.26695733274001</v>
      </c>
      <c r="AG211" s="2">
        <v>15.4963362052394</v>
      </c>
      <c r="AH211" s="2">
        <v>110.263887905465</v>
      </c>
      <c r="AI211" s="2">
        <v>33.389815957734697</v>
      </c>
      <c r="AJ211" s="2">
        <v>98.218969459239901</v>
      </c>
      <c r="AK211" s="2">
        <v>56.5562072846852</v>
      </c>
      <c r="AL211" s="2">
        <v>132.94482713367299</v>
      </c>
      <c r="AM211" s="2">
        <v>34.257779590214497</v>
      </c>
      <c r="AN211"/>
      <c r="AO211"/>
    </row>
    <row r="212" spans="1:41" ht="15.75" hidden="1" customHeight="1" x14ac:dyDescent="0.45">
      <c r="A212" s="2" t="s">
        <v>123</v>
      </c>
      <c r="B212" s="2" t="s">
        <v>124</v>
      </c>
      <c r="C212" s="2">
        <v>0.03</v>
      </c>
      <c r="D212" s="2"/>
      <c r="E212" s="2" t="s">
        <v>83</v>
      </c>
      <c r="F212" s="2" t="s">
        <v>84</v>
      </c>
      <c r="H212" s="2">
        <v>0.8</v>
      </c>
      <c r="J212" s="2">
        <v>0.8</v>
      </c>
      <c r="K212" s="2">
        <v>34.473274155111099</v>
      </c>
      <c r="L212" s="2"/>
      <c r="M212" s="2">
        <v>5.4576786840994904</v>
      </c>
      <c r="N212" s="2">
        <v>270.388888888888</v>
      </c>
      <c r="O212" s="2">
        <v>8.7501322741318006</v>
      </c>
      <c r="P212" s="2">
        <v>15.6418050986388</v>
      </c>
      <c r="Q212" s="2">
        <v>0.96021408469703995</v>
      </c>
      <c r="R212" s="2">
        <v>1.8900688190277699</v>
      </c>
      <c r="S212" s="2">
        <v>0.79720149740676605</v>
      </c>
      <c r="T212" s="2">
        <v>3.3530061152477701</v>
      </c>
      <c r="U212" s="2">
        <v>1.2405047165428</v>
      </c>
      <c r="V212" s="2">
        <v>0.58033469637777702</v>
      </c>
      <c r="W212" s="2">
        <v>0.15839842227238499</v>
      </c>
      <c r="X212" s="2">
        <v>3.3570049515499898</v>
      </c>
      <c r="Y212" s="2">
        <v>0.16193801086092999</v>
      </c>
      <c r="Z212" s="7">
        <v>116.865874906901</v>
      </c>
      <c r="AA212" s="2">
        <v>4.2887074621250498</v>
      </c>
      <c r="AB212" s="7">
        <v>103.267590230655</v>
      </c>
      <c r="AC212" s="2">
        <v>18.964740936210401</v>
      </c>
      <c r="AD212" s="2">
        <v>72.692998687252</v>
      </c>
      <c r="AE212" s="2">
        <v>26.804953893584798</v>
      </c>
      <c r="AF212" s="2">
        <v>102.645674262094</v>
      </c>
      <c r="AG212" s="2">
        <v>11.7659749224087</v>
      </c>
      <c r="AH212" s="2">
        <v>104.074515160747</v>
      </c>
      <c r="AI212" s="2">
        <v>16.427819751665599</v>
      </c>
      <c r="AJ212" s="2">
        <v>85.163811746445703</v>
      </c>
      <c r="AK212" s="2">
        <v>43.828078147634599</v>
      </c>
      <c r="AL212" s="2">
        <v>104.156675565307</v>
      </c>
      <c r="AM212" s="2">
        <v>22.998243078954701</v>
      </c>
      <c r="AN212"/>
      <c r="AO212"/>
    </row>
    <row r="213" spans="1:41" ht="15.75" hidden="1" customHeight="1" x14ac:dyDescent="0.45">
      <c r="A213" s="2" t="s">
        <v>123</v>
      </c>
      <c r="B213" s="2" t="s">
        <v>124</v>
      </c>
      <c r="C213" s="2">
        <v>0.1</v>
      </c>
      <c r="D213" s="2"/>
      <c r="E213" s="2" t="s">
        <v>83</v>
      </c>
      <c r="F213" s="2" t="s">
        <v>84</v>
      </c>
      <c r="H213" s="2">
        <v>0.8</v>
      </c>
      <c r="J213" s="2">
        <v>0.8</v>
      </c>
      <c r="K213" s="2">
        <v>17.560856980827701</v>
      </c>
      <c r="L213" s="2"/>
      <c r="M213" s="2">
        <v>1.53491938358903</v>
      </c>
      <c r="N213" s="2">
        <v>172.166666666666</v>
      </c>
      <c r="O213" s="2">
        <v>18.917217319445101</v>
      </c>
      <c r="P213" s="2">
        <v>16.8794025456444</v>
      </c>
      <c r="Q213" s="2">
        <v>3.0218860485652299</v>
      </c>
      <c r="R213" s="2">
        <v>2.1557703043222198</v>
      </c>
      <c r="S213" s="2">
        <v>1.2755715399058101</v>
      </c>
      <c r="T213" s="2">
        <v>4.5626048393566601</v>
      </c>
      <c r="U213" s="2">
        <v>0.79250223047562296</v>
      </c>
      <c r="V213" s="2">
        <v>0.59601953260611096</v>
      </c>
      <c r="W213" s="2">
        <v>0.28989611918253</v>
      </c>
      <c r="X213" s="2">
        <v>3.86117461047222</v>
      </c>
      <c r="Y213" s="2">
        <v>0.78876015787773102</v>
      </c>
      <c r="Z213" s="7">
        <v>74.309825584689705</v>
      </c>
      <c r="AA213" s="2">
        <v>6.8691580742865801</v>
      </c>
      <c r="AB213" s="7">
        <v>52.634149943585399</v>
      </c>
      <c r="AC213" s="2">
        <v>6.6125839694374502</v>
      </c>
      <c r="AD213" s="2">
        <v>101.727672649704</v>
      </c>
      <c r="AE213" s="2">
        <v>29.617328636855</v>
      </c>
      <c r="AF213" s="2">
        <v>109.652474475095</v>
      </c>
      <c r="AG213" s="2">
        <v>10.6123486174773</v>
      </c>
      <c r="AH213" s="2">
        <v>113.170396780887</v>
      </c>
      <c r="AI213" s="2">
        <v>43.261974711926698</v>
      </c>
      <c r="AJ213" s="2">
        <v>73.637393317888495</v>
      </c>
      <c r="AK213" s="2">
        <v>7.7960150337012504</v>
      </c>
      <c r="AL213" s="2">
        <v>118.686704558362</v>
      </c>
      <c r="AM213" s="2">
        <v>26.367152166465001</v>
      </c>
      <c r="AN213"/>
      <c r="AO213"/>
    </row>
    <row r="214" spans="1:41" ht="15.75" hidden="1" customHeight="1" x14ac:dyDescent="0.45">
      <c r="A214" s="2" t="s">
        <v>123</v>
      </c>
      <c r="B214" s="2" t="s">
        <v>124</v>
      </c>
      <c r="C214" s="2">
        <v>0.3</v>
      </c>
      <c r="D214" s="2"/>
      <c r="E214" s="2" t="s">
        <v>83</v>
      </c>
      <c r="F214" s="2" t="s">
        <v>84</v>
      </c>
      <c r="H214" s="2">
        <v>0.8</v>
      </c>
      <c r="J214" s="2">
        <v>0.8</v>
      </c>
      <c r="K214" s="2">
        <v>11.785017063577699</v>
      </c>
      <c r="L214" s="2"/>
      <c r="M214" s="2">
        <v>2.1741210529007899</v>
      </c>
      <c r="N214" s="2">
        <v>161</v>
      </c>
      <c r="O214" s="2">
        <v>14.4347189481161</v>
      </c>
      <c r="P214" s="2">
        <v>15.762421057761101</v>
      </c>
      <c r="Q214" s="2">
        <v>3.2409317475633501</v>
      </c>
      <c r="R214" s="2">
        <v>0.85936623044722205</v>
      </c>
      <c r="S214" s="2">
        <v>0.42104453374602302</v>
      </c>
      <c r="T214" s="2">
        <v>4.1235683807105499</v>
      </c>
      <c r="U214" s="2">
        <v>2.43106960482802</v>
      </c>
      <c r="V214" s="2">
        <v>0.50669372751944397</v>
      </c>
      <c r="W214" s="2">
        <v>0.28088139166440101</v>
      </c>
      <c r="X214" s="2">
        <v>4.9001916355555499</v>
      </c>
      <c r="Y214" s="2">
        <v>1.72012487729446</v>
      </c>
      <c r="Z214" s="7">
        <v>69.691911994123998</v>
      </c>
      <c r="AA214" s="2">
        <v>7.9640518000687202</v>
      </c>
      <c r="AB214" s="7">
        <v>35.376851370344298</v>
      </c>
      <c r="AC214" s="2">
        <v>7.9104798383250898</v>
      </c>
      <c r="AD214" s="2">
        <v>88.885023968396297</v>
      </c>
      <c r="AE214" s="2">
        <v>55.124720273130997</v>
      </c>
      <c r="AF214" s="2">
        <v>102.255382210253</v>
      </c>
      <c r="AG214" s="2">
        <v>12.988637419720799</v>
      </c>
      <c r="AH214" s="2">
        <v>49.838135252242097</v>
      </c>
      <c r="AI214" s="2">
        <v>25.0291867202702</v>
      </c>
      <c r="AJ214" s="2">
        <v>60.766680036475201</v>
      </c>
      <c r="AK214" s="2">
        <v>13.983597766716199</v>
      </c>
      <c r="AL214" s="2">
        <v>145.880955391247</v>
      </c>
      <c r="AM214" s="2">
        <v>31.947919641307301</v>
      </c>
      <c r="AN214"/>
      <c r="AO214"/>
    </row>
    <row r="215" spans="1:41" ht="15.75" hidden="1" customHeight="1" x14ac:dyDescent="0.45">
      <c r="A215" s="2" t="s">
        <v>123</v>
      </c>
      <c r="B215" s="2" t="s">
        <v>124</v>
      </c>
      <c r="C215" s="2">
        <v>1</v>
      </c>
      <c r="D215" s="2"/>
      <c r="E215" s="2" t="s">
        <v>83</v>
      </c>
      <c r="F215" s="2" t="s">
        <v>84</v>
      </c>
      <c r="H215" s="2">
        <v>0.8</v>
      </c>
      <c r="J215" s="2">
        <v>0.8</v>
      </c>
      <c r="K215" s="2">
        <v>12.365754173575001</v>
      </c>
      <c r="L215" s="2"/>
      <c r="M215" s="2">
        <v>4.4278644480323601</v>
      </c>
      <c r="N215" s="2">
        <v>117.611111111111</v>
      </c>
      <c r="O215" s="2">
        <v>7.5006172585503004</v>
      </c>
      <c r="P215" s="2">
        <v>15.107911907069401</v>
      </c>
      <c r="Q215" s="2">
        <v>4.6855811948337802</v>
      </c>
      <c r="R215" s="2">
        <v>1.1246837167647199</v>
      </c>
      <c r="S215" s="2">
        <v>0.54308109296279194</v>
      </c>
      <c r="T215" s="2">
        <v>7.4095512090861098</v>
      </c>
      <c r="U215" s="2">
        <v>1.55087823623893</v>
      </c>
      <c r="V215" s="2">
        <v>1.24578868497055</v>
      </c>
      <c r="W215" s="2">
        <v>0.68171238255269095</v>
      </c>
      <c r="X215" s="2">
        <v>5.1405749334755502</v>
      </c>
      <c r="Y215" s="2">
        <v>1.2508993049186701</v>
      </c>
      <c r="Z215" s="7">
        <v>50.884179136891703</v>
      </c>
      <c r="AA215" s="2">
        <v>4.4055607232145402</v>
      </c>
      <c r="AB215" s="7">
        <v>36.7666254176225</v>
      </c>
      <c r="AC215" s="2">
        <v>12.1639200646205</v>
      </c>
      <c r="AD215" s="2">
        <v>167.03057424868601</v>
      </c>
      <c r="AE215" s="2">
        <v>59.552285603580302</v>
      </c>
      <c r="AF215" s="2">
        <v>97.919083810926395</v>
      </c>
      <c r="AG215" s="2">
        <v>25.238109925007599</v>
      </c>
      <c r="AH215" s="2">
        <v>61.845887463732701</v>
      </c>
      <c r="AI215" s="2">
        <v>10.513070125884299</v>
      </c>
      <c r="AJ215" s="2">
        <v>209.922846442089</v>
      </c>
      <c r="AK215" s="2">
        <v>208.58038681846199</v>
      </c>
      <c r="AL215" s="2">
        <v>154.551124046974</v>
      </c>
      <c r="AM215" s="2">
        <v>16.888348041223502</v>
      </c>
      <c r="AN215"/>
      <c r="AO215"/>
    </row>
    <row r="216" spans="1:41" ht="15.75" hidden="1" customHeight="1" x14ac:dyDescent="0.45">
      <c r="A216" s="2" t="s">
        <v>123</v>
      </c>
      <c r="B216" s="2" t="s">
        <v>124</v>
      </c>
      <c r="C216" s="2">
        <v>3</v>
      </c>
      <c r="D216" s="2"/>
      <c r="E216" s="2" t="s">
        <v>83</v>
      </c>
      <c r="F216" s="2" t="s">
        <v>84</v>
      </c>
      <c r="H216" s="2">
        <v>0.8</v>
      </c>
      <c r="J216" s="2">
        <v>0.8</v>
      </c>
      <c r="K216" s="2">
        <v>1.59825438619333</v>
      </c>
      <c r="L216" s="2"/>
      <c r="M216" s="2">
        <v>0.34569037501100203</v>
      </c>
      <c r="N216" s="2">
        <v>40.544444444444402</v>
      </c>
      <c r="O216" s="2">
        <v>5.4691390073284003</v>
      </c>
      <c r="P216" s="2">
        <v>10.9959672548577</v>
      </c>
      <c r="Q216" s="2">
        <v>2.7127286779472901</v>
      </c>
      <c r="R216" s="2">
        <v>0.325126262624444</v>
      </c>
      <c r="S216" s="2">
        <v>0.28351161476178399</v>
      </c>
      <c r="T216" s="2">
        <v>5.0479760032855499</v>
      </c>
      <c r="U216" s="2">
        <v>0.49553997502466302</v>
      </c>
      <c r="V216" s="2">
        <v>0.68046755616888799</v>
      </c>
      <c r="W216" s="2">
        <v>0.81719615232991805</v>
      </c>
      <c r="X216" s="2">
        <v>6.0381090103933301</v>
      </c>
      <c r="Y216" s="2">
        <v>1.6718239791349001</v>
      </c>
      <c r="Z216" s="7">
        <v>17.485392125455899</v>
      </c>
      <c r="AA216" s="2">
        <v>1.8710177055267001</v>
      </c>
      <c r="AB216" s="7">
        <v>4.8210075627623104</v>
      </c>
      <c r="AC216" s="2">
        <v>1.28537036213626</v>
      </c>
      <c r="AD216" s="2">
        <v>110.800144955281</v>
      </c>
      <c r="AE216" s="2">
        <v>15.2538159877416</v>
      </c>
      <c r="AF216" s="2">
        <v>71.207114410272695</v>
      </c>
      <c r="AG216" s="2">
        <v>12.364511800795301</v>
      </c>
      <c r="AH216" s="2">
        <v>20.377270490036</v>
      </c>
      <c r="AI216" s="2">
        <v>22.465949410659899</v>
      </c>
      <c r="AJ216" s="2">
        <v>83.098152315574396</v>
      </c>
      <c r="AK216" s="2">
        <v>75.629654407530694</v>
      </c>
      <c r="AL216" s="2">
        <v>183.0227081093</v>
      </c>
      <c r="AM216" s="2">
        <v>37.975453744853503</v>
      </c>
      <c r="AN216"/>
      <c r="AO216"/>
    </row>
    <row r="217" spans="1:41" ht="15.75" hidden="1" customHeight="1" x14ac:dyDescent="0.45">
      <c r="A217" s="2" t="s">
        <v>123</v>
      </c>
      <c r="B217" s="2" t="s">
        <v>124</v>
      </c>
      <c r="C217" s="2">
        <v>10</v>
      </c>
      <c r="D217" s="2"/>
      <c r="E217" s="2" t="s">
        <v>83</v>
      </c>
      <c r="F217" s="2" t="s">
        <v>84</v>
      </c>
      <c r="H217" s="2">
        <v>0.8</v>
      </c>
      <c r="J217" s="2">
        <v>0.8</v>
      </c>
      <c r="K217" s="2">
        <v>0</v>
      </c>
      <c r="L217" s="2"/>
      <c r="M217" s="2">
        <v>0</v>
      </c>
      <c r="N217" s="2">
        <v>17.7222222222222</v>
      </c>
      <c r="O217" s="2">
        <v>5.0396575427451502</v>
      </c>
      <c r="P217" s="2">
        <v>0.93981481481666596</v>
      </c>
      <c r="Q217" s="2">
        <v>0.86695300350654403</v>
      </c>
      <c r="R217" s="2">
        <v>1.39682539684666</v>
      </c>
      <c r="S217" s="2">
        <v>2.4193725566409801</v>
      </c>
      <c r="T217" s="2">
        <v>13.217018977896601</v>
      </c>
      <c r="U217" s="2">
        <v>3.65242365647571</v>
      </c>
      <c r="V217" s="2">
        <v>0.15432098765555499</v>
      </c>
      <c r="W217" s="2">
        <v>0.26729179129363101</v>
      </c>
      <c r="X217" s="2">
        <v>1.2556552411611099</v>
      </c>
      <c r="Y217" s="2">
        <v>1.28948082959774</v>
      </c>
      <c r="Z217" s="7">
        <v>7.6390067587486596</v>
      </c>
      <c r="AA217" s="2">
        <v>2.1074994790813202</v>
      </c>
      <c r="AB217" s="7">
        <v>0</v>
      </c>
      <c r="AC217" s="2">
        <v>0</v>
      </c>
      <c r="AD217" s="2">
        <v>295.48122408113301</v>
      </c>
      <c r="AE217" s="2">
        <v>115.31982970334499</v>
      </c>
      <c r="AF217" s="2">
        <v>6.04867515471852</v>
      </c>
      <c r="AG217" s="2">
        <v>5.7707760912718298</v>
      </c>
      <c r="AH217" s="2">
        <v>51.205306461213397</v>
      </c>
      <c r="AI217" s="2">
        <v>88.690192407956602</v>
      </c>
      <c r="AJ217" s="2">
        <v>18.354037254211701</v>
      </c>
      <c r="AK217" s="2">
        <v>31.790125048306699</v>
      </c>
      <c r="AL217" s="2">
        <v>38.344004048065599</v>
      </c>
      <c r="AM217" s="2">
        <v>34.343035122882299</v>
      </c>
      <c r="AN217"/>
      <c r="AO217"/>
    </row>
    <row r="218" spans="1:41" ht="15.75" hidden="1" customHeight="1" x14ac:dyDescent="0.45">
      <c r="A218" s="2" t="s">
        <v>123</v>
      </c>
      <c r="B218" s="2" t="s">
        <v>124</v>
      </c>
      <c r="C218" s="2">
        <v>3.0000000000000001E-3</v>
      </c>
      <c r="D218" s="2"/>
      <c r="E218" s="2" t="s">
        <v>83</v>
      </c>
      <c r="F218" s="2" t="s">
        <v>84</v>
      </c>
      <c r="H218" s="2">
        <v>0.9</v>
      </c>
      <c r="J218" s="2">
        <v>0.93546765700000001</v>
      </c>
      <c r="K218" s="2">
        <v>43.246725949444397</v>
      </c>
      <c r="L218" s="2"/>
      <c r="M218" s="2">
        <v>5.3243390338455099E-2</v>
      </c>
      <c r="N218" s="2">
        <v>257.5</v>
      </c>
      <c r="O218" s="2">
        <v>13.096861371251499</v>
      </c>
      <c r="P218" s="2">
        <v>35.3218496644444</v>
      </c>
      <c r="Q218" s="2">
        <v>1.1660623438535</v>
      </c>
      <c r="R218" s="2">
        <v>2.87378945977777</v>
      </c>
      <c r="S218" s="2">
        <v>1.04734441133316</v>
      </c>
      <c r="T218" s="2">
        <v>4.2594385501666601</v>
      </c>
      <c r="U218" s="2">
        <v>1.3593372764262099</v>
      </c>
      <c r="V218" s="2">
        <v>0.44914412072222198</v>
      </c>
      <c r="W218" s="2">
        <v>0.16172750820880899</v>
      </c>
      <c r="X218" s="2">
        <v>3.4084184694999999</v>
      </c>
      <c r="Y218" s="2">
        <v>0.341451935164367</v>
      </c>
      <c r="Z218" s="7">
        <v>92.330677290836604</v>
      </c>
      <c r="AA218" s="2">
        <v>4.6960857506479599</v>
      </c>
      <c r="AB218" s="7">
        <v>108.33289167934301</v>
      </c>
      <c r="AC218" s="2">
        <v>0.133374499723278</v>
      </c>
      <c r="AD218" s="2">
        <v>96.206077083790703</v>
      </c>
      <c r="AE218" s="2">
        <v>30.702757008576398</v>
      </c>
      <c r="AF218" s="2">
        <v>104.453267307556</v>
      </c>
      <c r="AG218" s="2">
        <v>3.44826284175062</v>
      </c>
      <c r="AH218" s="2">
        <v>76.935853249434402</v>
      </c>
      <c r="AI218" s="2">
        <v>28.039053333494401</v>
      </c>
      <c r="AJ218" s="2">
        <v>95.501880728531006</v>
      </c>
      <c r="AK218" s="2">
        <v>34.388251981667402</v>
      </c>
      <c r="AL218" s="2">
        <v>101.231484587854</v>
      </c>
      <c r="AM218" s="2">
        <v>10.141268339375999</v>
      </c>
      <c r="AN218"/>
      <c r="AO218"/>
    </row>
    <row r="219" spans="1:41" ht="15.75" hidden="1" customHeight="1" x14ac:dyDescent="0.45">
      <c r="A219" s="2" t="s">
        <v>123</v>
      </c>
      <c r="B219" s="2" t="s">
        <v>124</v>
      </c>
      <c r="C219" s="2">
        <v>0.01</v>
      </c>
      <c r="D219" s="2"/>
      <c r="E219" s="2" t="s">
        <v>83</v>
      </c>
      <c r="F219" s="2" t="s">
        <v>84</v>
      </c>
      <c r="H219" s="2">
        <v>0.9</v>
      </c>
      <c r="J219" s="2">
        <v>0.93546765700000001</v>
      </c>
      <c r="K219" s="2">
        <v>42.496232140555499</v>
      </c>
      <c r="L219" s="2"/>
      <c r="M219" s="2">
        <v>0.70530108533436897</v>
      </c>
      <c r="N219" s="2">
        <v>330.222222222222</v>
      </c>
      <c r="O219" s="2">
        <v>35.429638147450298</v>
      </c>
      <c r="P219" s="2">
        <v>32.870446875555501</v>
      </c>
      <c r="Q219" s="2">
        <v>1.40426237695079</v>
      </c>
      <c r="R219" s="2">
        <v>3.75539817738888</v>
      </c>
      <c r="S219" s="2">
        <v>0.42208429152149401</v>
      </c>
      <c r="T219" s="2">
        <v>4.8692548469444397</v>
      </c>
      <c r="U219" s="2">
        <v>2.10268294758222</v>
      </c>
      <c r="V219" s="2">
        <v>0.58045314722222197</v>
      </c>
      <c r="W219" s="2">
        <v>0.21776123349301599</v>
      </c>
      <c r="X219" s="2">
        <v>3.9801536522222198</v>
      </c>
      <c r="Y219" s="2">
        <v>0.36953014616876101</v>
      </c>
      <c r="Z219" s="7">
        <v>118.406374501992</v>
      </c>
      <c r="AA219" s="2">
        <v>12.7038543158188</v>
      </c>
      <c r="AB219" s="7">
        <v>106.45290740956401</v>
      </c>
      <c r="AC219" s="2">
        <v>1.7667766611551501</v>
      </c>
      <c r="AD219" s="2">
        <v>109.979731278768</v>
      </c>
      <c r="AE219" s="2">
        <v>47.492380827973797</v>
      </c>
      <c r="AF219" s="2">
        <v>97.204014133704106</v>
      </c>
      <c r="AG219" s="2">
        <v>4.1526645638049899</v>
      </c>
      <c r="AH219" s="2">
        <v>100.53790199756899</v>
      </c>
      <c r="AI219" s="2">
        <v>11.2998587982503</v>
      </c>
      <c r="AJ219" s="2">
        <v>123.42222613396</v>
      </c>
      <c r="AK219" s="2">
        <v>46.302748692127999</v>
      </c>
      <c r="AL219" s="2">
        <v>118.212263754495</v>
      </c>
      <c r="AM219" s="2">
        <v>10.9752032009491</v>
      </c>
      <c r="AN219"/>
      <c r="AO219"/>
    </row>
    <row r="220" spans="1:41" ht="15.75" hidden="1" customHeight="1" x14ac:dyDescent="0.45">
      <c r="A220" s="2" t="s">
        <v>123</v>
      </c>
      <c r="B220" s="2" t="s">
        <v>124</v>
      </c>
      <c r="C220" s="2">
        <v>0.03</v>
      </c>
      <c r="D220" s="2"/>
      <c r="E220" s="2" t="s">
        <v>83</v>
      </c>
      <c r="F220" s="2" t="s">
        <v>84</v>
      </c>
      <c r="H220" s="2">
        <v>0.9</v>
      </c>
      <c r="J220" s="2">
        <v>0.93546765700000001</v>
      </c>
      <c r="K220" s="2">
        <v>38.0480680016666</v>
      </c>
      <c r="L220" s="2"/>
      <c r="M220" s="2">
        <v>8.81129337024562</v>
      </c>
      <c r="N220" s="2">
        <v>313.388888888888</v>
      </c>
      <c r="O220" s="2">
        <v>61.640159468152497</v>
      </c>
      <c r="P220" s="2">
        <v>37.388907765555501</v>
      </c>
      <c r="Q220" s="2">
        <v>2.98947689768855</v>
      </c>
      <c r="R220" s="2">
        <v>3.05252990938888</v>
      </c>
      <c r="S220" s="2">
        <v>3.5492861757951397E-2</v>
      </c>
      <c r="T220" s="2">
        <v>3.1692661210555499</v>
      </c>
      <c r="U220" s="2">
        <v>0.58405889487673901</v>
      </c>
      <c r="V220" s="2">
        <v>0.39611817716666597</v>
      </c>
      <c r="W220" s="2">
        <v>0.29449408601618698</v>
      </c>
      <c r="X220" s="2">
        <v>3.2028156168333299</v>
      </c>
      <c r="Y220" s="2">
        <v>0.30884612429974501</v>
      </c>
      <c r="Z220" s="7">
        <v>112.37051792828601</v>
      </c>
      <c r="AA220" s="2">
        <v>22.102049211688101</v>
      </c>
      <c r="AB220" s="7">
        <v>95.310272371862595</v>
      </c>
      <c r="AC220" s="2">
        <v>22.072257940395499</v>
      </c>
      <c r="AD220" s="2">
        <v>71.582828851794702</v>
      </c>
      <c r="AE220" s="2">
        <v>13.1918830146725</v>
      </c>
      <c r="AF220" s="2">
        <v>110.565941882267</v>
      </c>
      <c r="AG220" s="2">
        <v>8.8404382123383893</v>
      </c>
      <c r="AH220" s="2">
        <v>81.721015556377296</v>
      </c>
      <c r="AI220" s="2">
        <v>0.950199602939377</v>
      </c>
      <c r="AJ220" s="2">
        <v>84.226931100296994</v>
      </c>
      <c r="AK220" s="2">
        <v>62.618517710420498</v>
      </c>
      <c r="AL220" s="2">
        <v>95.124992032086197</v>
      </c>
      <c r="AM220" s="2">
        <v>9.1728618278067895</v>
      </c>
      <c r="AN220"/>
      <c r="AO220"/>
    </row>
    <row r="221" spans="1:41" ht="15.75" hidden="1" customHeight="1" x14ac:dyDescent="0.45">
      <c r="A221" s="2" t="s">
        <v>123</v>
      </c>
      <c r="B221" s="2" t="s">
        <v>124</v>
      </c>
      <c r="C221" s="2">
        <v>0.1</v>
      </c>
      <c r="D221" s="2"/>
      <c r="E221" s="2" t="s">
        <v>83</v>
      </c>
      <c r="F221" s="2" t="s">
        <v>84</v>
      </c>
      <c r="H221" s="2">
        <v>0.9</v>
      </c>
      <c r="J221" s="2">
        <v>0.93546765700000001</v>
      </c>
      <c r="K221" s="2">
        <v>39.697394969999898</v>
      </c>
      <c r="L221" s="2"/>
      <c r="M221" s="2">
        <v>3.2597983747214898</v>
      </c>
      <c r="N221" s="2">
        <v>245.305555555555</v>
      </c>
      <c r="O221" s="2">
        <v>20.236849868311602</v>
      </c>
      <c r="P221" s="2">
        <v>41.495093494166603</v>
      </c>
      <c r="Q221" s="2">
        <v>4.0842908368379698</v>
      </c>
      <c r="R221" s="2">
        <v>3.2982545722222198</v>
      </c>
      <c r="S221" s="2">
        <v>0.99406846051047604</v>
      </c>
      <c r="T221" s="2">
        <v>3.20309223027777</v>
      </c>
      <c r="U221" s="2">
        <v>0.66067631820028405</v>
      </c>
      <c r="V221" s="2">
        <v>0.70909534572222199</v>
      </c>
      <c r="W221" s="2">
        <v>0.21438324314617799</v>
      </c>
      <c r="X221" s="2">
        <v>2.9999143074722201</v>
      </c>
      <c r="Y221" s="2">
        <v>4.8893846174534399E-2</v>
      </c>
      <c r="Z221" s="7">
        <v>87.958167330677298</v>
      </c>
      <c r="AA221" s="2">
        <v>7.2562409886376296</v>
      </c>
      <c r="AB221" s="7">
        <v>99.441830446643706</v>
      </c>
      <c r="AC221" s="2">
        <v>8.1657831077901406</v>
      </c>
      <c r="AD221" s="2">
        <v>72.3468443981983</v>
      </c>
      <c r="AE221" s="2">
        <v>14.922407272133199</v>
      </c>
      <c r="AF221" s="2">
        <v>122.708695435652</v>
      </c>
      <c r="AG221" s="2">
        <v>12.078006293409899</v>
      </c>
      <c r="AH221" s="2">
        <v>88.299450359660995</v>
      </c>
      <c r="AI221" s="2">
        <v>26.6127725319304</v>
      </c>
      <c r="AJ221" s="2">
        <v>150.77552172658201</v>
      </c>
      <c r="AK221" s="2">
        <v>45.584483849459801</v>
      </c>
      <c r="AL221" s="2">
        <v>89.098736466566393</v>
      </c>
      <c r="AM221" s="2">
        <v>1.4521681183661601</v>
      </c>
      <c r="AN221"/>
      <c r="AO221"/>
    </row>
    <row r="222" spans="1:41" ht="15.75" hidden="1" customHeight="1" x14ac:dyDescent="0.45">
      <c r="A222" s="2" t="s">
        <v>123</v>
      </c>
      <c r="B222" s="2" t="s">
        <v>124</v>
      </c>
      <c r="C222" s="2">
        <v>0.3</v>
      </c>
      <c r="D222" s="2"/>
      <c r="E222" s="2" t="s">
        <v>83</v>
      </c>
      <c r="F222" s="2" t="s">
        <v>84</v>
      </c>
      <c r="H222" s="2">
        <v>0.9</v>
      </c>
      <c r="J222" s="2">
        <v>0.93546765700000001</v>
      </c>
      <c r="K222" s="2">
        <v>14.505723485388801</v>
      </c>
      <c r="L222" s="2"/>
      <c r="M222" s="2">
        <v>5.9624067050961997</v>
      </c>
      <c r="N222" s="2">
        <v>163.777777777777</v>
      </c>
      <c r="O222" s="2">
        <v>27.915713084874501</v>
      </c>
      <c r="P222" s="2">
        <v>46.316266468333303</v>
      </c>
      <c r="Q222" s="2">
        <v>2.6111486026613102</v>
      </c>
      <c r="R222" s="2">
        <v>2.0968004011666599</v>
      </c>
      <c r="S222" s="2">
        <v>1.4717970867833701</v>
      </c>
      <c r="T222" s="2">
        <v>2.0952207852777698</v>
      </c>
      <c r="U222" s="2">
        <v>0.91640966195323503</v>
      </c>
      <c r="V222" s="2">
        <v>0.18867322488888799</v>
      </c>
      <c r="W222" s="2">
        <v>0.142594697638002</v>
      </c>
      <c r="X222" s="2">
        <v>3.0073416629999898</v>
      </c>
      <c r="Y222" s="2">
        <v>0.58493617051692504</v>
      </c>
      <c r="Z222" s="7">
        <v>58.725099601593598</v>
      </c>
      <c r="AA222" s="2">
        <v>10.0096182376044</v>
      </c>
      <c r="AB222" s="7">
        <v>36.336784729326503</v>
      </c>
      <c r="AC222" s="2">
        <v>14.935807175009399</v>
      </c>
      <c r="AD222" s="2">
        <v>47.323836229098099</v>
      </c>
      <c r="AE222" s="2">
        <v>20.698544547556299</v>
      </c>
      <c r="AF222" s="2">
        <v>136.96579901857999</v>
      </c>
      <c r="AG222" s="2">
        <v>7.7216512035631402</v>
      </c>
      <c r="AH222" s="2">
        <v>56.1346369368298</v>
      </c>
      <c r="AI222" s="2">
        <v>39.402317485869901</v>
      </c>
      <c r="AJ222" s="2">
        <v>40.117741697324298</v>
      </c>
      <c r="AK222" s="2">
        <v>30.320026864534299</v>
      </c>
      <c r="AL222" s="2">
        <v>89.319332098636494</v>
      </c>
      <c r="AM222" s="2">
        <v>17.372854143478701</v>
      </c>
      <c r="AN222"/>
      <c r="AO222"/>
    </row>
    <row r="223" spans="1:41" ht="15.75" hidden="1" customHeight="1" x14ac:dyDescent="0.45">
      <c r="A223" s="2" t="s">
        <v>123</v>
      </c>
      <c r="B223" s="2" t="s">
        <v>124</v>
      </c>
      <c r="C223" s="2">
        <v>1</v>
      </c>
      <c r="D223" s="2"/>
      <c r="E223" s="2" t="s">
        <v>83</v>
      </c>
      <c r="F223" s="2" t="s">
        <v>84</v>
      </c>
      <c r="H223" s="2">
        <v>0.9</v>
      </c>
      <c r="J223" s="2">
        <v>0.93546765700000001</v>
      </c>
      <c r="K223" s="2">
        <v>16.131336277999999</v>
      </c>
      <c r="L223" s="2"/>
      <c r="M223" s="2">
        <v>3.41514784540608</v>
      </c>
      <c r="N223" s="2">
        <v>186.555555555555</v>
      </c>
      <c r="O223" s="2">
        <v>21.395958427633801</v>
      </c>
      <c r="P223" s="2">
        <v>37.3105371727777</v>
      </c>
      <c r="Q223" s="2">
        <v>2.7257214083699899</v>
      </c>
      <c r="R223" s="2">
        <v>1.7954306866666601</v>
      </c>
      <c r="S223" s="2">
        <v>1.14968515780979</v>
      </c>
      <c r="T223" s="2">
        <v>5.6212459273333302</v>
      </c>
      <c r="U223" s="2">
        <v>2.9012369903550299</v>
      </c>
      <c r="V223" s="2">
        <v>0.23895438833333299</v>
      </c>
      <c r="W223" s="2">
        <v>0.283317210258762</v>
      </c>
      <c r="X223" s="2">
        <v>3.0317366772222201</v>
      </c>
      <c r="Y223" s="2">
        <v>0.897913811798978</v>
      </c>
      <c r="Z223" s="7">
        <v>66.892430278884405</v>
      </c>
      <c r="AA223" s="2">
        <v>7.6718576035340504</v>
      </c>
      <c r="AB223" s="7">
        <v>40.408938879917301</v>
      </c>
      <c r="AC223" s="2">
        <v>8.5549329685169795</v>
      </c>
      <c r="AD223" s="2">
        <v>126.96462517831399</v>
      </c>
      <c r="AE223" s="2">
        <v>65.528972010059903</v>
      </c>
      <c r="AF223" s="2">
        <v>110.33418548914899</v>
      </c>
      <c r="AG223" s="2">
        <v>8.0604642616152091</v>
      </c>
      <c r="AH223" s="2">
        <v>48.066496784910299</v>
      </c>
      <c r="AI223" s="2">
        <v>30.778875704814801</v>
      </c>
      <c r="AJ223" s="2">
        <v>50.809066491783597</v>
      </c>
      <c r="AK223" s="2">
        <v>60.2419695018258</v>
      </c>
      <c r="AL223" s="2">
        <v>90.043874442352703</v>
      </c>
      <c r="AM223" s="2">
        <v>26.6684237906045</v>
      </c>
      <c r="AN223"/>
      <c r="AO223"/>
    </row>
    <row r="224" spans="1:41" ht="15.75" hidden="1" customHeight="1" x14ac:dyDescent="0.45">
      <c r="A224" s="2" t="s">
        <v>123</v>
      </c>
      <c r="B224" s="2" t="s">
        <v>124</v>
      </c>
      <c r="C224" s="2">
        <v>3</v>
      </c>
      <c r="D224" s="2"/>
      <c r="E224" s="2" t="s">
        <v>83</v>
      </c>
      <c r="F224" s="2" t="s">
        <v>84</v>
      </c>
      <c r="H224" s="2">
        <v>0.9</v>
      </c>
      <c r="J224" s="2">
        <v>0.93546765700000001</v>
      </c>
      <c r="K224" s="2">
        <v>4.3859958154999896</v>
      </c>
      <c r="L224" s="2"/>
      <c r="M224" s="2">
        <v>0.42512033102241598</v>
      </c>
      <c r="N224" s="2">
        <v>42.8333333333333</v>
      </c>
      <c r="O224" s="2">
        <v>7.4740291082595904</v>
      </c>
      <c r="P224" s="2">
        <v>28.114578987777701</v>
      </c>
      <c r="Q224" s="2">
        <v>6.9706495516558302</v>
      </c>
      <c r="R224" s="2">
        <v>2.8640193500555502</v>
      </c>
      <c r="S224" s="2">
        <v>0.35779549290081297</v>
      </c>
      <c r="T224" s="2">
        <v>10.667117755277699</v>
      </c>
      <c r="U224" s="2">
        <v>5.34966460355193</v>
      </c>
      <c r="V224" s="2">
        <v>0.14619883038888801</v>
      </c>
      <c r="W224" s="2">
        <v>0.25322380224070001</v>
      </c>
      <c r="X224" s="2">
        <v>7.1721399287222196</v>
      </c>
      <c r="Y224" s="2">
        <v>2.75644434048293</v>
      </c>
      <c r="Z224" s="7">
        <v>15.3585657370517</v>
      </c>
      <c r="AA224" s="2">
        <v>2.6799307559496501</v>
      </c>
      <c r="AB224" s="7">
        <v>10.986903613051799</v>
      </c>
      <c r="AC224" s="2">
        <v>1.0649248876129001</v>
      </c>
      <c r="AD224" s="2">
        <v>240.93352702223399</v>
      </c>
      <c r="AE224" s="2">
        <v>120.83053650383199</v>
      </c>
      <c r="AF224" s="2">
        <v>83.140029815761395</v>
      </c>
      <c r="AG224" s="2">
        <v>20.6135048940918</v>
      </c>
      <c r="AH224" s="2">
        <v>76.674292081387705</v>
      </c>
      <c r="AI224" s="2">
        <v>9.5787467803067994</v>
      </c>
      <c r="AJ224" s="2">
        <v>31.086376551025801</v>
      </c>
      <c r="AK224" s="2">
        <v>53.843183609594497</v>
      </c>
      <c r="AL224" s="2">
        <v>213.01561975249001</v>
      </c>
      <c r="AM224" s="2">
        <v>81.867574438948097</v>
      </c>
      <c r="AN224"/>
      <c r="AO224"/>
    </row>
    <row r="225" spans="1:41" ht="15.75" hidden="1" customHeight="1" x14ac:dyDescent="0.45">
      <c r="A225" s="2" t="s">
        <v>123</v>
      </c>
      <c r="B225" s="2" t="s">
        <v>124</v>
      </c>
      <c r="C225" s="2">
        <v>10</v>
      </c>
      <c r="D225" s="2"/>
      <c r="E225" s="2" t="s">
        <v>83</v>
      </c>
      <c r="F225" s="2" t="s">
        <v>84</v>
      </c>
      <c r="H225" s="2">
        <v>0.9</v>
      </c>
      <c r="J225" s="2">
        <v>0.93546765700000001</v>
      </c>
      <c r="K225" s="2">
        <v>0</v>
      </c>
      <c r="L225" s="2"/>
      <c r="M225" s="2">
        <v>0</v>
      </c>
      <c r="N225" s="2">
        <v>7.9833333333333298</v>
      </c>
      <c r="O225" s="2">
        <v>2.0568989604093999</v>
      </c>
      <c r="P225" s="2">
        <v>3.1944444444666602</v>
      </c>
      <c r="Q225" s="2">
        <v>2.7743033826713699</v>
      </c>
      <c r="R225" s="2">
        <v>15.7645502648333</v>
      </c>
      <c r="S225" s="2">
        <v>0.27150900809854001</v>
      </c>
      <c r="T225" s="2">
        <v>13.2738095243666</v>
      </c>
      <c r="U225" s="2">
        <v>3.4230072237967102</v>
      </c>
      <c r="V225" s="2">
        <v>0</v>
      </c>
      <c r="W225" s="2">
        <v>0</v>
      </c>
      <c r="X225" s="2">
        <v>1.38888888913333</v>
      </c>
      <c r="Y225" s="2">
        <v>2.4056261220468298</v>
      </c>
      <c r="Z225" s="7">
        <v>2.8625498007968102</v>
      </c>
      <c r="AA225" s="2">
        <v>0.73753349178026595</v>
      </c>
      <c r="AB225" s="7">
        <v>0</v>
      </c>
      <c r="AC225" s="2">
        <v>0</v>
      </c>
      <c r="AD225" s="2">
        <v>299.80973484094602</v>
      </c>
      <c r="AE225" s="2">
        <v>77.313968250128596</v>
      </c>
      <c r="AF225" s="2">
        <v>9.4465653024080591</v>
      </c>
      <c r="AG225" s="2">
        <v>8.2041301793471195</v>
      </c>
      <c r="AH225" s="2">
        <v>422.04174755806099</v>
      </c>
      <c r="AI225" s="2">
        <v>7.2687221855786301</v>
      </c>
      <c r="AJ225" s="2">
        <v>0</v>
      </c>
      <c r="AK225" s="2">
        <v>0</v>
      </c>
      <c r="AL225" s="2">
        <v>41.250593327282502</v>
      </c>
      <c r="AM225" s="2">
        <v>71.448123485215007</v>
      </c>
      <c r="AN225"/>
      <c r="AO225"/>
    </row>
    <row r="226" spans="1:41" ht="15.75" hidden="1" customHeight="1" x14ac:dyDescent="0.45">
      <c r="A226" s="2" t="s">
        <v>123</v>
      </c>
      <c r="B226" s="2" t="s">
        <v>124</v>
      </c>
      <c r="C226" s="2">
        <v>3.0000000000000001E-3</v>
      </c>
      <c r="D226" s="2"/>
      <c r="E226" s="2" t="s">
        <v>85</v>
      </c>
      <c r="F226" s="2" t="s">
        <v>84</v>
      </c>
      <c r="G226" s="2" t="s">
        <v>86</v>
      </c>
      <c r="H226" s="2">
        <v>8.6999999999999993</v>
      </c>
      <c r="I226" s="2">
        <v>3539</v>
      </c>
      <c r="J226" s="2">
        <v>8.6999999999999993</v>
      </c>
      <c r="K226" s="2">
        <v>3.5613461651444398</v>
      </c>
      <c r="L226" s="2"/>
      <c r="M226" s="2">
        <v>0.89333922481664396</v>
      </c>
      <c r="N226" s="2">
        <v>164.222222222222</v>
      </c>
      <c r="O226" s="2">
        <v>5.3394062646754499</v>
      </c>
      <c r="P226" s="2">
        <v>0.19494780513388801</v>
      </c>
      <c r="Q226" s="2">
        <v>0.168909081598592</v>
      </c>
      <c r="R226" s="2">
        <v>0.24840785646999899</v>
      </c>
      <c r="S226" s="2">
        <v>0.21880175935271401</v>
      </c>
      <c r="T226" s="2">
        <v>5.3673436105111101</v>
      </c>
      <c r="U226" s="2">
        <v>0.110662788559897</v>
      </c>
      <c r="V226" s="2">
        <v>0</v>
      </c>
      <c r="W226" s="2">
        <v>0</v>
      </c>
      <c r="X226" s="2">
        <v>0.52292521692222205</v>
      </c>
      <c r="Y226" s="2">
        <v>0.25155979012910001</v>
      </c>
      <c r="Z226" s="7">
        <v>106.492568861162</v>
      </c>
      <c r="AA226" s="2">
        <v>8.3166448314202697</v>
      </c>
      <c r="AB226" s="7">
        <v>85.527598840658996</v>
      </c>
      <c r="AC226" s="2">
        <v>21.539454046987</v>
      </c>
      <c r="AD226" s="2">
        <v>72.333378681590901</v>
      </c>
      <c r="AE226" s="2">
        <v>22.756968908065002</v>
      </c>
      <c r="AF226" s="2">
        <v>84.828551836372398</v>
      </c>
      <c r="AG226" s="2">
        <v>66.949238978963805</v>
      </c>
      <c r="AH226" s="2">
        <v>105.343357846375</v>
      </c>
      <c r="AI226" s="2">
        <v>99.2492961649357</v>
      </c>
      <c r="AJ226" s="2">
        <v>0</v>
      </c>
      <c r="AK226" s="2">
        <v>0</v>
      </c>
      <c r="AL226" s="2">
        <v>140.93864996939499</v>
      </c>
      <c r="AM226" s="2">
        <v>87.107832951238095</v>
      </c>
      <c r="AN226"/>
      <c r="AO226"/>
    </row>
    <row r="227" spans="1:41" ht="15.75" hidden="1" customHeight="1" x14ac:dyDescent="0.45">
      <c r="A227" s="2" t="s">
        <v>123</v>
      </c>
      <c r="B227" s="2" t="s">
        <v>124</v>
      </c>
      <c r="C227" s="2">
        <v>0.01</v>
      </c>
      <c r="D227" s="2"/>
      <c r="E227" s="2" t="s">
        <v>85</v>
      </c>
      <c r="F227" s="2" t="s">
        <v>84</v>
      </c>
      <c r="G227" s="2" t="s">
        <v>86</v>
      </c>
      <c r="H227" s="2">
        <v>8.6999999999999993</v>
      </c>
      <c r="I227" s="2">
        <v>3539</v>
      </c>
      <c r="J227" s="2">
        <v>8.6999999999999993</v>
      </c>
      <c r="K227" s="2">
        <v>5.3587102465500003</v>
      </c>
      <c r="L227" s="2"/>
      <c r="M227" s="2">
        <v>0.58226923815510701</v>
      </c>
      <c r="N227" s="2">
        <v>143.111111111111</v>
      </c>
      <c r="O227" s="2">
        <v>7.9062797357072698</v>
      </c>
      <c r="P227" s="2">
        <v>0.24061802167777699</v>
      </c>
      <c r="Q227" s="2">
        <v>0.21702160013779001</v>
      </c>
      <c r="R227" s="2">
        <v>0.45271157610277701</v>
      </c>
      <c r="S227" s="2">
        <v>0.40085935470016898</v>
      </c>
      <c r="T227" s="2">
        <v>7.7577235259499897</v>
      </c>
      <c r="U227" s="2">
        <v>0.49505761395686898</v>
      </c>
      <c r="V227" s="2">
        <v>2.54841997961111E-2</v>
      </c>
      <c r="W227" s="2">
        <v>4.41399288371008E-2</v>
      </c>
      <c r="X227" s="2">
        <v>0.24596804026055499</v>
      </c>
      <c r="Y227" s="2">
        <v>8.5079986167814897E-2</v>
      </c>
      <c r="Z227" s="7">
        <v>92.582221851099106</v>
      </c>
      <c r="AA227" s="2">
        <v>2.8490261361127001</v>
      </c>
      <c r="AB227" s="7">
        <v>128.29593996421099</v>
      </c>
      <c r="AC227" s="2">
        <v>5.7701207174698999</v>
      </c>
      <c r="AD227" s="2">
        <v>105.07727755777699</v>
      </c>
      <c r="AE227" s="2">
        <v>35.056191218215197</v>
      </c>
      <c r="AF227" s="2">
        <v>146.344512133546</v>
      </c>
      <c r="AG227" s="2">
        <v>158.73709076635899</v>
      </c>
      <c r="AH227" s="2">
        <v>181.10544167576799</v>
      </c>
      <c r="AI227" s="2">
        <v>213.96034014181501</v>
      </c>
      <c r="AJ227" s="2">
        <v>957.79816514230697</v>
      </c>
      <c r="AK227" s="2">
        <v>0</v>
      </c>
      <c r="AL227" s="2">
        <v>63.286410162442401</v>
      </c>
      <c r="AM227" s="2">
        <v>25.601491677385798</v>
      </c>
      <c r="AN227"/>
      <c r="AO227"/>
    </row>
    <row r="228" spans="1:41" ht="15.75" hidden="1" customHeight="1" x14ac:dyDescent="0.45">
      <c r="A228" s="2" t="s">
        <v>123</v>
      </c>
      <c r="B228" s="2" t="s">
        <v>124</v>
      </c>
      <c r="C228" s="2">
        <v>0.03</v>
      </c>
      <c r="D228" s="2"/>
      <c r="E228" s="2" t="s">
        <v>85</v>
      </c>
      <c r="F228" s="2" t="s">
        <v>84</v>
      </c>
      <c r="G228" s="2" t="s">
        <v>86</v>
      </c>
      <c r="H228" s="2">
        <v>8.6999999999999993</v>
      </c>
      <c r="I228" s="2">
        <v>3539</v>
      </c>
      <c r="J228" s="2">
        <v>8.6999999999999993</v>
      </c>
      <c r="K228" s="2">
        <v>4.3845988014388801</v>
      </c>
      <c r="L228" s="2"/>
      <c r="M228" s="2">
        <v>1.1610473255179501</v>
      </c>
      <c r="N228" s="2">
        <v>138.333333333333</v>
      </c>
      <c r="O228" s="2">
        <v>20.502709847996002</v>
      </c>
      <c r="P228" s="2">
        <v>0.13834129319666599</v>
      </c>
      <c r="Q228" s="2">
        <v>0.14202859154097799</v>
      </c>
      <c r="R228" s="2">
        <v>0.43710790701000002</v>
      </c>
      <c r="S228" s="2">
        <v>0.62820391799002895</v>
      </c>
      <c r="T228" s="2">
        <v>7.9489316656333298</v>
      </c>
      <c r="U228" s="2">
        <v>5.9646064544263702</v>
      </c>
      <c r="V228" s="2">
        <v>0</v>
      </c>
      <c r="W228" s="2">
        <v>0</v>
      </c>
      <c r="X228" s="2">
        <v>0.47561088240166599</v>
      </c>
      <c r="Y228" s="2">
        <v>5.2117391953642699E-2</v>
      </c>
      <c r="Z228" s="7">
        <v>89.395508586420306</v>
      </c>
      <c r="AA228" s="2">
        <v>11.690510367450001</v>
      </c>
      <c r="AB228" s="7">
        <v>104.379187184858</v>
      </c>
      <c r="AC228" s="2">
        <v>20.775350982282902</v>
      </c>
      <c r="AD228" s="2">
        <v>107.482217987992</v>
      </c>
      <c r="AE228" s="2">
        <v>93.659194636790502</v>
      </c>
      <c r="AF228" s="2">
        <v>71.739165033114702</v>
      </c>
      <c r="AG228" s="2">
        <v>62.852667751554399</v>
      </c>
      <c r="AH228" s="2">
        <v>162.45006298332399</v>
      </c>
      <c r="AI228" s="2">
        <v>220.62198876922</v>
      </c>
      <c r="AJ228" s="2">
        <v>0</v>
      </c>
      <c r="AK228" s="2">
        <v>0</v>
      </c>
      <c r="AL228" s="2">
        <v>125.790969185515</v>
      </c>
      <c r="AM228" s="2">
        <v>38.156498228210403</v>
      </c>
      <c r="AN228"/>
      <c r="AO228"/>
    </row>
    <row r="229" spans="1:41" ht="15.75" hidden="1" customHeight="1" x14ac:dyDescent="0.45">
      <c r="A229" s="2" t="s">
        <v>123</v>
      </c>
      <c r="B229" s="2" t="s">
        <v>124</v>
      </c>
      <c r="C229" s="2">
        <v>0.1</v>
      </c>
      <c r="D229" s="2"/>
      <c r="E229" s="2" t="s">
        <v>85</v>
      </c>
      <c r="F229" s="2" t="s">
        <v>84</v>
      </c>
      <c r="G229" s="2" t="s">
        <v>86</v>
      </c>
      <c r="H229" s="2">
        <v>8.6999999999999993</v>
      </c>
      <c r="I229" s="2">
        <v>3539</v>
      </c>
      <c r="J229" s="2">
        <v>8.6999999999999993</v>
      </c>
      <c r="K229" s="2">
        <v>4.3571582030055502</v>
      </c>
      <c r="L229" s="2"/>
      <c r="M229" s="2">
        <v>1.1341662525749501</v>
      </c>
      <c r="N229" s="2">
        <v>142.722222222222</v>
      </c>
      <c r="O229" s="2">
        <v>8.0972103106453304</v>
      </c>
      <c r="P229" s="2">
        <v>0.175776987371111</v>
      </c>
      <c r="Q229" s="2">
        <v>0.18359488455798501</v>
      </c>
      <c r="R229" s="2">
        <v>0.25164168841722201</v>
      </c>
      <c r="S229" s="2">
        <v>0.131232894534799</v>
      </c>
      <c r="T229" s="2">
        <v>5.8998577478166601</v>
      </c>
      <c r="U229" s="2">
        <v>3.1939975581151301</v>
      </c>
      <c r="V229" s="2">
        <v>0</v>
      </c>
      <c r="W229" s="2">
        <v>0</v>
      </c>
      <c r="X229" s="2">
        <v>0.297160026462222</v>
      </c>
      <c r="Y229" s="2">
        <v>0.249242387669387</v>
      </c>
      <c r="Z229" s="7">
        <v>92.4583959194171</v>
      </c>
      <c r="AA229" s="2">
        <v>6.6995765183014004</v>
      </c>
      <c r="AB229" s="7">
        <v>103.510282728812</v>
      </c>
      <c r="AC229" s="2">
        <v>18.538769904482901</v>
      </c>
      <c r="AD229" s="2">
        <v>84.554514788292295</v>
      </c>
      <c r="AE229" s="2">
        <v>55.458933704592198</v>
      </c>
      <c r="AF229" s="2">
        <v>57.703276723090703</v>
      </c>
      <c r="AG229" s="2">
        <v>53.861250877524597</v>
      </c>
      <c r="AH229" s="2">
        <v>76.854130350998403</v>
      </c>
      <c r="AI229" s="2">
        <v>10.0258693762063</v>
      </c>
      <c r="AJ229" s="2">
        <v>0</v>
      </c>
      <c r="AK229" s="2">
        <v>0</v>
      </c>
      <c r="AL229" s="2">
        <v>81.519865214048906</v>
      </c>
      <c r="AM229" s="2">
        <v>78.534013338552498</v>
      </c>
      <c r="AN229"/>
      <c r="AO229"/>
    </row>
    <row r="230" spans="1:41" ht="15.75" hidden="1" customHeight="1" x14ac:dyDescent="0.45">
      <c r="A230" s="2" t="s">
        <v>123</v>
      </c>
      <c r="B230" s="2" t="s">
        <v>124</v>
      </c>
      <c r="C230" s="2">
        <v>0.3</v>
      </c>
      <c r="D230" s="2"/>
      <c r="E230" s="2" t="s">
        <v>85</v>
      </c>
      <c r="F230" s="2" t="s">
        <v>84</v>
      </c>
      <c r="G230" s="2" t="s">
        <v>86</v>
      </c>
      <c r="H230" s="2">
        <v>8.6999999999999993</v>
      </c>
      <c r="I230" s="2">
        <v>3539</v>
      </c>
      <c r="J230" s="2">
        <v>8.6999999999999993</v>
      </c>
      <c r="K230" s="2">
        <v>3.3219146854005501</v>
      </c>
      <c r="L230" s="2"/>
      <c r="M230" s="2">
        <v>0.59262000141944804</v>
      </c>
      <c r="N230" s="2">
        <v>124.666666666666</v>
      </c>
      <c r="O230" s="2">
        <v>17.093696043993599</v>
      </c>
      <c r="P230" s="2">
        <v>0.24395042728055499</v>
      </c>
      <c r="Q230" s="2">
        <v>0.107497997268392</v>
      </c>
      <c r="R230" s="2">
        <v>0.10267323775555499</v>
      </c>
      <c r="S230" s="2">
        <v>9.1052482067909696E-2</v>
      </c>
      <c r="T230" s="2">
        <v>7.3555704510555504</v>
      </c>
      <c r="U230" s="2">
        <v>1.9387609585448999</v>
      </c>
      <c r="V230" s="2">
        <v>0</v>
      </c>
      <c r="W230" s="2">
        <v>0</v>
      </c>
      <c r="X230" s="2">
        <v>0.55869651906722195</v>
      </c>
      <c r="Y230" s="2">
        <v>0.25032899060924202</v>
      </c>
      <c r="Z230" s="7">
        <v>80.891800492630196</v>
      </c>
      <c r="AA230" s="2">
        <v>13.092094679834799</v>
      </c>
      <c r="AB230" s="7">
        <v>79.752528299777794</v>
      </c>
      <c r="AC230" s="2">
        <v>14.1090726242718</v>
      </c>
      <c r="AD230" s="2">
        <v>98.7624832817786</v>
      </c>
      <c r="AE230" s="2">
        <v>39.7008562721876</v>
      </c>
      <c r="AF230" s="2">
        <v>125.915749063966</v>
      </c>
      <c r="AG230" s="2">
        <v>83.959288340046598</v>
      </c>
      <c r="AH230" s="2">
        <v>42.093578554993201</v>
      </c>
      <c r="AI230" s="2">
        <v>36.469971449176398</v>
      </c>
      <c r="AJ230" s="2">
        <v>0</v>
      </c>
      <c r="AK230" s="2">
        <v>0</v>
      </c>
      <c r="AL230" s="2">
        <v>143.78372464080999</v>
      </c>
      <c r="AM230" s="2">
        <v>74.786305048412899</v>
      </c>
      <c r="AN230"/>
      <c r="AO230"/>
    </row>
    <row r="231" spans="1:41" ht="15.75" hidden="1" customHeight="1" x14ac:dyDescent="0.45">
      <c r="A231" s="2" t="s">
        <v>123</v>
      </c>
      <c r="B231" s="2" t="s">
        <v>124</v>
      </c>
      <c r="C231" s="2">
        <v>1</v>
      </c>
      <c r="D231" s="2"/>
      <c r="E231" s="2" t="s">
        <v>85</v>
      </c>
      <c r="F231" s="2" t="s">
        <v>84</v>
      </c>
      <c r="G231" s="2" t="s">
        <v>86</v>
      </c>
      <c r="H231" s="2">
        <v>8.6999999999999993</v>
      </c>
      <c r="I231" s="2">
        <v>3539</v>
      </c>
      <c r="J231" s="2">
        <v>8.6999999999999993</v>
      </c>
      <c r="K231" s="2">
        <v>3.64947478747</v>
      </c>
      <c r="L231" s="2"/>
      <c r="M231" s="2">
        <v>0.88414117859034602</v>
      </c>
      <c r="N231" s="2">
        <v>127.055555555555</v>
      </c>
      <c r="O231" s="2">
        <v>27.121810274990899</v>
      </c>
      <c r="P231" s="2">
        <v>0.18940002709888801</v>
      </c>
      <c r="Q231" s="2">
        <v>0.236189561960854</v>
      </c>
      <c r="R231" s="2">
        <v>0.24901050733888799</v>
      </c>
      <c r="S231" s="2">
        <v>0.21590196919278101</v>
      </c>
      <c r="T231" s="2">
        <v>12.8228356026722</v>
      </c>
      <c r="U231" s="2">
        <v>10.0706072721037</v>
      </c>
      <c r="V231" s="2">
        <v>4.34027777777777E-2</v>
      </c>
      <c r="W231" s="2">
        <v>7.5175816300732501E-2</v>
      </c>
      <c r="X231" s="2">
        <v>0.41464209412777697</v>
      </c>
      <c r="Y231" s="2">
        <v>6.5496119178220305E-2</v>
      </c>
      <c r="Z231" s="7">
        <v>82.699708952324102</v>
      </c>
      <c r="AA231" s="2">
        <v>20.9041666079702</v>
      </c>
      <c r="AB231" s="7">
        <v>88.997143294882093</v>
      </c>
      <c r="AC231" s="2">
        <v>27.917982019974701</v>
      </c>
      <c r="AD231" s="2">
        <v>196.437969618762</v>
      </c>
      <c r="AE231" s="2">
        <v>182.62285980687901</v>
      </c>
      <c r="AF231" s="2">
        <v>128.83114530220601</v>
      </c>
      <c r="AG231" s="2">
        <v>183.855437695348</v>
      </c>
      <c r="AH231" s="2">
        <v>103.575694987161</v>
      </c>
      <c r="AI231" s="2">
        <v>91.507525618049002</v>
      </c>
      <c r="AJ231" s="2">
        <v>1631.2500000089699</v>
      </c>
      <c r="AK231" s="2">
        <v>0</v>
      </c>
      <c r="AL231" s="2">
        <v>106.73274784307699</v>
      </c>
      <c r="AM231" s="2">
        <v>21.599739536049</v>
      </c>
      <c r="AN231"/>
      <c r="AO231"/>
    </row>
    <row r="232" spans="1:41" ht="15.75" hidden="1" customHeight="1" x14ac:dyDescent="0.45">
      <c r="A232" s="2" t="s">
        <v>123</v>
      </c>
      <c r="B232" s="2" t="s">
        <v>124</v>
      </c>
      <c r="C232" s="2">
        <v>3</v>
      </c>
      <c r="D232" s="2"/>
      <c r="E232" s="2" t="s">
        <v>85</v>
      </c>
      <c r="F232" s="2" t="s">
        <v>84</v>
      </c>
      <c r="G232" s="2" t="s">
        <v>86</v>
      </c>
      <c r="H232" s="2">
        <v>8.6999999999999993</v>
      </c>
      <c r="I232" s="2">
        <v>3539</v>
      </c>
      <c r="J232" s="2">
        <v>8.6999999999999993</v>
      </c>
      <c r="K232" s="2">
        <v>0.50708738855166602</v>
      </c>
      <c r="L232" s="2"/>
      <c r="M232" s="2">
        <v>0.273914405250822</v>
      </c>
      <c r="N232" s="2">
        <v>100</v>
      </c>
      <c r="O232" s="2">
        <v>15.814901552368701</v>
      </c>
      <c r="P232" s="2">
        <v>0.16010157314277701</v>
      </c>
      <c r="Q232" s="2">
        <v>2.80917365792294E-2</v>
      </c>
      <c r="R232" s="2">
        <v>0</v>
      </c>
      <c r="S232" s="2">
        <v>0</v>
      </c>
      <c r="T232" s="2">
        <v>10.742745424371099</v>
      </c>
      <c r="U232" s="2">
        <v>1.69907122803743</v>
      </c>
      <c r="V232" s="2">
        <v>0</v>
      </c>
      <c r="W232" s="2">
        <v>0</v>
      </c>
      <c r="X232" s="2">
        <v>0.26521132800888803</v>
      </c>
      <c r="Y232" s="2">
        <v>0.233876790729447</v>
      </c>
      <c r="Z232" s="7">
        <v>65.086387799486701</v>
      </c>
      <c r="AA232" s="2">
        <v>13.328915730158</v>
      </c>
      <c r="AB232" s="7">
        <v>12.1124597491995</v>
      </c>
      <c r="AC232" s="2">
        <v>6.3080187334151301</v>
      </c>
      <c r="AD232" s="2">
        <v>148.63291480503901</v>
      </c>
      <c r="AE232" s="2">
        <v>61.961499682097397</v>
      </c>
      <c r="AF232" s="2">
        <v>81.0955581217532</v>
      </c>
      <c r="AG232" s="2">
        <v>49.883934265142599</v>
      </c>
      <c r="AH232" s="2">
        <v>0</v>
      </c>
      <c r="AI232" s="2">
        <v>0</v>
      </c>
      <c r="AJ232" s="2">
        <v>0</v>
      </c>
      <c r="AK232" s="2">
        <v>0</v>
      </c>
      <c r="AL232" s="2">
        <v>78.053362526035599</v>
      </c>
      <c r="AM232" s="2">
        <v>68.762011352076698</v>
      </c>
      <c r="AN232"/>
      <c r="AO232"/>
    </row>
    <row r="233" spans="1:41" ht="15.75" hidden="1" customHeight="1" x14ac:dyDescent="0.45">
      <c r="A233" s="2" t="s">
        <v>123</v>
      </c>
      <c r="B233" s="2" t="s">
        <v>124</v>
      </c>
      <c r="C233" s="2">
        <v>10</v>
      </c>
      <c r="D233" s="2"/>
      <c r="E233" s="2" t="s">
        <v>85</v>
      </c>
      <c r="F233" s="2" t="s">
        <v>84</v>
      </c>
      <c r="G233" s="2" t="s">
        <v>86</v>
      </c>
      <c r="H233" s="2">
        <v>8.6999999999999993</v>
      </c>
      <c r="I233" s="2">
        <v>3539</v>
      </c>
      <c r="J233" s="2">
        <v>8.6999999999999993</v>
      </c>
      <c r="K233" s="2">
        <v>0</v>
      </c>
      <c r="L233" s="2"/>
      <c r="M233" s="2">
        <v>0</v>
      </c>
      <c r="N233" s="2">
        <v>70</v>
      </c>
      <c r="O233" s="2">
        <v>16.710774967068399</v>
      </c>
      <c r="P233" s="2">
        <v>0</v>
      </c>
      <c r="Q233" s="2">
        <v>0</v>
      </c>
      <c r="R233" s="2">
        <v>0</v>
      </c>
      <c r="S233" s="2">
        <v>0</v>
      </c>
      <c r="T233" s="2">
        <v>27.9929143872222</v>
      </c>
      <c r="U233" s="2">
        <v>0.56127086317185604</v>
      </c>
      <c r="V233" s="2">
        <v>0</v>
      </c>
      <c r="W233" s="2">
        <v>0</v>
      </c>
      <c r="X233" s="2">
        <v>1.5153616059088799</v>
      </c>
      <c r="Y233" s="2">
        <v>0.83229596595760802</v>
      </c>
      <c r="Z233" s="7">
        <v>45.208697033253301</v>
      </c>
      <c r="AA233" s="2">
        <v>10.1903939113039</v>
      </c>
      <c r="AB233" s="7">
        <v>0</v>
      </c>
      <c r="AC233" s="2">
        <v>0</v>
      </c>
      <c r="AD233" s="2">
        <v>375.49189909142302</v>
      </c>
      <c r="AE233" s="2">
        <v>112.396464590626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426.36023857951301</v>
      </c>
      <c r="AM233" s="2">
        <v>278.83324051304697</v>
      </c>
      <c r="AN233"/>
      <c r="AO233"/>
    </row>
    <row r="234" spans="1:41" ht="15.75" hidden="1" customHeight="1" x14ac:dyDescent="0.45">
      <c r="A234" s="2" t="s">
        <v>125</v>
      </c>
      <c r="C234" s="2">
        <v>3.0000000000000001E-3</v>
      </c>
      <c r="D234" s="2"/>
      <c r="E234" s="2" t="s">
        <v>109</v>
      </c>
      <c r="F234" s="2" t="s">
        <v>84</v>
      </c>
      <c r="H234" s="2">
        <v>1.4</v>
      </c>
      <c r="J234" s="2">
        <v>1.4</v>
      </c>
      <c r="K234" s="2">
        <v>34.3888888888888</v>
      </c>
      <c r="L234" s="2"/>
      <c r="M234" s="2">
        <v>6.70060804316656</v>
      </c>
      <c r="N234" s="2">
        <v>120.222222222222</v>
      </c>
      <c r="O234" s="2">
        <v>9.7044281606862199</v>
      </c>
      <c r="P234" s="2">
        <v>14.5</v>
      </c>
      <c r="Q234" s="2">
        <v>2.3629078131263102</v>
      </c>
      <c r="R234" s="2">
        <v>1.5</v>
      </c>
      <c r="S234" s="2">
        <v>0.33333333333333398</v>
      </c>
      <c r="T234" s="2">
        <v>3.1666666666666599</v>
      </c>
      <c r="U234" s="2">
        <v>1</v>
      </c>
      <c r="V234" s="2">
        <v>0.44444444444444398</v>
      </c>
      <c r="W234" s="2">
        <v>9.6225044864937798E-2</v>
      </c>
      <c r="X234" s="2">
        <v>2.2222222222222201</v>
      </c>
      <c r="Y234" s="2">
        <v>0.50917507721731603</v>
      </c>
      <c r="Z234" s="7">
        <v>83.738028441520697</v>
      </c>
      <c r="AA234" s="2">
        <v>6.7593966099391203</v>
      </c>
      <c r="AB234" s="7">
        <v>96.71875</v>
      </c>
      <c r="AC234" s="2">
        <v>18.8454601214059</v>
      </c>
      <c r="AD234" s="2">
        <v>64.772727272727195</v>
      </c>
      <c r="AE234" s="2">
        <v>20.454545454545499</v>
      </c>
      <c r="AF234" s="2">
        <v>86.423841059602594</v>
      </c>
      <c r="AG234" s="2">
        <v>14.0835565020773</v>
      </c>
      <c r="AH234" s="2">
        <v>64.285714285714207</v>
      </c>
      <c r="AI234" s="2">
        <v>14.285714285714301</v>
      </c>
      <c r="AJ234" s="2">
        <v>72.727272727272705</v>
      </c>
      <c r="AK234" s="2">
        <v>15.7459164324443</v>
      </c>
      <c r="AL234" s="2">
        <v>98.765432098765402</v>
      </c>
      <c r="AM234" s="2">
        <v>22.630003431880699</v>
      </c>
      <c r="AN234"/>
      <c r="AO234"/>
    </row>
    <row r="235" spans="1:41" ht="15.75" hidden="1" customHeight="1" x14ac:dyDescent="0.45">
      <c r="A235" s="2" t="s">
        <v>125</v>
      </c>
      <c r="C235" s="2">
        <v>0.01</v>
      </c>
      <c r="D235" s="2"/>
      <c r="E235" s="2" t="s">
        <v>109</v>
      </c>
      <c r="F235" s="2" t="s">
        <v>84</v>
      </c>
      <c r="H235" s="2">
        <v>1.4</v>
      </c>
      <c r="J235" s="2">
        <v>1.4</v>
      </c>
      <c r="K235" s="2">
        <v>33.0555555555555</v>
      </c>
      <c r="L235" s="2"/>
      <c r="M235" s="2">
        <v>2.6051942417097398</v>
      </c>
      <c r="N235" s="2">
        <v>129.99999999999901</v>
      </c>
      <c r="O235" s="2">
        <v>5.9324905768523202</v>
      </c>
      <c r="P235" s="2">
        <v>16.2222222222222</v>
      </c>
      <c r="Q235" s="2">
        <v>3.3678765702728199</v>
      </c>
      <c r="R235" s="2">
        <v>2.4444444444444402</v>
      </c>
      <c r="S235" s="2">
        <v>0.91792842454768397</v>
      </c>
      <c r="T235" s="2">
        <v>3.4444444444444402</v>
      </c>
      <c r="U235" s="2">
        <v>0.97657754618038295</v>
      </c>
      <c r="V235" s="2">
        <v>0.5</v>
      </c>
      <c r="W235" s="2">
        <v>0.16666666666666599</v>
      </c>
      <c r="X235" s="2">
        <v>2.4444444444444402</v>
      </c>
      <c r="Y235" s="2">
        <v>1.50308325094096</v>
      </c>
      <c r="Z235" s="7">
        <v>90.548515043049207</v>
      </c>
      <c r="AA235" s="2">
        <v>4.1321400941604596</v>
      </c>
      <c r="AB235" s="7">
        <v>92.96875</v>
      </c>
      <c r="AC235" s="2">
        <v>7.3271088048086703</v>
      </c>
      <c r="AD235" s="2">
        <v>70.454545454545396</v>
      </c>
      <c r="AE235" s="2">
        <v>19.975449808235101</v>
      </c>
      <c r="AF235" s="2">
        <v>96.688741721854299</v>
      </c>
      <c r="AG235" s="2">
        <v>20.073436511559901</v>
      </c>
      <c r="AH235" s="2">
        <v>104.76190476190401</v>
      </c>
      <c r="AI235" s="2">
        <v>39.3397896234721</v>
      </c>
      <c r="AJ235" s="2">
        <v>81.818181818181799</v>
      </c>
      <c r="AK235" s="2">
        <v>27.272727272727199</v>
      </c>
      <c r="AL235" s="2">
        <v>108.64197530864099</v>
      </c>
      <c r="AM235" s="2">
        <v>66.803700041820605</v>
      </c>
      <c r="AN235"/>
      <c r="AO235"/>
    </row>
    <row r="236" spans="1:41" ht="15.75" hidden="1" customHeight="1" x14ac:dyDescent="0.45">
      <c r="A236" s="2" t="s">
        <v>125</v>
      </c>
      <c r="C236" s="2">
        <v>0.03</v>
      </c>
      <c r="D236" s="2"/>
      <c r="E236" s="2" t="s">
        <v>109</v>
      </c>
      <c r="F236" s="2" t="s">
        <v>84</v>
      </c>
      <c r="H236" s="2">
        <v>1.4</v>
      </c>
      <c r="J236" s="2">
        <v>1.4</v>
      </c>
      <c r="K236" s="2">
        <v>30.6111111111111</v>
      </c>
      <c r="L236" s="2"/>
      <c r="M236" s="2">
        <v>0.58531409738072204</v>
      </c>
      <c r="N236" s="2">
        <v>148.166666666666</v>
      </c>
      <c r="O236" s="2">
        <v>16.173538058610902</v>
      </c>
      <c r="P236" s="2">
        <v>14.5</v>
      </c>
      <c r="Q236" s="2">
        <v>4.9693505052918496</v>
      </c>
      <c r="R236" s="2">
        <v>1.7222222222222201</v>
      </c>
      <c r="S236" s="2">
        <v>0.19245008972987501</v>
      </c>
      <c r="T236" s="2">
        <v>8.4444444444444393</v>
      </c>
      <c r="U236" s="2">
        <v>7.2444103612013402</v>
      </c>
      <c r="V236" s="2">
        <v>0.61111111111111105</v>
      </c>
      <c r="W236" s="2">
        <v>0.19245008972987501</v>
      </c>
      <c r="X236" s="2">
        <v>1.8333333333333299</v>
      </c>
      <c r="Y236" s="2">
        <v>0.28867513459481298</v>
      </c>
      <c r="Z236" s="7">
        <v>103.202089581116</v>
      </c>
      <c r="AA236" s="2">
        <v>11.265306570765</v>
      </c>
      <c r="AB236" s="7">
        <v>86.09375</v>
      </c>
      <c r="AC236" s="2">
        <v>1.6461958988832801</v>
      </c>
      <c r="AD236" s="2">
        <v>172.72727272727201</v>
      </c>
      <c r="AE236" s="2">
        <v>148.181121024573</v>
      </c>
      <c r="AF236" s="2">
        <v>86.423841059602594</v>
      </c>
      <c r="AG236" s="2">
        <v>29.6186453957792</v>
      </c>
      <c r="AH236" s="2">
        <v>73.809523809523796</v>
      </c>
      <c r="AI236" s="2">
        <v>8.2478609884232394</v>
      </c>
      <c r="AJ236" s="2">
        <v>100</v>
      </c>
      <c r="AK236" s="2">
        <v>31.4918328648886</v>
      </c>
      <c r="AL236" s="2">
        <v>81.481481481481495</v>
      </c>
      <c r="AM236" s="2">
        <v>12.8300059819917</v>
      </c>
      <c r="AN236"/>
      <c r="AO236"/>
    </row>
    <row r="237" spans="1:41" ht="15.75" hidden="1" customHeight="1" x14ac:dyDescent="0.45">
      <c r="A237" s="2" t="s">
        <v>125</v>
      </c>
      <c r="C237" s="2">
        <v>0.1</v>
      </c>
      <c r="D237" s="2"/>
      <c r="E237" s="2" t="s">
        <v>109</v>
      </c>
      <c r="F237" s="2" t="s">
        <v>84</v>
      </c>
      <c r="H237" s="2">
        <v>1.4</v>
      </c>
      <c r="J237" s="2">
        <v>1.4</v>
      </c>
      <c r="K237" s="2">
        <v>28.4444444444444</v>
      </c>
      <c r="L237" s="2"/>
      <c r="M237" s="2">
        <v>4.1410322563520303</v>
      </c>
      <c r="N237" s="2">
        <v>125.333333333333</v>
      </c>
      <c r="O237" s="2">
        <v>9.6795890638211102</v>
      </c>
      <c r="P237" s="2">
        <v>15.1111111111111</v>
      </c>
      <c r="Q237" s="2">
        <v>3.68681333845268</v>
      </c>
      <c r="R237" s="2">
        <v>2.5</v>
      </c>
      <c r="S237" s="2">
        <v>0.72648315725678003</v>
      </c>
      <c r="T237" s="2">
        <v>4.6111111111111098</v>
      </c>
      <c r="U237" s="2">
        <v>2.3114048958571898</v>
      </c>
      <c r="V237" s="2">
        <v>0.5</v>
      </c>
      <c r="W237" s="2">
        <v>0.33333333333333298</v>
      </c>
      <c r="X237" s="2">
        <v>2.2777777777777701</v>
      </c>
      <c r="Y237" s="2">
        <v>0.48112522432468702</v>
      </c>
      <c r="Z237" s="7">
        <v>87.298055528683307</v>
      </c>
      <c r="AA237" s="2">
        <v>6.7420955073533797</v>
      </c>
      <c r="AB237" s="7">
        <v>80</v>
      </c>
      <c r="AC237" s="2">
        <v>11.6466532209901</v>
      </c>
      <c r="AD237" s="2">
        <v>94.318181818181799</v>
      </c>
      <c r="AE237" s="2">
        <v>47.2787365061698</v>
      </c>
      <c r="AF237" s="2">
        <v>90.066225165562898</v>
      </c>
      <c r="AG237" s="2">
        <v>21.974384136472899</v>
      </c>
      <c r="AH237" s="2">
        <v>107.142857142857</v>
      </c>
      <c r="AI237" s="2">
        <v>31.134992453862001</v>
      </c>
      <c r="AJ237" s="2">
        <v>81.818181818181799</v>
      </c>
      <c r="AK237" s="2">
        <v>54.545454545454497</v>
      </c>
      <c r="AL237" s="2">
        <v>101.234567901234</v>
      </c>
      <c r="AM237" s="2">
        <v>21.3833433033194</v>
      </c>
      <c r="AN237"/>
      <c r="AO237"/>
    </row>
    <row r="238" spans="1:41" ht="15.75" hidden="1" customHeight="1" x14ac:dyDescent="0.45">
      <c r="A238" s="2" t="s">
        <v>125</v>
      </c>
      <c r="C238" s="2">
        <v>0.3</v>
      </c>
      <c r="D238" s="2"/>
      <c r="E238" s="2" t="s">
        <v>109</v>
      </c>
      <c r="F238" s="2" t="s">
        <v>84</v>
      </c>
      <c r="H238" s="2">
        <v>1.4</v>
      </c>
      <c r="J238" s="2">
        <v>1.4</v>
      </c>
      <c r="K238" s="2">
        <v>30.6111111111111</v>
      </c>
      <c r="L238" s="2"/>
      <c r="M238" s="2">
        <v>1.6694421334796099</v>
      </c>
      <c r="N238" s="2">
        <v>130.611111111111</v>
      </c>
      <c r="O238" s="2">
        <v>22.084014664541801</v>
      </c>
      <c r="P238" s="2">
        <v>13.2222222222222</v>
      </c>
      <c r="Q238" s="2">
        <v>0.78763593770877405</v>
      </c>
      <c r="R238" s="2">
        <v>2.5</v>
      </c>
      <c r="S238" s="2">
        <v>0.66666666666666596</v>
      </c>
      <c r="T238" s="2">
        <v>6.7777777777777697</v>
      </c>
      <c r="U238" s="2">
        <v>0.67357531405455695</v>
      </c>
      <c r="V238" s="2">
        <v>0.83333333333333304</v>
      </c>
      <c r="W238" s="2">
        <v>0.28867513459481198</v>
      </c>
      <c r="X238" s="2">
        <v>3.1111111111111098</v>
      </c>
      <c r="Y238" s="2">
        <v>0.41943524640393798</v>
      </c>
      <c r="Z238" s="7">
        <v>90.974170455644696</v>
      </c>
      <c r="AA238" s="2">
        <v>15.382113338947599</v>
      </c>
      <c r="AB238" s="7">
        <v>86.09375</v>
      </c>
      <c r="AC238" s="2">
        <v>4.6953060004114002</v>
      </c>
      <c r="AD238" s="2">
        <v>138.636363636363</v>
      </c>
      <c r="AE238" s="2">
        <v>13.777676878388601</v>
      </c>
      <c r="AF238" s="2">
        <v>78.807947019867498</v>
      </c>
      <c r="AG238" s="2">
        <v>4.6945188340257999</v>
      </c>
      <c r="AH238" s="2">
        <v>107.142857142857</v>
      </c>
      <c r="AI238" s="2">
        <v>28.571428571428498</v>
      </c>
      <c r="AJ238" s="2">
        <v>136.363636363636</v>
      </c>
      <c r="AK238" s="2">
        <v>47.237749297332897</v>
      </c>
      <c r="AL238" s="2">
        <v>138.271604938271</v>
      </c>
      <c r="AM238" s="2">
        <v>18.641566506841698</v>
      </c>
      <c r="AN238"/>
      <c r="AO238"/>
    </row>
    <row r="239" spans="1:41" ht="15.75" hidden="1" customHeight="1" x14ac:dyDescent="0.45">
      <c r="A239" s="2" t="s">
        <v>125</v>
      </c>
      <c r="C239" s="2">
        <v>1</v>
      </c>
      <c r="D239" s="2"/>
      <c r="E239" s="2" t="s">
        <v>109</v>
      </c>
      <c r="F239" s="2" t="s">
        <v>84</v>
      </c>
      <c r="H239" s="2">
        <v>1.4</v>
      </c>
      <c r="J239" s="2">
        <v>1.4</v>
      </c>
      <c r="K239" s="2">
        <v>25.1666666666666</v>
      </c>
      <c r="L239" s="2"/>
      <c r="M239" s="2">
        <v>5.8476015976162801</v>
      </c>
      <c r="N239" s="2">
        <v>88.5555555555555</v>
      </c>
      <c r="O239" s="2">
        <v>26.932185069031998</v>
      </c>
      <c r="P239" s="2">
        <v>13.8888888888888</v>
      </c>
      <c r="Q239" s="2">
        <v>0.78763593770873797</v>
      </c>
      <c r="R239" s="2">
        <v>1.49999999999999</v>
      </c>
      <c r="S239" s="2">
        <v>0.57735026918962495</v>
      </c>
      <c r="T239" s="2">
        <v>11.1666666666666</v>
      </c>
      <c r="U239" s="2">
        <v>2.3511226632776498</v>
      </c>
      <c r="V239" s="2">
        <v>1.38888888888888</v>
      </c>
      <c r="W239" s="2">
        <v>0.48112522432468802</v>
      </c>
      <c r="X239" s="2">
        <v>3.6111111111111098</v>
      </c>
      <c r="Y239" s="2">
        <v>0.53575837561072004</v>
      </c>
      <c r="Z239" s="7">
        <v>61.681338879752303</v>
      </c>
      <c r="AA239" s="2">
        <v>18.7589951143494</v>
      </c>
      <c r="AB239" s="7">
        <v>70.78125</v>
      </c>
      <c r="AC239" s="2">
        <v>16.446379493295801</v>
      </c>
      <c r="AD239" s="2">
        <v>228.40909090909</v>
      </c>
      <c r="AE239" s="2">
        <v>48.091145385224699</v>
      </c>
      <c r="AF239" s="2">
        <v>82.781456953642305</v>
      </c>
      <c r="AG239" s="2">
        <v>4.6945188340255903</v>
      </c>
      <c r="AH239" s="2">
        <v>64.285714285714207</v>
      </c>
      <c r="AI239" s="2">
        <v>24.743582965269599</v>
      </c>
      <c r="AJ239" s="2">
        <v>227.272727272727</v>
      </c>
      <c r="AK239" s="2">
        <v>78.729582162221604</v>
      </c>
      <c r="AL239" s="2">
        <v>160.493827160493</v>
      </c>
      <c r="AM239" s="2">
        <v>23.811483360476402</v>
      </c>
      <c r="AN239"/>
      <c r="AO239"/>
    </row>
    <row r="240" spans="1:41" ht="15.75" hidden="1" customHeight="1" x14ac:dyDescent="0.45">
      <c r="A240" s="2" t="s">
        <v>125</v>
      </c>
      <c r="C240" s="2">
        <v>3</v>
      </c>
      <c r="D240" s="2"/>
      <c r="E240" s="2" t="s">
        <v>109</v>
      </c>
      <c r="F240" s="2" t="s">
        <v>84</v>
      </c>
      <c r="H240" s="2">
        <v>1.4</v>
      </c>
      <c r="J240" s="2">
        <v>1.4</v>
      </c>
      <c r="K240" s="2">
        <v>8.1111111111111107</v>
      </c>
      <c r="L240" s="2"/>
      <c r="M240" s="2">
        <v>7.1108940939107503</v>
      </c>
      <c r="N240" s="2">
        <v>30.3888888888888</v>
      </c>
      <c r="O240" s="2">
        <v>6.4254989718337896</v>
      </c>
      <c r="P240" s="2">
        <v>20.7777777777777</v>
      </c>
      <c r="Q240" s="2">
        <v>9.4315271140840995</v>
      </c>
      <c r="R240" s="2">
        <v>2.55555555555555</v>
      </c>
      <c r="S240" s="2">
        <v>1.9317042945237399</v>
      </c>
      <c r="T240" s="2">
        <v>15.7777777777777</v>
      </c>
      <c r="U240" s="2">
        <v>3.9942087706708</v>
      </c>
      <c r="V240" s="2">
        <v>0.77777777777777701</v>
      </c>
      <c r="W240" s="2">
        <v>0.69388866648870995</v>
      </c>
      <c r="X240" s="2">
        <v>6.7777777777777697</v>
      </c>
      <c r="Y240" s="2">
        <v>2.9876288132775</v>
      </c>
      <c r="Z240" s="7">
        <v>21.166682789977699</v>
      </c>
      <c r="AA240" s="2">
        <v>4.4755337716168402</v>
      </c>
      <c r="AB240" s="7">
        <v>22.8125</v>
      </c>
      <c r="AC240" s="2">
        <v>19.999389639123901</v>
      </c>
      <c r="AD240" s="2">
        <v>322.72727272727201</v>
      </c>
      <c r="AE240" s="2">
        <v>81.699724854630105</v>
      </c>
      <c r="AF240" s="2">
        <v>123.841059602649</v>
      </c>
      <c r="AG240" s="2">
        <v>56.214400017719797</v>
      </c>
      <c r="AH240" s="2">
        <v>109.52380952380901</v>
      </c>
      <c r="AI240" s="2">
        <v>82.787326908160495</v>
      </c>
      <c r="AJ240" s="2">
        <v>127.272727272727</v>
      </c>
      <c r="AK240" s="2">
        <v>113.54541815269801</v>
      </c>
      <c r="AL240" s="2">
        <v>301.23456790123402</v>
      </c>
      <c r="AM240" s="2">
        <v>132.78350281233301</v>
      </c>
      <c r="AN240"/>
      <c r="AO240"/>
    </row>
    <row r="241" spans="1:41" ht="15.75" hidden="1" customHeight="1" x14ac:dyDescent="0.45">
      <c r="A241" s="2" t="s">
        <v>125</v>
      </c>
      <c r="C241" s="2">
        <v>10</v>
      </c>
      <c r="D241" s="2"/>
      <c r="E241" s="2" t="s">
        <v>109</v>
      </c>
      <c r="F241" s="2" t="s">
        <v>84</v>
      </c>
      <c r="H241" s="2">
        <v>1.4</v>
      </c>
      <c r="J241" s="2">
        <v>1.4</v>
      </c>
      <c r="K241" s="2">
        <v>0</v>
      </c>
      <c r="L241" s="2"/>
      <c r="M241" s="2">
        <v>0</v>
      </c>
      <c r="N241" s="2">
        <v>7.4444444444444402</v>
      </c>
      <c r="O241" s="2">
        <v>3.11953225363699</v>
      </c>
      <c r="P241" s="2">
        <v>0</v>
      </c>
      <c r="Q241" s="2">
        <v>0</v>
      </c>
      <c r="R241" s="2">
        <v>0</v>
      </c>
      <c r="S241" s="2">
        <v>0</v>
      </c>
      <c r="T241" s="2">
        <v>69.2222222222222</v>
      </c>
      <c r="U241" s="2">
        <v>8.6559763126943192</v>
      </c>
      <c r="V241" s="2">
        <v>0</v>
      </c>
      <c r="W241" s="2">
        <v>0</v>
      </c>
      <c r="X241" s="2">
        <v>0</v>
      </c>
      <c r="Y241" s="2">
        <v>0</v>
      </c>
      <c r="Z241" s="7">
        <v>5.1852568443455498</v>
      </c>
      <c r="AA241" s="2">
        <v>2.1728385630440399</v>
      </c>
      <c r="AB241" s="7">
        <v>0</v>
      </c>
      <c r="AC241" s="2">
        <v>0</v>
      </c>
      <c r="AD241" s="2">
        <v>1415.9090909090901</v>
      </c>
      <c r="AE241" s="2">
        <v>177.05406094147401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/>
      <c r="AO241"/>
    </row>
    <row r="242" spans="1:41" ht="15.75" hidden="1" customHeight="1" x14ac:dyDescent="0.45">
      <c r="A242" s="2" t="s">
        <v>125</v>
      </c>
      <c r="C242" s="2">
        <v>3.0000000000000001E-3</v>
      </c>
      <c r="D242" s="2"/>
      <c r="E242" s="2" t="s">
        <v>109</v>
      </c>
      <c r="F242" s="2" t="s">
        <v>84</v>
      </c>
      <c r="H242" s="2">
        <v>1.8</v>
      </c>
      <c r="J242" s="2">
        <v>1.8</v>
      </c>
      <c r="K242" s="2">
        <v>31.2777777777777</v>
      </c>
      <c r="L242" s="2"/>
      <c r="M242" s="2">
        <v>2.5018511664882999</v>
      </c>
      <c r="N242" s="2">
        <v>220.888888888888</v>
      </c>
      <c r="O242" s="2">
        <v>16.688596683341999</v>
      </c>
      <c r="P242" s="2">
        <v>13.6111111111111</v>
      </c>
      <c r="Q242" s="2">
        <v>0.58531409738072204</v>
      </c>
      <c r="R242" s="2">
        <v>2.55555555555555</v>
      </c>
      <c r="S242" s="2">
        <v>0.25458753860865702</v>
      </c>
      <c r="T242" s="2">
        <v>9.7777777777777697</v>
      </c>
      <c r="U242" s="2">
        <v>2.6994512473902899</v>
      </c>
      <c r="V242" s="2">
        <v>0.94444444444444398</v>
      </c>
      <c r="W242" s="2">
        <v>0.25458753860865702</v>
      </c>
      <c r="X242" s="2">
        <v>4.05555555555555</v>
      </c>
      <c r="Y242" s="2">
        <v>0.67357531405455895</v>
      </c>
      <c r="Z242" s="7">
        <v>93.207525054210805</v>
      </c>
      <c r="AA242" s="2">
        <v>7.0420146586217403</v>
      </c>
      <c r="AB242" s="7">
        <v>89.294210943695404</v>
      </c>
      <c r="AC242" s="2">
        <v>7.1424775569848498</v>
      </c>
      <c r="AD242" s="2">
        <v>122.648083623693</v>
      </c>
      <c r="AE242" s="2">
        <v>33.860712510818999</v>
      </c>
      <c r="AF242" s="2">
        <v>98</v>
      </c>
      <c r="AG242" s="2">
        <v>4.2142615011411904</v>
      </c>
      <c r="AH242" s="2">
        <v>140.458015267175</v>
      </c>
      <c r="AI242" s="2">
        <v>13.9925975418499</v>
      </c>
      <c r="AJ242" s="2">
        <v>144.68085106382901</v>
      </c>
      <c r="AK242" s="2">
        <v>39.00064421239</v>
      </c>
      <c r="AL242" s="2">
        <v>106.181818181818</v>
      </c>
      <c r="AM242" s="2">
        <v>17.635426404337501</v>
      </c>
      <c r="AN242"/>
      <c r="AO242"/>
    </row>
    <row r="243" spans="1:41" ht="15.75" hidden="1" customHeight="1" x14ac:dyDescent="0.45">
      <c r="A243" s="2" t="s">
        <v>125</v>
      </c>
      <c r="C243" s="2">
        <v>0.01</v>
      </c>
      <c r="D243" s="2"/>
      <c r="E243" s="2" t="s">
        <v>109</v>
      </c>
      <c r="F243" s="2" t="s">
        <v>84</v>
      </c>
      <c r="H243" s="2">
        <v>1.8</v>
      </c>
      <c r="J243" s="2">
        <v>1.8</v>
      </c>
      <c r="K243" s="2">
        <v>28.8888888888888</v>
      </c>
      <c r="L243" s="2"/>
      <c r="M243" s="2">
        <v>3.88134188326862</v>
      </c>
      <c r="N243" s="2">
        <v>191.611111111111</v>
      </c>
      <c r="O243" s="2">
        <v>11.566634646128801</v>
      </c>
      <c r="P243" s="2">
        <v>12.3888888888888</v>
      </c>
      <c r="Q243" s="2">
        <v>0.838870492807822</v>
      </c>
      <c r="R243" s="2">
        <v>1.2777777777777699</v>
      </c>
      <c r="S243" s="2">
        <v>0.25458753860865702</v>
      </c>
      <c r="T243" s="2">
        <v>7.05555555555555</v>
      </c>
      <c r="U243" s="2">
        <v>0.69388866648872005</v>
      </c>
      <c r="V243" s="2">
        <v>0.66666666666666596</v>
      </c>
      <c r="W243" s="2">
        <v>0.33333333333333298</v>
      </c>
      <c r="X243" s="2">
        <v>3.1666666666666599</v>
      </c>
      <c r="Y243" s="2">
        <v>0.76376261582597305</v>
      </c>
      <c r="Z243" s="7">
        <v>80.853308327961003</v>
      </c>
      <c r="AA243" s="2">
        <v>4.8807225840782902</v>
      </c>
      <c r="AB243" s="7">
        <v>82.474226804123703</v>
      </c>
      <c r="AC243" s="2">
        <v>11.0807539887129</v>
      </c>
      <c r="AD243" s="2">
        <v>88.501742160278695</v>
      </c>
      <c r="AE243" s="2">
        <v>8.7038299629247202</v>
      </c>
      <c r="AF243" s="2">
        <v>89.2</v>
      </c>
      <c r="AG243" s="2">
        <v>6.0398675482163098</v>
      </c>
      <c r="AH243" s="2">
        <v>70.229007633587798</v>
      </c>
      <c r="AI243" s="2">
        <v>13.9925975418499</v>
      </c>
      <c r="AJ243" s="2">
        <v>102.127659574468</v>
      </c>
      <c r="AK243" s="2">
        <v>51.063829787233999</v>
      </c>
      <c r="AL243" s="2">
        <v>82.909090909090907</v>
      </c>
      <c r="AM243" s="2">
        <v>19.996693941625399</v>
      </c>
      <c r="AN243"/>
      <c r="AO243"/>
    </row>
    <row r="244" spans="1:41" ht="15.75" hidden="1" customHeight="1" x14ac:dyDescent="0.45">
      <c r="A244" s="2" t="s">
        <v>125</v>
      </c>
      <c r="C244" s="2">
        <v>0.03</v>
      </c>
      <c r="D244" s="2"/>
      <c r="E244" s="2" t="s">
        <v>109</v>
      </c>
      <c r="F244" s="2" t="s">
        <v>84</v>
      </c>
      <c r="H244" s="2">
        <v>1.8</v>
      </c>
      <c r="J244" s="2">
        <v>1.8</v>
      </c>
      <c r="K244" s="2">
        <v>31.6666666666666</v>
      </c>
      <c r="L244" s="2"/>
      <c r="M244" s="2">
        <v>2.1666666666666901</v>
      </c>
      <c r="N244" s="2">
        <v>221</v>
      </c>
      <c r="O244" s="2">
        <v>17.654870275492399</v>
      </c>
      <c r="P244" s="2">
        <v>11.9444444444444</v>
      </c>
      <c r="Q244" s="2">
        <v>1.0844011831079301</v>
      </c>
      <c r="R244" s="2">
        <v>1.94444444444444</v>
      </c>
      <c r="S244" s="2">
        <v>0.19245008972987299</v>
      </c>
      <c r="T244" s="2">
        <v>8</v>
      </c>
      <c r="U244" s="2">
        <v>0.44095855184409599</v>
      </c>
      <c r="V244" s="2">
        <v>0.55555555555555503</v>
      </c>
      <c r="W244" s="2">
        <v>9.6225044864937798E-2</v>
      </c>
      <c r="X244" s="2">
        <v>4</v>
      </c>
      <c r="Y244" s="2">
        <v>0</v>
      </c>
      <c r="Z244" s="7">
        <v>93.254410127175703</v>
      </c>
      <c r="AA244" s="2">
        <v>7.4497489294699397</v>
      </c>
      <c r="AB244" s="7">
        <v>90.4044409199048</v>
      </c>
      <c r="AC244" s="2">
        <v>6.1855670103093603</v>
      </c>
      <c r="AD244" s="2">
        <v>100.348432055749</v>
      </c>
      <c r="AE244" s="2">
        <v>5.5311874098910998</v>
      </c>
      <c r="AF244" s="2">
        <v>86</v>
      </c>
      <c r="AG244" s="2">
        <v>7.8076885183771498</v>
      </c>
      <c r="AH244" s="2">
        <v>106.870229007633</v>
      </c>
      <c r="AI244" s="2">
        <v>10.577409511870901</v>
      </c>
      <c r="AJ244" s="2">
        <v>85.106382978723303</v>
      </c>
      <c r="AK244" s="2">
        <v>14.740857936756401</v>
      </c>
      <c r="AL244" s="2">
        <v>104.72727272727199</v>
      </c>
      <c r="AM244" s="2">
        <v>0</v>
      </c>
      <c r="AN244"/>
      <c r="AO244"/>
    </row>
    <row r="245" spans="1:41" ht="15.75" hidden="1" customHeight="1" x14ac:dyDescent="0.45">
      <c r="A245" s="2" t="s">
        <v>125</v>
      </c>
      <c r="C245" s="2">
        <v>0.1</v>
      </c>
      <c r="D245" s="2"/>
      <c r="E245" s="2" t="s">
        <v>109</v>
      </c>
      <c r="F245" s="2" t="s">
        <v>84</v>
      </c>
      <c r="H245" s="2">
        <v>1.8</v>
      </c>
      <c r="J245" s="2">
        <v>1.8</v>
      </c>
      <c r="K245" s="2">
        <v>29</v>
      </c>
      <c r="L245" s="2"/>
      <c r="M245" s="2">
        <v>4.7696960070847503</v>
      </c>
      <c r="N245" s="2">
        <v>251.388888888888</v>
      </c>
      <c r="O245" s="2">
        <v>11.832550834847099</v>
      </c>
      <c r="P245" s="2">
        <v>11.6666666666666</v>
      </c>
      <c r="Q245" s="2">
        <v>0.16666666666664701</v>
      </c>
      <c r="R245" s="2">
        <v>1.55555555555555</v>
      </c>
      <c r="S245" s="2">
        <v>9.6225044864941295E-2</v>
      </c>
      <c r="T245" s="2">
        <v>8.2222222222222197</v>
      </c>
      <c r="U245" s="2">
        <v>1.0183501544346101</v>
      </c>
      <c r="V245" s="2">
        <v>0.61111111111111105</v>
      </c>
      <c r="W245" s="2">
        <v>9.6225044864937201E-2</v>
      </c>
      <c r="X245" s="2">
        <v>3.88888888888888</v>
      </c>
      <c r="Y245" s="2">
        <v>0.50917507721731903</v>
      </c>
      <c r="Z245" s="7">
        <v>106.077477583074</v>
      </c>
      <c r="AA245" s="2">
        <v>4.9929300832737002</v>
      </c>
      <c r="AB245" s="7">
        <v>82.791435368754904</v>
      </c>
      <c r="AC245" s="2">
        <v>13.616895817212599</v>
      </c>
      <c r="AD245" s="2">
        <v>103.135888501742</v>
      </c>
      <c r="AE245" s="2">
        <v>12.773730160155401</v>
      </c>
      <c r="AF245" s="2">
        <v>84</v>
      </c>
      <c r="AG245" s="2">
        <v>1.1999999999998601</v>
      </c>
      <c r="AH245" s="2">
        <v>85.496183206106807</v>
      </c>
      <c r="AI245" s="2">
        <v>5.2887047559356999</v>
      </c>
      <c r="AJ245" s="2">
        <v>93.617021276595693</v>
      </c>
      <c r="AK245" s="2">
        <v>14.740857936756299</v>
      </c>
      <c r="AL245" s="2">
        <v>101.818181818181</v>
      </c>
      <c r="AM245" s="2">
        <v>13.331129294417</v>
      </c>
      <c r="AN245"/>
      <c r="AO245"/>
    </row>
    <row r="246" spans="1:41" ht="15.75" hidden="1" customHeight="1" x14ac:dyDescent="0.45">
      <c r="A246" s="2" t="s">
        <v>125</v>
      </c>
      <c r="C246" s="2">
        <v>0.3</v>
      </c>
      <c r="D246" s="2"/>
      <c r="E246" s="2" t="s">
        <v>109</v>
      </c>
      <c r="F246" s="2" t="s">
        <v>84</v>
      </c>
      <c r="H246" s="2">
        <v>1.8</v>
      </c>
      <c r="J246" s="2">
        <v>1.8</v>
      </c>
      <c r="K246" s="2">
        <v>32.0555555555555</v>
      </c>
      <c r="L246" s="2"/>
      <c r="M246" s="2">
        <v>0.78763593770866602</v>
      </c>
      <c r="N246" s="2">
        <v>257.666666666666</v>
      </c>
      <c r="O246" s="2">
        <v>25.1064400768675</v>
      </c>
      <c r="P246" s="2">
        <v>11.5555555555555</v>
      </c>
      <c r="Q246" s="2">
        <v>0.69388866648872005</v>
      </c>
      <c r="R246" s="2">
        <v>1.6111111111111101</v>
      </c>
      <c r="S246" s="2">
        <v>0.53575837561072004</v>
      </c>
      <c r="T246" s="2">
        <v>9.8333333333333304</v>
      </c>
      <c r="U246" s="2">
        <v>1.92209376577847</v>
      </c>
      <c r="V246" s="2">
        <v>0.66666666666666596</v>
      </c>
      <c r="W246" s="2">
        <v>0.28867513459481298</v>
      </c>
      <c r="X246" s="2">
        <v>3.6666666666666599</v>
      </c>
      <c r="Y246" s="2">
        <v>0.72648315725677903</v>
      </c>
      <c r="Z246" s="7">
        <v>108.72648420559101</v>
      </c>
      <c r="AA246" s="2">
        <v>10.594055474034199</v>
      </c>
      <c r="AB246" s="7">
        <v>91.514670896114197</v>
      </c>
      <c r="AC246" s="2">
        <v>2.2486037872729501</v>
      </c>
      <c r="AD246" s="2">
        <v>123.344947735191</v>
      </c>
      <c r="AE246" s="2">
        <v>24.109886957499999</v>
      </c>
      <c r="AF246" s="2">
        <v>83.2</v>
      </c>
      <c r="AG246" s="2">
        <v>4.9959983987187897</v>
      </c>
      <c r="AH246" s="2">
        <v>88.549618320610705</v>
      </c>
      <c r="AI246" s="2">
        <v>29.446261865627299</v>
      </c>
      <c r="AJ246" s="2">
        <v>102.127659574468</v>
      </c>
      <c r="AK246" s="2">
        <v>44.222573810269203</v>
      </c>
      <c r="AL246" s="2">
        <v>96</v>
      </c>
      <c r="AM246" s="2">
        <v>19.020649935450201</v>
      </c>
      <c r="AN246"/>
      <c r="AO246"/>
    </row>
    <row r="247" spans="1:41" ht="15.75" hidden="1" customHeight="1" x14ac:dyDescent="0.45">
      <c r="A247" s="2" t="s">
        <v>125</v>
      </c>
      <c r="C247" s="2">
        <v>1</v>
      </c>
      <c r="D247" s="2"/>
      <c r="E247" s="2" t="s">
        <v>109</v>
      </c>
      <c r="F247" s="2" t="s">
        <v>84</v>
      </c>
      <c r="H247" s="2">
        <v>1.8</v>
      </c>
      <c r="J247" s="2">
        <v>1.8</v>
      </c>
      <c r="K247" s="2">
        <v>32.3333333333333</v>
      </c>
      <c r="L247" s="2"/>
      <c r="M247" s="2">
        <v>2.92973263854114</v>
      </c>
      <c r="N247" s="2">
        <v>208.222222222222</v>
      </c>
      <c r="O247" s="2">
        <v>7.3811571912193399</v>
      </c>
      <c r="P247" s="2">
        <v>11</v>
      </c>
      <c r="Q247" s="2">
        <v>0.72648315725679402</v>
      </c>
      <c r="R247" s="2">
        <v>2.55555555555555</v>
      </c>
      <c r="S247" s="2">
        <v>0.41943524640393198</v>
      </c>
      <c r="T247" s="2">
        <v>11.6111111111111</v>
      </c>
      <c r="U247" s="2">
        <v>2.4739382309124802</v>
      </c>
      <c r="V247" s="2">
        <v>1</v>
      </c>
      <c r="W247" s="2">
        <v>0.16666666666666699</v>
      </c>
      <c r="X247" s="2">
        <v>4.6666666666666599</v>
      </c>
      <c r="Y247" s="2">
        <v>0.66666666666666996</v>
      </c>
      <c r="Z247" s="7">
        <v>87.862626736212803</v>
      </c>
      <c r="AA247" s="2">
        <v>3.11459484128109</v>
      </c>
      <c r="AB247" s="7">
        <v>92.307692307692307</v>
      </c>
      <c r="AC247" s="2">
        <v>8.3640265652245205</v>
      </c>
      <c r="AD247" s="2">
        <v>145.64459930313501</v>
      </c>
      <c r="AE247" s="2">
        <v>31.031977809355201</v>
      </c>
      <c r="AF247" s="2">
        <v>79.199999999999903</v>
      </c>
      <c r="AG247" s="2">
        <v>5.2306787322489097</v>
      </c>
      <c r="AH247" s="2">
        <v>140.458015267175</v>
      </c>
      <c r="AI247" s="2">
        <v>23.052929573345899</v>
      </c>
      <c r="AJ247" s="2">
        <v>153.191489361702</v>
      </c>
      <c r="AK247" s="2">
        <v>25.531914893617</v>
      </c>
      <c r="AL247" s="2">
        <v>122.181818181818</v>
      </c>
      <c r="AM247" s="2">
        <v>17.454545454545499</v>
      </c>
      <c r="AN247"/>
      <c r="AO247"/>
    </row>
    <row r="248" spans="1:41" ht="15.75" hidden="1" customHeight="1" x14ac:dyDescent="0.45">
      <c r="A248" s="2" t="s">
        <v>125</v>
      </c>
      <c r="C248" s="2">
        <v>3</v>
      </c>
      <c r="D248" s="2"/>
      <c r="E248" s="2" t="s">
        <v>109</v>
      </c>
      <c r="F248" s="2" t="s">
        <v>84</v>
      </c>
      <c r="H248" s="2">
        <v>1.8</v>
      </c>
      <c r="J248" s="2">
        <v>1.8</v>
      </c>
      <c r="K248" s="2">
        <v>6.7222222222222197</v>
      </c>
      <c r="L248" s="2"/>
      <c r="M248" s="2">
        <v>0.91792842454768497</v>
      </c>
      <c r="N248" s="2">
        <v>48.0555555555555</v>
      </c>
      <c r="O248" s="2">
        <v>5.1890197461490901</v>
      </c>
      <c r="P248" s="2">
        <v>24.6666666666666</v>
      </c>
      <c r="Q248" s="2">
        <v>4.8074017006186702</v>
      </c>
      <c r="R248" s="2">
        <v>3.1666666666666599</v>
      </c>
      <c r="S248" s="2">
        <v>0.83333333333333404</v>
      </c>
      <c r="T248" s="2">
        <v>26.5555555555555</v>
      </c>
      <c r="U248" s="2">
        <v>9.6181733847575899</v>
      </c>
      <c r="V248" s="2">
        <v>2.6111111111111098</v>
      </c>
      <c r="W248" s="2">
        <v>1.0046189622236099</v>
      </c>
      <c r="X248" s="2">
        <v>8.8888888888888893</v>
      </c>
      <c r="Y248" s="2">
        <v>1.3877773329774199</v>
      </c>
      <c r="Z248" s="7">
        <v>20.277794057316999</v>
      </c>
      <c r="AA248" s="2">
        <v>2.1895881247303199</v>
      </c>
      <c r="AB248" s="7">
        <v>19.1911181601903</v>
      </c>
      <c r="AC248" s="2">
        <v>2.6205728218649198</v>
      </c>
      <c r="AD248" s="2">
        <v>333.101045296167</v>
      </c>
      <c r="AE248" s="2">
        <v>120.646077300095</v>
      </c>
      <c r="AF248" s="2">
        <v>177.6</v>
      </c>
      <c r="AG248" s="2">
        <v>34.613292244454399</v>
      </c>
      <c r="AH248" s="2">
        <v>174.04580152671701</v>
      </c>
      <c r="AI248" s="2">
        <v>45.801526717557302</v>
      </c>
      <c r="AJ248" s="2">
        <v>400</v>
      </c>
      <c r="AK248" s="2">
        <v>153.89907506404299</v>
      </c>
      <c r="AL248" s="2">
        <v>232.72727272727201</v>
      </c>
      <c r="AM248" s="2">
        <v>36.334533808863398</v>
      </c>
      <c r="AN248"/>
      <c r="AO248"/>
    </row>
    <row r="249" spans="1:41" ht="15.75" hidden="1" customHeight="1" x14ac:dyDescent="0.45">
      <c r="A249" s="2" t="s">
        <v>125</v>
      </c>
      <c r="C249" s="2">
        <v>10</v>
      </c>
      <c r="D249" s="2"/>
      <c r="E249" s="2" t="s">
        <v>109</v>
      </c>
      <c r="F249" s="2" t="s">
        <v>84</v>
      </c>
      <c r="H249" s="2">
        <v>1.8</v>
      </c>
      <c r="J249" s="2">
        <v>1.8</v>
      </c>
      <c r="K249" s="2">
        <v>0</v>
      </c>
      <c r="L249" s="2"/>
      <c r="M249" s="2">
        <v>0</v>
      </c>
      <c r="N249" s="2">
        <v>21.1666666666666</v>
      </c>
      <c r="O249" s="2">
        <v>12.107160415776001</v>
      </c>
      <c r="P249" s="2">
        <v>3.7222222222222201</v>
      </c>
      <c r="Q249" s="2">
        <v>3.2758939972901202</v>
      </c>
      <c r="R249" s="2">
        <v>0.44444444444444398</v>
      </c>
      <c r="S249" s="2">
        <v>0.76980035891950105</v>
      </c>
      <c r="T249" s="2">
        <v>45.4444444444444</v>
      </c>
      <c r="U249" s="2">
        <v>10.301474184327599</v>
      </c>
      <c r="V249" s="2">
        <v>0.61111111111111105</v>
      </c>
      <c r="W249" s="2">
        <v>0.53575837561071904</v>
      </c>
      <c r="X249" s="2">
        <v>2.7777777777777701</v>
      </c>
      <c r="Y249" s="2">
        <v>1.5752718754175301</v>
      </c>
      <c r="Z249" s="7">
        <v>8.9316063998124502</v>
      </c>
      <c r="AA249" s="2">
        <v>5.1088058954220896</v>
      </c>
      <c r="AB249" s="7">
        <v>0</v>
      </c>
      <c r="AC249" s="2">
        <v>0</v>
      </c>
      <c r="AD249" s="2">
        <v>570.03484320557504</v>
      </c>
      <c r="AE249" s="2">
        <v>129.21709778250701</v>
      </c>
      <c r="AF249" s="2">
        <v>26.799999999999901</v>
      </c>
      <c r="AG249" s="2">
        <v>23.586436780488899</v>
      </c>
      <c r="AH249" s="2">
        <v>24.4274809160305</v>
      </c>
      <c r="AI249" s="2">
        <v>42.309638047484</v>
      </c>
      <c r="AJ249" s="2">
        <v>93.617021276595693</v>
      </c>
      <c r="AK249" s="2">
        <v>82.073623497812306</v>
      </c>
      <c r="AL249" s="2">
        <v>72.727272727272705</v>
      </c>
      <c r="AM249" s="2">
        <v>41.243481829113598</v>
      </c>
      <c r="AN249"/>
      <c r="AO249"/>
    </row>
    <row r="250" spans="1:41" ht="15.75" hidden="1" customHeight="1" x14ac:dyDescent="0.45">
      <c r="A250" s="2" t="s">
        <v>125</v>
      </c>
      <c r="C250" s="2">
        <v>3.0000000000000001E-3</v>
      </c>
      <c r="D250" s="2"/>
      <c r="E250" s="2" t="s">
        <v>83</v>
      </c>
      <c r="F250" s="2" t="s">
        <v>110</v>
      </c>
      <c r="H250" s="2">
        <v>1.8</v>
      </c>
      <c r="J250" s="2">
        <v>1.8</v>
      </c>
      <c r="K250" s="2">
        <v>35.8333333333333</v>
      </c>
      <c r="L250" s="2"/>
      <c r="M250" s="2">
        <v>1.58989866902818</v>
      </c>
      <c r="N250" s="2">
        <v>254.833333333333</v>
      </c>
      <c r="O250" s="2">
        <v>48.788944558282097</v>
      </c>
      <c r="P250" s="2">
        <v>9</v>
      </c>
      <c r="Q250" s="2">
        <v>1.58989866902824</v>
      </c>
      <c r="R250" s="2">
        <v>4.55555555555555</v>
      </c>
      <c r="S250" s="2">
        <v>2.1430335024428699</v>
      </c>
      <c r="T250" s="2">
        <v>9.55555555555555</v>
      </c>
      <c r="U250" s="2">
        <v>2.2750661366048002</v>
      </c>
      <c r="V250" s="2">
        <v>0.66666666666666596</v>
      </c>
      <c r="W250" s="2">
        <v>0.44095855184409799</v>
      </c>
      <c r="X250" s="2">
        <v>1.7777777777777699</v>
      </c>
      <c r="Y250" s="2">
        <v>0.34694433324435597</v>
      </c>
      <c r="Z250" s="7">
        <v>111.44314868804599</v>
      </c>
      <c r="AA250" s="2">
        <v>21.336273130443999</v>
      </c>
      <c r="AB250" s="7">
        <v>99.613899613899605</v>
      </c>
      <c r="AC250" s="2">
        <v>4.4197955278003596</v>
      </c>
      <c r="AD250" s="2">
        <v>108.86075949367</v>
      </c>
      <c r="AE250" s="2">
        <v>25.9184749739787</v>
      </c>
      <c r="AF250" s="2">
        <v>85.941644562334105</v>
      </c>
      <c r="AG250" s="2">
        <v>15.182056255972601</v>
      </c>
      <c r="AH250" s="2">
        <v>167.34693877551001</v>
      </c>
      <c r="AI250" s="2">
        <v>78.723679681575106</v>
      </c>
      <c r="AJ250" s="2">
        <v>141.17647058823499</v>
      </c>
      <c r="AK250" s="2">
        <v>93.379458037573798</v>
      </c>
      <c r="AL250" s="2">
        <v>103.225806451612</v>
      </c>
      <c r="AM250" s="2">
        <v>20.145154833543199</v>
      </c>
      <c r="AN250"/>
      <c r="AO250"/>
    </row>
    <row r="251" spans="1:41" ht="15.75" hidden="1" customHeight="1" x14ac:dyDescent="0.45">
      <c r="A251" s="2" t="s">
        <v>125</v>
      </c>
      <c r="C251" s="2">
        <v>0.01</v>
      </c>
      <c r="D251" s="2"/>
      <c r="E251" s="2" t="s">
        <v>83</v>
      </c>
      <c r="F251" s="2" t="s">
        <v>110</v>
      </c>
      <c r="H251" s="2">
        <v>1.8</v>
      </c>
      <c r="J251" s="2">
        <v>1.8</v>
      </c>
      <c r="K251" s="2">
        <v>35.5555555555555</v>
      </c>
      <c r="L251" s="2"/>
      <c r="M251" s="2">
        <v>1.79763218748483</v>
      </c>
      <c r="N251" s="2">
        <v>247.166666666666</v>
      </c>
      <c r="O251" s="2">
        <v>10.940495621516501</v>
      </c>
      <c r="P251" s="2">
        <v>9.3333333333333304</v>
      </c>
      <c r="Q251" s="2">
        <v>0.92796072713833799</v>
      </c>
      <c r="R251" s="2">
        <v>13.8333333333333</v>
      </c>
      <c r="S251" s="2">
        <v>9.9051053054024099</v>
      </c>
      <c r="T251" s="2">
        <v>8.1111111111111107</v>
      </c>
      <c r="U251" s="2">
        <v>0.41943524640394497</v>
      </c>
      <c r="V251" s="2">
        <v>0.94444444444444398</v>
      </c>
      <c r="W251" s="2">
        <v>0.25458753860865702</v>
      </c>
      <c r="X251" s="2">
        <v>1.8333333333333299</v>
      </c>
      <c r="Y251" s="2">
        <v>0.76376261582597305</v>
      </c>
      <c r="Z251" s="7">
        <v>108.090379008746</v>
      </c>
      <c r="AA251" s="2">
        <v>4.7844733038702199</v>
      </c>
      <c r="AB251" s="7">
        <v>98.8416988416988</v>
      </c>
      <c r="AC251" s="2">
        <v>4.9972786679115098</v>
      </c>
      <c r="AD251" s="2">
        <v>92.4050632911392</v>
      </c>
      <c r="AE251" s="2">
        <v>4.7783762248550596</v>
      </c>
      <c r="AF251" s="2">
        <v>89.124668435013206</v>
      </c>
      <c r="AG251" s="2">
        <v>8.8611634421698096</v>
      </c>
      <c r="AH251" s="2">
        <v>508.16326530612201</v>
      </c>
      <c r="AI251" s="2">
        <v>363.86101121886401</v>
      </c>
      <c r="AJ251" s="2">
        <v>200</v>
      </c>
      <c r="AK251" s="2">
        <v>53.912655234774498</v>
      </c>
      <c r="AL251" s="2">
        <v>106.451612903225</v>
      </c>
      <c r="AM251" s="2">
        <v>44.347506725378999</v>
      </c>
      <c r="AN251"/>
      <c r="AO251"/>
    </row>
    <row r="252" spans="1:41" ht="15.75" hidden="1" customHeight="1" x14ac:dyDescent="0.45">
      <c r="A252" s="2" t="s">
        <v>125</v>
      </c>
      <c r="C252" s="2">
        <v>0.03</v>
      </c>
      <c r="D252" s="2"/>
      <c r="E252" s="2" t="s">
        <v>83</v>
      </c>
      <c r="F252" s="2" t="s">
        <v>110</v>
      </c>
      <c r="H252" s="2">
        <v>1.8</v>
      </c>
      <c r="J252" s="2">
        <v>1.8</v>
      </c>
      <c r="K252" s="2">
        <v>38.7222222222222</v>
      </c>
      <c r="L252" s="2"/>
      <c r="M252" s="2">
        <v>2.3648662948658599</v>
      </c>
      <c r="N252" s="2">
        <v>278.83333333333297</v>
      </c>
      <c r="O252" s="2">
        <v>12.1894763354841</v>
      </c>
      <c r="P252" s="2">
        <v>8.5</v>
      </c>
      <c r="Q252" s="2">
        <v>0.28867513459478</v>
      </c>
      <c r="R252" s="2">
        <v>2.2777777777777701</v>
      </c>
      <c r="S252" s="2">
        <v>9.6225044864938894E-2</v>
      </c>
      <c r="T252" s="2">
        <v>7.6111111111111098</v>
      </c>
      <c r="U252" s="2">
        <v>1.0046189622236099</v>
      </c>
      <c r="V252" s="2">
        <v>0.77777777777777701</v>
      </c>
      <c r="W252" s="2">
        <v>9.6225044864937201E-2</v>
      </c>
      <c r="X252" s="2">
        <v>1.5</v>
      </c>
      <c r="Y252" s="2">
        <v>0.72648315725677903</v>
      </c>
      <c r="Z252" s="7">
        <v>121.938775510204</v>
      </c>
      <c r="AA252" s="2">
        <v>5.3306747822817</v>
      </c>
      <c r="AB252" s="7">
        <v>107.644787644787</v>
      </c>
      <c r="AC252" s="2">
        <v>6.5741456845692001</v>
      </c>
      <c r="AD252" s="2">
        <v>86.708860759493604</v>
      </c>
      <c r="AE252" s="2">
        <v>11.445026151914499</v>
      </c>
      <c r="AF252" s="2">
        <v>81.167108753315603</v>
      </c>
      <c r="AG252" s="2">
        <v>2.7565795345920598</v>
      </c>
      <c r="AH252" s="2">
        <v>83.673469387755006</v>
      </c>
      <c r="AI252" s="2">
        <v>3.5347975664671401</v>
      </c>
      <c r="AJ252" s="2">
        <v>164.70588235294099</v>
      </c>
      <c r="AK252" s="2">
        <v>20.3770683243396</v>
      </c>
      <c r="AL252" s="2">
        <v>87.096774193548299</v>
      </c>
      <c r="AM252" s="2">
        <v>42.182893002006502</v>
      </c>
      <c r="AN252"/>
      <c r="AO252"/>
    </row>
    <row r="253" spans="1:41" ht="15.75" hidden="1" customHeight="1" x14ac:dyDescent="0.45">
      <c r="A253" s="2" t="s">
        <v>125</v>
      </c>
      <c r="C253" s="2">
        <v>0.1</v>
      </c>
      <c r="D253" s="2"/>
      <c r="E253" s="2" t="s">
        <v>83</v>
      </c>
      <c r="F253" s="2" t="s">
        <v>110</v>
      </c>
      <c r="H253" s="2">
        <v>1.8</v>
      </c>
      <c r="J253" s="2">
        <v>1.8</v>
      </c>
      <c r="K253" s="2">
        <v>38.1111111111111</v>
      </c>
      <c r="L253" s="2"/>
      <c r="M253" s="2">
        <v>1.83585684909526</v>
      </c>
      <c r="N253" s="2">
        <v>251.333333333333</v>
      </c>
      <c r="O253" s="2">
        <v>14.835205874316101</v>
      </c>
      <c r="P253" s="2">
        <v>8.9444444444444393</v>
      </c>
      <c r="Q253" s="2">
        <v>1.45614915800901</v>
      </c>
      <c r="R253" s="2">
        <v>2.38888888888888</v>
      </c>
      <c r="S253" s="2">
        <v>0.58531409738070495</v>
      </c>
      <c r="T253" s="2">
        <v>10.3333333333333</v>
      </c>
      <c r="U253" s="2">
        <v>1.7400510848184301</v>
      </c>
      <c r="V253" s="2">
        <v>0.66666666666666596</v>
      </c>
      <c r="W253" s="2">
        <v>0.33333333333333298</v>
      </c>
      <c r="X253" s="2">
        <v>1.7222222222222201</v>
      </c>
      <c r="Y253" s="2">
        <v>0.41943524640393098</v>
      </c>
      <c r="Z253" s="7">
        <v>109.912536443148</v>
      </c>
      <c r="AA253" s="2">
        <v>6.4876993619458103</v>
      </c>
      <c r="AB253" s="7">
        <v>105.945945945945</v>
      </c>
      <c r="AC253" s="2">
        <v>5.1035402754771697</v>
      </c>
      <c r="AD253" s="2">
        <v>117.721518987341</v>
      </c>
      <c r="AE253" s="2">
        <v>19.8233667890707</v>
      </c>
      <c r="AF253" s="2">
        <v>85.4111405835543</v>
      </c>
      <c r="AG253" s="2">
        <v>13.904872596372501</v>
      </c>
      <c r="AH253" s="2">
        <v>87.755102040816297</v>
      </c>
      <c r="AI253" s="2">
        <v>21.501334189495299</v>
      </c>
      <c r="AJ253" s="2">
        <v>141.17647058823499</v>
      </c>
      <c r="AK253" s="2">
        <v>70.588235294117695</v>
      </c>
      <c r="AL253" s="2">
        <v>100</v>
      </c>
      <c r="AM253" s="2">
        <v>24.354304629905599</v>
      </c>
      <c r="AN253"/>
      <c r="AO253"/>
    </row>
    <row r="254" spans="1:41" ht="15.75" hidden="1" customHeight="1" x14ac:dyDescent="0.45">
      <c r="A254" s="2" t="s">
        <v>125</v>
      </c>
      <c r="C254" s="2">
        <v>0.3</v>
      </c>
      <c r="D254" s="2"/>
      <c r="E254" s="2" t="s">
        <v>83</v>
      </c>
      <c r="F254" s="2" t="s">
        <v>110</v>
      </c>
      <c r="H254" s="2">
        <v>1.8</v>
      </c>
      <c r="J254" s="2">
        <v>1.8</v>
      </c>
      <c r="K254" s="2">
        <v>35.3888888888888</v>
      </c>
      <c r="L254" s="2"/>
      <c r="M254" s="2">
        <v>0.82214714371947695</v>
      </c>
      <c r="N254" s="2">
        <v>233.055555555555</v>
      </c>
      <c r="O254" s="2">
        <v>16.248361740779899</v>
      </c>
      <c r="P254" s="2">
        <v>7.7222222222222197</v>
      </c>
      <c r="Q254" s="2">
        <v>0.41943524640394497</v>
      </c>
      <c r="R254" s="2">
        <v>2</v>
      </c>
      <c r="S254" s="2">
        <v>0.33333333333333198</v>
      </c>
      <c r="T254" s="2">
        <v>10.8333333333333</v>
      </c>
      <c r="U254" s="2">
        <v>1.64147630029933</v>
      </c>
      <c r="V254" s="2">
        <v>0.94444444444444398</v>
      </c>
      <c r="W254" s="2">
        <v>0.34694433324435497</v>
      </c>
      <c r="X254" s="2">
        <v>1.6666666666666601</v>
      </c>
      <c r="Y254" s="2">
        <v>0.5</v>
      </c>
      <c r="Z254" s="7">
        <v>101.919339164237</v>
      </c>
      <c r="AA254" s="2">
        <v>7.1056975542769303</v>
      </c>
      <c r="AB254" s="7">
        <v>98.378378378378301</v>
      </c>
      <c r="AC254" s="2">
        <v>2.2855055732742202</v>
      </c>
      <c r="AD254" s="2">
        <v>123.41772151898699</v>
      </c>
      <c r="AE254" s="2">
        <v>18.700362914802501</v>
      </c>
      <c r="AF254" s="2">
        <v>73.740053050397805</v>
      </c>
      <c r="AG254" s="2">
        <v>4.00521720704032</v>
      </c>
      <c r="AH254" s="2">
        <v>73.469387755102005</v>
      </c>
      <c r="AI254" s="2">
        <v>12.2448979591836</v>
      </c>
      <c r="AJ254" s="2">
        <v>200</v>
      </c>
      <c r="AK254" s="2">
        <v>73.470564687039897</v>
      </c>
      <c r="AL254" s="2">
        <v>96.774193548387103</v>
      </c>
      <c r="AM254" s="2">
        <v>29.0322580645161</v>
      </c>
      <c r="AN254"/>
      <c r="AO254"/>
    </row>
    <row r="255" spans="1:41" ht="15.75" hidden="1" customHeight="1" x14ac:dyDescent="0.45">
      <c r="A255" s="2" t="s">
        <v>125</v>
      </c>
      <c r="C255" s="2">
        <v>1</v>
      </c>
      <c r="D255" s="2"/>
      <c r="E255" s="2" t="s">
        <v>83</v>
      </c>
      <c r="F255" s="2" t="s">
        <v>110</v>
      </c>
      <c r="H255" s="2">
        <v>1.8</v>
      </c>
      <c r="J255" s="2">
        <v>1.8</v>
      </c>
      <c r="K255" s="2">
        <v>24.9444444444444</v>
      </c>
      <c r="L255" s="2"/>
      <c r="M255" s="2">
        <v>3.7466034000194099</v>
      </c>
      <c r="N255" s="2">
        <v>222.944444444444</v>
      </c>
      <c r="O255" s="2">
        <v>45.926370218878397</v>
      </c>
      <c r="P255" s="2">
        <v>6</v>
      </c>
      <c r="Q255" s="2">
        <v>1.4240006242195899</v>
      </c>
      <c r="R255" s="2">
        <v>1.8333333333333299</v>
      </c>
      <c r="S255" s="2">
        <v>0.76376261582597305</v>
      </c>
      <c r="T255" s="2">
        <v>19.8333333333333</v>
      </c>
      <c r="U255" s="2">
        <v>3.9405301391789398</v>
      </c>
      <c r="V255" s="2">
        <v>0.77777777777777701</v>
      </c>
      <c r="W255" s="2">
        <v>0.34694433324435497</v>
      </c>
      <c r="X255" s="2">
        <v>1.94444444444444</v>
      </c>
      <c r="Y255" s="2">
        <v>0.38490017945974903</v>
      </c>
      <c r="Z255" s="7">
        <v>97.497570456754104</v>
      </c>
      <c r="AA255" s="2">
        <v>20.084418463066299</v>
      </c>
      <c r="AB255" s="7">
        <v>69.343629343629303</v>
      </c>
      <c r="AC255" s="2">
        <v>10.415268139050101</v>
      </c>
      <c r="AD255" s="2">
        <v>225.949367088607</v>
      </c>
      <c r="AE255" s="2">
        <v>44.892115509633499</v>
      </c>
      <c r="AF255" s="2">
        <v>57.294429708222701</v>
      </c>
      <c r="AG255" s="2">
        <v>13.597883944802399</v>
      </c>
      <c r="AH255" s="2">
        <v>67.346938775510196</v>
      </c>
      <c r="AI255" s="2">
        <v>28.056585887484701</v>
      </c>
      <c r="AJ255" s="2">
        <v>164.70588235294099</v>
      </c>
      <c r="AK255" s="2">
        <v>73.470564687039897</v>
      </c>
      <c r="AL255" s="2">
        <v>112.903225806451</v>
      </c>
      <c r="AM255" s="2">
        <v>22.349042678307999</v>
      </c>
      <c r="AN255"/>
      <c r="AO255"/>
    </row>
    <row r="256" spans="1:41" ht="15.75" hidden="1" customHeight="1" x14ac:dyDescent="0.45">
      <c r="A256" s="2" t="s">
        <v>125</v>
      </c>
      <c r="C256" s="2">
        <v>3</v>
      </c>
      <c r="D256" s="2"/>
      <c r="E256" s="2" t="s">
        <v>83</v>
      </c>
      <c r="F256" s="2" t="s">
        <v>110</v>
      </c>
      <c r="H256" s="2">
        <v>1.8</v>
      </c>
      <c r="J256" s="2">
        <v>1.8</v>
      </c>
      <c r="K256" s="2">
        <v>20.6666666666666</v>
      </c>
      <c r="L256" s="2"/>
      <c r="M256" s="2">
        <v>2.3511226632776099</v>
      </c>
      <c r="N256" s="2">
        <v>133.333333333333</v>
      </c>
      <c r="O256" s="2">
        <v>14.310058622444</v>
      </c>
      <c r="P256" s="2">
        <v>15.2777777777777</v>
      </c>
      <c r="Q256" s="2">
        <v>1.5840641588203299</v>
      </c>
      <c r="R256" s="2">
        <v>2.4444444444444402</v>
      </c>
      <c r="S256" s="2">
        <v>0.67357531405456506</v>
      </c>
      <c r="T256" s="2">
        <v>20.2777777777777</v>
      </c>
      <c r="U256" s="2">
        <v>3.27589399729015</v>
      </c>
      <c r="V256" s="2">
        <v>1.5</v>
      </c>
      <c r="W256" s="2">
        <v>0.44095855184409799</v>
      </c>
      <c r="X256" s="2">
        <v>3.1666666666666599</v>
      </c>
      <c r="Y256" s="2">
        <v>0.44095855184409999</v>
      </c>
      <c r="Z256" s="7">
        <v>58.3090379008746</v>
      </c>
      <c r="AA256" s="2">
        <v>6.2580431293486898</v>
      </c>
      <c r="AB256" s="7">
        <v>57.451737451737401</v>
      </c>
      <c r="AC256" s="2">
        <v>6.53593945003814</v>
      </c>
      <c r="AD256" s="2">
        <v>231.01265822784799</v>
      </c>
      <c r="AE256" s="2">
        <v>37.3203113615333</v>
      </c>
      <c r="AF256" s="2">
        <v>145.88859416445601</v>
      </c>
      <c r="AG256" s="2">
        <v>15.1263421001411</v>
      </c>
      <c r="AH256" s="2">
        <v>89.7959183673469</v>
      </c>
      <c r="AI256" s="2">
        <v>24.743582965269699</v>
      </c>
      <c r="AJ256" s="2">
        <v>317.64705882352899</v>
      </c>
      <c r="AK256" s="2">
        <v>93.379458037573798</v>
      </c>
      <c r="AL256" s="2">
        <v>183.870967741935</v>
      </c>
      <c r="AM256" s="2">
        <v>25.604044945786399</v>
      </c>
      <c r="AN256"/>
      <c r="AO256"/>
    </row>
    <row r="257" spans="1:41" ht="15.75" hidden="1" customHeight="1" x14ac:dyDescent="0.45">
      <c r="A257" s="2" t="s">
        <v>125</v>
      </c>
      <c r="C257" s="2">
        <v>10</v>
      </c>
      <c r="D257" s="2"/>
      <c r="E257" s="2" t="s">
        <v>83</v>
      </c>
      <c r="F257" s="2" t="s">
        <v>110</v>
      </c>
      <c r="H257" s="2">
        <v>1.8</v>
      </c>
      <c r="J257" s="2">
        <v>1.8</v>
      </c>
      <c r="K257" s="2">
        <v>0</v>
      </c>
      <c r="L257" s="2"/>
      <c r="M257" s="2">
        <v>0</v>
      </c>
      <c r="N257" s="2">
        <v>102.166666666666</v>
      </c>
      <c r="O257" s="2">
        <v>10.3333333333334</v>
      </c>
      <c r="P257" s="2">
        <v>5.9444444444444402</v>
      </c>
      <c r="Q257" s="2">
        <v>0.91792842454767698</v>
      </c>
      <c r="R257" s="2">
        <v>1.38888888888888</v>
      </c>
      <c r="S257" s="2">
        <v>2.2628235393795801</v>
      </c>
      <c r="T257" s="2">
        <v>23.1666666666666</v>
      </c>
      <c r="U257" s="2">
        <v>1.3017082793177801</v>
      </c>
      <c r="V257" s="2">
        <v>0.55555555555555503</v>
      </c>
      <c r="W257" s="2">
        <v>9.6225044864937798E-2</v>
      </c>
      <c r="X257" s="2">
        <v>0.88888888888888895</v>
      </c>
      <c r="Y257" s="2">
        <v>9.6225044864938894E-2</v>
      </c>
      <c r="Z257" s="7">
        <v>44.679300291545097</v>
      </c>
      <c r="AA257" s="2">
        <v>4.5189504373178497</v>
      </c>
      <c r="AB257" s="7">
        <v>0</v>
      </c>
      <c r="AC257" s="2">
        <v>0</v>
      </c>
      <c r="AD257" s="2">
        <v>263.92405063291102</v>
      </c>
      <c r="AE257" s="2">
        <v>14.8295879922278</v>
      </c>
      <c r="AF257" s="2">
        <v>56.763925729442903</v>
      </c>
      <c r="AG257" s="2">
        <v>8.7653642662377607</v>
      </c>
      <c r="AH257" s="2">
        <v>51.020408163265301</v>
      </c>
      <c r="AI257" s="2">
        <v>83.124130018025696</v>
      </c>
      <c r="AJ257" s="2">
        <v>117.64705882352899</v>
      </c>
      <c r="AK257" s="2">
        <v>20.3770683243397</v>
      </c>
      <c r="AL257" s="2">
        <v>51.612903225806399</v>
      </c>
      <c r="AM257" s="2">
        <v>5.5872606695771001</v>
      </c>
      <c r="AN257"/>
      <c r="AO257"/>
    </row>
    <row r="258" spans="1:41" ht="15.75" hidden="1" customHeight="1" x14ac:dyDescent="0.45">
      <c r="A258" s="2" t="s">
        <v>125</v>
      </c>
      <c r="C258" s="2">
        <v>3.0000000000000001E-3</v>
      </c>
      <c r="D258" s="2"/>
      <c r="E258" s="2" t="s">
        <v>83</v>
      </c>
      <c r="F258" s="2" t="s">
        <v>110</v>
      </c>
      <c r="H258" s="2">
        <v>1.2</v>
      </c>
      <c r="J258" s="2">
        <v>1.2</v>
      </c>
      <c r="K258" s="2">
        <v>29.033333333333299</v>
      </c>
      <c r="L258" s="2"/>
      <c r="M258" s="2">
        <v>2.1481257980957298</v>
      </c>
      <c r="N258" s="2">
        <v>133.155555555555</v>
      </c>
      <c r="O258" s="2">
        <v>27.486164869971599</v>
      </c>
      <c r="P258" s="2">
        <v>12.4888888888888</v>
      </c>
      <c r="Q258" s="2">
        <v>0.77841243947275796</v>
      </c>
      <c r="R258" s="2">
        <v>5.0888888888888797</v>
      </c>
      <c r="S258" s="2">
        <v>2.3796202622671898</v>
      </c>
      <c r="T258" s="2">
        <v>11.677777777777701</v>
      </c>
      <c r="U258" s="2">
        <v>4.70582775022788</v>
      </c>
      <c r="V258" s="2">
        <v>1.07777777777777</v>
      </c>
      <c r="W258" s="2">
        <v>0.59285873653129295</v>
      </c>
      <c r="X258" s="2">
        <v>4.4555555555555504</v>
      </c>
      <c r="Y258" s="2">
        <v>0.62390645072740303</v>
      </c>
      <c r="Z258" s="7">
        <v>104.36751578489</v>
      </c>
      <c r="AA258" s="2">
        <v>21.543695521858801</v>
      </c>
      <c r="AB258" s="7">
        <v>118.90784982935099</v>
      </c>
      <c r="AC258" s="2">
        <v>8.7977848386173196</v>
      </c>
      <c r="AD258" s="2">
        <v>128.170731707317</v>
      </c>
      <c r="AE258" s="2">
        <v>51.649328965915799</v>
      </c>
      <c r="AF258" s="2">
        <v>89.919999999999902</v>
      </c>
      <c r="AG258" s="2">
        <v>5.6045695642038504</v>
      </c>
      <c r="AH258" s="2">
        <v>151.40495867768499</v>
      </c>
      <c r="AI258" s="2">
        <v>70.798619373238694</v>
      </c>
      <c r="AJ258" s="2">
        <v>149.230769230769</v>
      </c>
      <c r="AK258" s="2">
        <v>82.088132750486807</v>
      </c>
      <c r="AL258" s="2">
        <v>123.384615384615</v>
      </c>
      <c r="AM258" s="2">
        <v>17.277409404758799</v>
      </c>
      <c r="AN258"/>
      <c r="AO258"/>
    </row>
    <row r="259" spans="1:41" ht="15.75" hidden="1" customHeight="1" x14ac:dyDescent="0.45">
      <c r="A259" s="2" t="s">
        <v>125</v>
      </c>
      <c r="C259" s="2">
        <v>0.01</v>
      </c>
      <c r="D259" s="2"/>
      <c r="E259" s="2" t="s">
        <v>83</v>
      </c>
      <c r="F259" s="2" t="s">
        <v>110</v>
      </c>
      <c r="H259" s="2">
        <v>1.2</v>
      </c>
      <c r="J259" s="2">
        <v>1.2</v>
      </c>
      <c r="K259" s="2">
        <v>32.8888888888888</v>
      </c>
      <c r="L259" s="2"/>
      <c r="M259" s="2">
        <v>2.4056261216234698</v>
      </c>
      <c r="N259" s="2">
        <v>229.722222222222</v>
      </c>
      <c r="O259" s="2">
        <v>83.789639596454194</v>
      </c>
      <c r="P259" s="2">
        <v>11.7222222222222</v>
      </c>
      <c r="Q259" s="2">
        <v>1.5485955405295999</v>
      </c>
      <c r="R259" s="2">
        <v>5.1666666666666599</v>
      </c>
      <c r="S259" s="2">
        <v>0.83333333333333204</v>
      </c>
      <c r="T259" s="2">
        <v>10.8333333333333</v>
      </c>
      <c r="U259" s="2">
        <v>3.2532035493238598</v>
      </c>
      <c r="V259" s="2">
        <v>1.1111111111111101</v>
      </c>
      <c r="W259" s="2">
        <v>0.25458753860865702</v>
      </c>
      <c r="X259" s="2">
        <v>3.1666666666666599</v>
      </c>
      <c r="Y259" s="2">
        <v>0.66666666666666896</v>
      </c>
      <c r="Z259" s="7">
        <v>180.05660788155799</v>
      </c>
      <c r="AA259" s="2">
        <v>65.674439918840605</v>
      </c>
      <c r="AB259" s="7">
        <v>134.69852104664301</v>
      </c>
      <c r="AC259" s="2">
        <v>9.8523936721780299</v>
      </c>
      <c r="AD259" s="2">
        <v>118.90243902439001</v>
      </c>
      <c r="AE259" s="2">
        <v>35.7058926145302</v>
      </c>
      <c r="AF259" s="2">
        <v>84.399999999999906</v>
      </c>
      <c r="AG259" s="2">
        <v>11.149887891813099</v>
      </c>
      <c r="AH259" s="2">
        <v>153.71900826446199</v>
      </c>
      <c r="AI259" s="2">
        <v>24.793388429752</v>
      </c>
      <c r="AJ259" s="2">
        <v>153.84615384615299</v>
      </c>
      <c r="AK259" s="2">
        <v>35.250582268891002</v>
      </c>
      <c r="AL259" s="2">
        <v>87.692307692307594</v>
      </c>
      <c r="AM259" s="2">
        <v>18.461538461538499</v>
      </c>
      <c r="AN259"/>
      <c r="AO259"/>
    </row>
    <row r="260" spans="1:41" ht="15.75" hidden="1" customHeight="1" x14ac:dyDescent="0.45">
      <c r="A260" s="2" t="s">
        <v>125</v>
      </c>
      <c r="C260" s="2">
        <v>0.03</v>
      </c>
      <c r="D260" s="2"/>
      <c r="E260" s="2" t="s">
        <v>83</v>
      </c>
      <c r="F260" s="2" t="s">
        <v>110</v>
      </c>
      <c r="H260" s="2">
        <v>1.2</v>
      </c>
      <c r="J260" s="2">
        <v>1.2</v>
      </c>
      <c r="K260" s="2">
        <v>32</v>
      </c>
      <c r="L260" s="2"/>
      <c r="M260" s="2">
        <v>4.2557151116012299</v>
      </c>
      <c r="N260" s="2">
        <v>178.666666666666</v>
      </c>
      <c r="O260" s="2">
        <v>13.198274297969601</v>
      </c>
      <c r="P260" s="2">
        <v>11.4444444444444</v>
      </c>
      <c r="Q260" s="2">
        <v>0.91792842454772305</v>
      </c>
      <c r="R260" s="2">
        <v>5.7777777777777697</v>
      </c>
      <c r="S260" s="2">
        <v>2.2381374531648501</v>
      </c>
      <c r="T260" s="2">
        <v>10.6666666666666</v>
      </c>
      <c r="U260" s="2">
        <v>3.8837267325770202</v>
      </c>
      <c r="V260" s="2">
        <v>0.88888888888888895</v>
      </c>
      <c r="W260" s="2">
        <v>0.38490017945975002</v>
      </c>
      <c r="X260" s="2">
        <v>4.4444444444444402</v>
      </c>
      <c r="Y260" s="2">
        <v>0.82214714371937303</v>
      </c>
      <c r="Z260" s="7">
        <v>140.039190071848</v>
      </c>
      <c r="AA260" s="2">
        <v>10.3448263602635</v>
      </c>
      <c r="AB260" s="7">
        <v>131.05802047781501</v>
      </c>
      <c r="AC260" s="2">
        <v>17.4295499451244</v>
      </c>
      <c r="AD260" s="2">
        <v>117.07317073170699</v>
      </c>
      <c r="AE260" s="2">
        <v>42.626269016089203</v>
      </c>
      <c r="AF260" s="2">
        <v>82.4</v>
      </c>
      <c r="AG260" s="2">
        <v>6.6090846567436099</v>
      </c>
      <c r="AH260" s="2">
        <v>171.90082644628001</v>
      </c>
      <c r="AI260" s="2">
        <v>66.589213482590694</v>
      </c>
      <c r="AJ260" s="2">
        <v>123.07692307692299</v>
      </c>
      <c r="AK260" s="2">
        <v>53.293871002119197</v>
      </c>
      <c r="AL260" s="2">
        <v>123.07692307692299</v>
      </c>
      <c r="AM260" s="2">
        <v>22.7671516722287</v>
      </c>
      <c r="AN260"/>
      <c r="AO260"/>
    </row>
    <row r="261" spans="1:41" ht="15.75" hidden="1" customHeight="1" x14ac:dyDescent="0.45">
      <c r="A261" s="2" t="s">
        <v>125</v>
      </c>
      <c r="C261" s="2">
        <v>0.1</v>
      </c>
      <c r="D261" s="2"/>
      <c r="E261" s="2" t="s">
        <v>83</v>
      </c>
      <c r="F261" s="2" t="s">
        <v>110</v>
      </c>
      <c r="H261" s="2">
        <v>1.2</v>
      </c>
      <c r="J261" s="2">
        <v>1.2</v>
      </c>
      <c r="K261" s="2">
        <v>35.2777777777777</v>
      </c>
      <c r="L261" s="2"/>
      <c r="M261" s="2">
        <v>10.0351235021649</v>
      </c>
      <c r="N261" s="2">
        <v>218.055555555555</v>
      </c>
      <c r="O261" s="2">
        <v>68.160214310217697</v>
      </c>
      <c r="P261" s="2">
        <v>13.4444444444444</v>
      </c>
      <c r="Q261" s="2">
        <v>1.9245008972987601</v>
      </c>
      <c r="R261" s="2">
        <v>5.2777777777777697</v>
      </c>
      <c r="S261" s="2">
        <v>2.0838888148345598</v>
      </c>
      <c r="T261" s="2">
        <v>11.5555555555555</v>
      </c>
      <c r="U261" s="2">
        <v>1.6442942874387501</v>
      </c>
      <c r="V261" s="2">
        <v>0.77777777777777701</v>
      </c>
      <c r="W261" s="2">
        <v>0.19245008972987501</v>
      </c>
      <c r="X261" s="2">
        <v>3.55555555555555</v>
      </c>
      <c r="Y261" s="2">
        <v>0.50917507721731203</v>
      </c>
      <c r="Z261" s="7">
        <v>170.91225778358299</v>
      </c>
      <c r="AA261" s="2">
        <v>53.424073920484197</v>
      </c>
      <c r="AB261" s="7">
        <v>144.48236632536899</v>
      </c>
      <c r="AC261" s="2">
        <v>41.099481920129499</v>
      </c>
      <c r="AD261" s="2">
        <v>126.829268292682</v>
      </c>
      <c r="AE261" s="2">
        <v>18.047132423108199</v>
      </c>
      <c r="AF261" s="2">
        <v>96.799999999999898</v>
      </c>
      <c r="AG261" s="2">
        <v>13.856406460551099</v>
      </c>
      <c r="AH261" s="2">
        <v>157.024793388429</v>
      </c>
      <c r="AI261" s="2">
        <v>61.999997796730703</v>
      </c>
      <c r="AJ261" s="2">
        <v>107.692307692307</v>
      </c>
      <c r="AK261" s="2">
        <v>26.646935501059598</v>
      </c>
      <c r="AL261" s="2">
        <v>98.461538461538396</v>
      </c>
      <c r="AM261" s="2">
        <v>14.1002329075563</v>
      </c>
      <c r="AN261"/>
      <c r="AO261"/>
    </row>
    <row r="262" spans="1:41" ht="15.75" hidden="1" customHeight="1" x14ac:dyDescent="0.45">
      <c r="A262" s="2" t="s">
        <v>125</v>
      </c>
      <c r="C262" s="2">
        <v>0.3</v>
      </c>
      <c r="D262" s="2"/>
      <c r="E262" s="2" t="s">
        <v>83</v>
      </c>
      <c r="F262" s="2" t="s">
        <v>110</v>
      </c>
      <c r="H262" s="2">
        <v>1.2</v>
      </c>
      <c r="J262" s="2">
        <v>1.2</v>
      </c>
      <c r="K262" s="2">
        <v>33.1666666666666</v>
      </c>
      <c r="L262" s="2"/>
      <c r="M262" s="2">
        <v>10.7445076408574</v>
      </c>
      <c r="N262" s="2">
        <v>203.055555555555</v>
      </c>
      <c r="O262" s="2">
        <v>35.971567990618503</v>
      </c>
      <c r="P262" s="2">
        <v>11.5</v>
      </c>
      <c r="Q262" s="2">
        <v>1.9649710204252799</v>
      </c>
      <c r="R262" s="2">
        <v>11.7222222222222</v>
      </c>
      <c r="S262" s="2">
        <v>10.775916219531799</v>
      </c>
      <c r="T262" s="2">
        <v>11.5</v>
      </c>
      <c r="U262" s="2">
        <v>3.2829526005987</v>
      </c>
      <c r="V262" s="2">
        <v>0.77777777777777701</v>
      </c>
      <c r="W262" s="2">
        <v>0.38490017945975002</v>
      </c>
      <c r="X262" s="2">
        <v>3.6666666666666599</v>
      </c>
      <c r="Y262" s="2">
        <v>0.57735026918962395</v>
      </c>
      <c r="Z262" s="7">
        <v>159.15523622904399</v>
      </c>
      <c r="AA262" s="2">
        <v>28.1945666810857</v>
      </c>
      <c r="AB262" s="7">
        <v>135.83617747440201</v>
      </c>
      <c r="AC262" s="2">
        <v>44.004809450610701</v>
      </c>
      <c r="AD262" s="2">
        <v>126.219512195121</v>
      </c>
      <c r="AE262" s="2">
        <v>36.032406591936997</v>
      </c>
      <c r="AF262" s="2">
        <v>82.799999999999898</v>
      </c>
      <c r="AG262" s="2">
        <v>14.147791347062</v>
      </c>
      <c r="AH262" s="2">
        <v>348.76033057851203</v>
      </c>
      <c r="AI262" s="2">
        <v>320.60577182078299</v>
      </c>
      <c r="AJ262" s="2">
        <v>107.692307692307</v>
      </c>
      <c r="AK262" s="2">
        <v>53.293871002119197</v>
      </c>
      <c r="AL262" s="2">
        <v>101.53846153846099</v>
      </c>
      <c r="AM262" s="2">
        <v>15.988161300635699</v>
      </c>
      <c r="AN262"/>
      <c r="AO262"/>
    </row>
    <row r="263" spans="1:41" ht="15.75" hidden="1" customHeight="1" x14ac:dyDescent="0.45">
      <c r="A263" s="2" t="s">
        <v>125</v>
      </c>
      <c r="C263" s="2">
        <v>1</v>
      </c>
      <c r="D263" s="2"/>
      <c r="E263" s="2" t="s">
        <v>83</v>
      </c>
      <c r="F263" s="2" t="s">
        <v>110</v>
      </c>
      <c r="H263" s="2">
        <v>1.2</v>
      </c>
      <c r="J263" s="2">
        <v>1.2</v>
      </c>
      <c r="K263" s="2">
        <v>16.2222222222222</v>
      </c>
      <c r="L263" s="2"/>
      <c r="M263" s="2">
        <v>2.9642936826564701</v>
      </c>
      <c r="N263" s="2">
        <v>151.277777777777</v>
      </c>
      <c r="O263" s="2">
        <v>7.3830386196513098</v>
      </c>
      <c r="P263" s="2">
        <v>10.2222222222222</v>
      </c>
      <c r="Q263" s="2">
        <v>0.50917507721732203</v>
      </c>
      <c r="R263" s="2">
        <v>6.3333333333333304</v>
      </c>
      <c r="S263" s="2">
        <v>2.4551533104427001</v>
      </c>
      <c r="T263" s="2">
        <v>19.3333333333333</v>
      </c>
      <c r="U263" s="2">
        <v>0.60092521257740505</v>
      </c>
      <c r="V263" s="2">
        <v>1.3333333333333299</v>
      </c>
      <c r="W263" s="2">
        <v>0.16666666666666999</v>
      </c>
      <c r="X263" s="2">
        <v>3.88888888888888</v>
      </c>
      <c r="Y263" s="2">
        <v>0.38490017945974597</v>
      </c>
      <c r="Z263" s="7">
        <v>118.57173960374401</v>
      </c>
      <c r="AA263" s="2">
        <v>5.7868362792825403</v>
      </c>
      <c r="AB263" s="7">
        <v>66.439135381114795</v>
      </c>
      <c r="AC263" s="2">
        <v>12.140451942620301</v>
      </c>
      <c r="AD263" s="2">
        <v>212.19512195121899</v>
      </c>
      <c r="AE263" s="2">
        <v>6.5955206258495602</v>
      </c>
      <c r="AF263" s="2">
        <v>73.599999999999994</v>
      </c>
      <c r="AG263" s="2">
        <v>3.6660605559647199</v>
      </c>
      <c r="AH263" s="2">
        <v>188.42975206611499</v>
      </c>
      <c r="AI263" s="2">
        <v>73.045883616477198</v>
      </c>
      <c r="AJ263" s="2">
        <v>184.61538461538399</v>
      </c>
      <c r="AK263" s="2">
        <v>23.076923076923499</v>
      </c>
      <c r="AL263" s="2">
        <v>107.692307692307</v>
      </c>
      <c r="AM263" s="2">
        <v>10.6587742004237</v>
      </c>
      <c r="AN263"/>
      <c r="AO263"/>
    </row>
    <row r="264" spans="1:41" ht="15.75" hidden="1" customHeight="1" x14ac:dyDescent="0.45">
      <c r="A264" s="2" t="s">
        <v>125</v>
      </c>
      <c r="C264" s="2">
        <v>3</v>
      </c>
      <c r="D264" s="2"/>
      <c r="E264" s="2" t="s">
        <v>83</v>
      </c>
      <c r="F264" s="2" t="s">
        <v>110</v>
      </c>
      <c r="H264" s="2">
        <v>1.2</v>
      </c>
      <c r="J264" s="2">
        <v>1.2</v>
      </c>
      <c r="K264" s="2">
        <v>8.3333333333333304</v>
      </c>
      <c r="L264" s="2"/>
      <c r="M264" s="2">
        <v>2.4209731743889802</v>
      </c>
      <c r="N264" s="2">
        <v>81.1666666666666</v>
      </c>
      <c r="O264" s="2">
        <v>4.8045117684665799</v>
      </c>
      <c r="P264" s="2">
        <v>10.6666666666666</v>
      </c>
      <c r="Q264" s="2">
        <v>0.881917103688177</v>
      </c>
      <c r="R264" s="2">
        <v>9.55555555555555</v>
      </c>
      <c r="S264" s="2">
        <v>0.53575837561074702</v>
      </c>
      <c r="T264" s="2">
        <v>23.6111111111111</v>
      </c>
      <c r="U264" s="2">
        <v>2.7403027678085499</v>
      </c>
      <c r="V264" s="2">
        <v>1.8333333333333299</v>
      </c>
      <c r="W264" s="2">
        <v>0.76376261582597404</v>
      </c>
      <c r="X264" s="2">
        <v>5.9444444444444402</v>
      </c>
      <c r="Y264" s="2">
        <v>0.91792842454767698</v>
      </c>
      <c r="Z264" s="7">
        <v>63.6185499673416</v>
      </c>
      <c r="AA264" s="2">
        <v>3.7657832280600201</v>
      </c>
      <c r="AB264" s="7">
        <v>34.129692832764398</v>
      </c>
      <c r="AC264" s="2">
        <v>9.9152484957910794</v>
      </c>
      <c r="AD264" s="2">
        <v>259.14634146341399</v>
      </c>
      <c r="AE264" s="2">
        <v>30.076493793020699</v>
      </c>
      <c r="AF264" s="2">
        <v>76.8</v>
      </c>
      <c r="AG264" s="2">
        <v>6.3498031465548701</v>
      </c>
      <c r="AH264" s="2">
        <v>284.297520661156</v>
      </c>
      <c r="AI264" s="2">
        <v>15.939918613212299</v>
      </c>
      <c r="AJ264" s="2">
        <v>253.84615384615299</v>
      </c>
      <c r="AK264" s="2">
        <v>105.751746806673</v>
      </c>
      <c r="AL264" s="2">
        <v>164.61538461538399</v>
      </c>
      <c r="AM264" s="2">
        <v>25.419556372089499</v>
      </c>
      <c r="AN264"/>
      <c r="AO264"/>
    </row>
    <row r="265" spans="1:41" ht="15.75" hidden="1" customHeight="1" x14ac:dyDescent="0.45">
      <c r="A265" s="2" t="s">
        <v>125</v>
      </c>
      <c r="C265" s="2">
        <v>10</v>
      </c>
      <c r="D265" s="2"/>
      <c r="E265" s="2" t="s">
        <v>83</v>
      </c>
      <c r="F265" s="2" t="s">
        <v>110</v>
      </c>
      <c r="H265" s="2">
        <v>1.2</v>
      </c>
      <c r="J265" s="2">
        <v>1.2</v>
      </c>
      <c r="K265" s="2">
        <v>0.16666666666666599</v>
      </c>
      <c r="L265" s="2"/>
      <c r="M265" s="2">
        <v>0.16666666666666599</v>
      </c>
      <c r="N265" s="2">
        <v>73.6111111111111</v>
      </c>
      <c r="O265" s="2">
        <v>2.5945098730746299</v>
      </c>
      <c r="P265" s="2">
        <v>3.38888888888888</v>
      </c>
      <c r="Q265" s="2">
        <v>9.6225044864938894E-2</v>
      </c>
      <c r="R265" s="2">
        <v>9.55555555555555</v>
      </c>
      <c r="S265" s="2">
        <v>12.807694446583101</v>
      </c>
      <c r="T265" s="2">
        <v>31.2777777777777</v>
      </c>
      <c r="U265" s="2">
        <v>3.3388842669592802</v>
      </c>
      <c r="V265" s="2">
        <v>0.77777777777777701</v>
      </c>
      <c r="W265" s="2">
        <v>0.58531409738070705</v>
      </c>
      <c r="X265" s="2">
        <v>1.7222222222222201</v>
      </c>
      <c r="Y265" s="2">
        <v>0.53575837561071904</v>
      </c>
      <c r="Z265" s="7">
        <v>57.696494665795697</v>
      </c>
      <c r="AA265" s="2">
        <v>2.03358056674693</v>
      </c>
      <c r="AB265" s="7">
        <v>0.68259385665528904</v>
      </c>
      <c r="AC265" s="2">
        <v>0.68259385665529004</v>
      </c>
      <c r="AD265" s="2">
        <v>343.292682926829</v>
      </c>
      <c r="AE265" s="2">
        <v>36.646290734918999</v>
      </c>
      <c r="AF265" s="2">
        <v>24.399999999999899</v>
      </c>
      <c r="AG265" s="2">
        <v>0.69282032302756003</v>
      </c>
      <c r="AH265" s="2">
        <v>284.297520661156</v>
      </c>
      <c r="AI265" s="2">
        <v>381.05537196445698</v>
      </c>
      <c r="AJ265" s="2">
        <v>107.692307692307</v>
      </c>
      <c r="AK265" s="2">
        <v>81.043490406559499</v>
      </c>
      <c r="AL265" s="2">
        <v>47.692307692307601</v>
      </c>
      <c r="AM265" s="2">
        <v>14.836385786143</v>
      </c>
      <c r="AN265"/>
      <c r="AO265"/>
    </row>
    <row r="266" spans="1:41" ht="15.75" hidden="1" customHeight="1" x14ac:dyDescent="0.45">
      <c r="A266" s="2" t="s">
        <v>125</v>
      </c>
      <c r="C266" s="2">
        <v>3.0000000000000001E-3</v>
      </c>
      <c r="D266" s="2"/>
      <c r="E266" s="2" t="s">
        <v>85</v>
      </c>
      <c r="F266" s="2" t="s">
        <v>84</v>
      </c>
      <c r="G266" s="2" t="s">
        <v>111</v>
      </c>
      <c r="H266" s="2" t="s">
        <v>87</v>
      </c>
      <c r="I266" s="2">
        <v>3539</v>
      </c>
      <c r="K266" s="2">
        <v>3.7777777777777701</v>
      </c>
      <c r="L266" s="2"/>
      <c r="M266" s="2">
        <v>0.34694433324435497</v>
      </c>
      <c r="N266" s="2">
        <v>300.33333333333297</v>
      </c>
      <c r="O266" s="2">
        <v>22.540703922755799</v>
      </c>
      <c r="P266" s="2">
        <v>0.88888888888888795</v>
      </c>
      <c r="Q266" s="2">
        <v>0.75154162547048198</v>
      </c>
      <c r="R266" s="2">
        <v>1.44444444444444</v>
      </c>
      <c r="S266" s="2">
        <v>2.50185116648837</v>
      </c>
      <c r="T266" s="2">
        <v>5.2777777777777697</v>
      </c>
      <c r="U266" s="2">
        <v>1.50308325094096</v>
      </c>
      <c r="V266" s="2">
        <v>0</v>
      </c>
      <c r="W266" s="2">
        <v>0</v>
      </c>
      <c r="X266" s="2">
        <v>0.27777777777777701</v>
      </c>
      <c r="Y266" s="2">
        <v>0.19245008972987501</v>
      </c>
      <c r="Z266" s="7">
        <v>99.916828389243094</v>
      </c>
      <c r="AA266" s="2">
        <v>7.4989866113964698</v>
      </c>
      <c r="AB266" s="7">
        <v>119.298245614035</v>
      </c>
      <c r="AC266" s="2">
        <v>10.9561368392954</v>
      </c>
      <c r="AD266" s="2">
        <v>93.827160493827094</v>
      </c>
      <c r="AE266" s="2">
        <v>26.721480016728201</v>
      </c>
      <c r="AF266" s="2">
        <v>152.38095238095201</v>
      </c>
      <c r="AG266" s="2">
        <v>128.83570722351101</v>
      </c>
      <c r="AH266" s="2">
        <v>91.228070175438503</v>
      </c>
      <c r="AI266" s="2">
        <v>158.01165262031799</v>
      </c>
      <c r="AJ266" s="2">
        <v>0</v>
      </c>
      <c r="AK266" s="2">
        <v>0</v>
      </c>
      <c r="AL266" s="2">
        <v>47.619047619047599</v>
      </c>
      <c r="AM266" s="2">
        <v>32.991443953692801</v>
      </c>
      <c r="AN266"/>
      <c r="AO266"/>
    </row>
    <row r="267" spans="1:41" ht="15.75" hidden="1" customHeight="1" x14ac:dyDescent="0.45">
      <c r="A267" s="2" t="s">
        <v>125</v>
      </c>
      <c r="C267" s="2">
        <v>0.01</v>
      </c>
      <c r="D267" s="2"/>
      <c r="E267" s="2" t="s">
        <v>85</v>
      </c>
      <c r="F267" s="2" t="s">
        <v>84</v>
      </c>
      <c r="G267" s="2" t="s">
        <v>111</v>
      </c>
      <c r="H267" s="2" t="s">
        <v>87</v>
      </c>
      <c r="I267" s="2">
        <v>3539</v>
      </c>
      <c r="K267" s="2">
        <v>2.9999999999999898</v>
      </c>
      <c r="L267" s="2"/>
      <c r="M267" s="2">
        <v>0.66666666666666596</v>
      </c>
      <c r="N267" s="2">
        <v>358.222222222222</v>
      </c>
      <c r="O267" s="2">
        <v>51.054527858112898</v>
      </c>
      <c r="P267" s="2">
        <v>0.22222222222222199</v>
      </c>
      <c r="Q267" s="2">
        <v>9.62250448649377E-2</v>
      </c>
      <c r="R267" s="2">
        <v>0.22222222222222199</v>
      </c>
      <c r="S267" s="2">
        <v>0.19245008972987501</v>
      </c>
      <c r="T267" s="2">
        <v>7.1666666666666599</v>
      </c>
      <c r="U267" s="2">
        <v>2.2546248764114498</v>
      </c>
      <c r="V267" s="2">
        <v>5.5555555555555497E-2</v>
      </c>
      <c r="W267" s="2">
        <v>9.6225044864937603E-2</v>
      </c>
      <c r="X267" s="2">
        <v>0.61111111111111105</v>
      </c>
      <c r="Y267" s="2">
        <v>0.19245008972987501</v>
      </c>
      <c r="Z267" s="7">
        <v>119.17567692449801</v>
      </c>
      <c r="AA267" s="2">
        <v>16.985149273561198</v>
      </c>
      <c r="AB267" s="7">
        <v>94.736842105263094</v>
      </c>
      <c r="AC267" s="2">
        <v>21.052631578947299</v>
      </c>
      <c r="AD267" s="2">
        <v>127.40740740740701</v>
      </c>
      <c r="AE267" s="2">
        <v>40.082220025092397</v>
      </c>
      <c r="AF267" s="2">
        <v>38.095238095238003</v>
      </c>
      <c r="AG267" s="2">
        <v>16.495721976846401</v>
      </c>
      <c r="AH267" s="2">
        <v>14.0350877192982</v>
      </c>
      <c r="AI267" s="2">
        <v>12.1547425092552</v>
      </c>
      <c r="AJ267" s="2">
        <v>66.6666666666666</v>
      </c>
      <c r="AK267" s="2">
        <v>115.47005383792499</v>
      </c>
      <c r="AL267" s="2">
        <v>104.76190476190401</v>
      </c>
      <c r="AM267" s="2">
        <v>32.991443953692901</v>
      </c>
      <c r="AN267"/>
      <c r="AO267"/>
    </row>
    <row r="268" spans="1:41" ht="15.75" hidden="1" customHeight="1" x14ac:dyDescent="0.45">
      <c r="A268" s="2" t="s">
        <v>125</v>
      </c>
      <c r="C268" s="2">
        <v>0.03</v>
      </c>
      <c r="D268" s="2"/>
      <c r="E268" s="2" t="s">
        <v>85</v>
      </c>
      <c r="F268" s="2" t="s">
        <v>84</v>
      </c>
      <c r="G268" s="2" t="s">
        <v>111</v>
      </c>
      <c r="H268" s="2" t="s">
        <v>87</v>
      </c>
      <c r="I268" s="2">
        <v>3539</v>
      </c>
      <c r="K268" s="2">
        <v>3.1666666666666599</v>
      </c>
      <c r="L268" s="2"/>
      <c r="M268" s="2">
        <v>1.0137937550497</v>
      </c>
      <c r="N268" s="2">
        <v>283.61111111111097</v>
      </c>
      <c r="O268" s="2">
        <v>35.006480881455403</v>
      </c>
      <c r="P268" s="2">
        <v>0.39999999999999902</v>
      </c>
      <c r="Q268" s="2">
        <v>0.24037008503093199</v>
      </c>
      <c r="R268" s="2">
        <v>0.31111111111111101</v>
      </c>
      <c r="S268" s="2">
        <v>0.300616650188193</v>
      </c>
      <c r="T268" s="2">
        <v>5.0888888888888797</v>
      </c>
      <c r="U268" s="2">
        <v>1.4048856550280899</v>
      </c>
      <c r="V268" s="2">
        <v>0</v>
      </c>
      <c r="W268" s="2">
        <v>0</v>
      </c>
      <c r="X268" s="2">
        <v>0.28888888888888797</v>
      </c>
      <c r="Y268" s="2">
        <v>0.183585684909536</v>
      </c>
      <c r="Z268" s="7">
        <v>94.353571758617406</v>
      </c>
      <c r="AA268" s="2">
        <v>11.646181607359701</v>
      </c>
      <c r="AB268" s="7">
        <v>99.999999999999901</v>
      </c>
      <c r="AC268" s="2">
        <v>32.014539633148502</v>
      </c>
      <c r="AD268" s="2">
        <v>90.469135802469097</v>
      </c>
      <c r="AE268" s="2">
        <v>24.975744978277099</v>
      </c>
      <c r="AF268" s="2">
        <v>68.571428571428498</v>
      </c>
      <c r="AG268" s="2">
        <v>41.206300291017001</v>
      </c>
      <c r="AH268" s="2">
        <v>19.649122807017498</v>
      </c>
      <c r="AI268" s="2">
        <v>18.986314748727899</v>
      </c>
      <c r="AJ268" s="2">
        <v>0</v>
      </c>
      <c r="AK268" s="2">
        <v>0</v>
      </c>
      <c r="AL268" s="2">
        <v>49.523809523809497</v>
      </c>
      <c r="AM268" s="2">
        <v>31.471831698777699</v>
      </c>
      <c r="AN268"/>
      <c r="AO268"/>
    </row>
    <row r="269" spans="1:41" ht="15.75" hidden="1" customHeight="1" x14ac:dyDescent="0.45">
      <c r="A269" s="2" t="s">
        <v>125</v>
      </c>
      <c r="C269" s="2">
        <v>0.1</v>
      </c>
      <c r="D269" s="2"/>
      <c r="E269" s="2" t="s">
        <v>85</v>
      </c>
      <c r="F269" s="2" t="s">
        <v>84</v>
      </c>
      <c r="G269" s="2" t="s">
        <v>111</v>
      </c>
      <c r="H269" s="2" t="s">
        <v>87</v>
      </c>
      <c r="I269" s="2">
        <v>3539</v>
      </c>
      <c r="K269" s="2">
        <v>2.4</v>
      </c>
      <c r="L269" s="2"/>
      <c r="M269" s="2">
        <v>0.52915026221291706</v>
      </c>
      <c r="N269" s="2">
        <v>332</v>
      </c>
      <c r="O269" s="2">
        <v>83.199726228182101</v>
      </c>
      <c r="P269" s="2">
        <v>0.74444444444444402</v>
      </c>
      <c r="Q269" s="2">
        <v>0.96398094341084295</v>
      </c>
      <c r="R269" s="2">
        <v>0.38888888888888801</v>
      </c>
      <c r="S269" s="2">
        <v>0.67357531405456295</v>
      </c>
      <c r="T269" s="2">
        <v>6.0444444444444398</v>
      </c>
      <c r="U269" s="2">
        <v>1.1857174730625799</v>
      </c>
      <c r="V269" s="2">
        <v>0</v>
      </c>
      <c r="W269" s="2">
        <v>0</v>
      </c>
      <c r="X269" s="2">
        <v>0.53333333333333299</v>
      </c>
      <c r="Y269" s="2">
        <v>5.7735026918962699E-2</v>
      </c>
      <c r="Z269" s="7">
        <v>110.451899085112</v>
      </c>
      <c r="AA269" s="2">
        <v>27.6794209797112</v>
      </c>
      <c r="AB269" s="7">
        <v>75.789473684210506</v>
      </c>
      <c r="AC269" s="2">
        <v>16.710008280407902</v>
      </c>
      <c r="AD269" s="2">
        <v>107.456790123456</v>
      </c>
      <c r="AE269" s="2">
        <v>21.079421743334699</v>
      </c>
      <c r="AF269" s="2">
        <v>127.619047619047</v>
      </c>
      <c r="AG269" s="2">
        <v>165.253876013287</v>
      </c>
      <c r="AH269" s="2">
        <v>24.5614035087719</v>
      </c>
      <c r="AI269" s="2">
        <v>42.5415987823934</v>
      </c>
      <c r="AJ269" s="2">
        <v>0</v>
      </c>
      <c r="AK269" s="2">
        <v>0</v>
      </c>
      <c r="AL269" s="2">
        <v>91.428571428571402</v>
      </c>
      <c r="AM269" s="2">
        <v>9.8974331861079001</v>
      </c>
      <c r="AN269"/>
      <c r="AO269"/>
    </row>
    <row r="270" spans="1:41" ht="15.75" hidden="1" customHeight="1" x14ac:dyDescent="0.45">
      <c r="A270" s="2" t="s">
        <v>125</v>
      </c>
      <c r="C270" s="2">
        <v>0.3</v>
      </c>
      <c r="D270" s="2"/>
      <c r="E270" s="2" t="s">
        <v>85</v>
      </c>
      <c r="F270" s="2" t="s">
        <v>84</v>
      </c>
      <c r="G270" s="2" t="s">
        <v>111</v>
      </c>
      <c r="H270" s="2" t="s">
        <v>87</v>
      </c>
      <c r="I270" s="2">
        <v>3539</v>
      </c>
      <c r="K270" s="2">
        <v>1.82222222222222</v>
      </c>
      <c r="L270" s="2"/>
      <c r="M270" s="2">
        <v>0.16777409856157599</v>
      </c>
      <c r="N270" s="2">
        <v>339.877777777777</v>
      </c>
      <c r="O270" s="2">
        <v>35.551376490516098</v>
      </c>
      <c r="P270" s="2">
        <v>0</v>
      </c>
      <c r="Q270" s="2">
        <v>0</v>
      </c>
      <c r="R270" s="2">
        <v>5.5555555555555497E-2</v>
      </c>
      <c r="S270" s="2">
        <v>9.6225044864937603E-2</v>
      </c>
      <c r="T270" s="2">
        <v>5.81111111111111</v>
      </c>
      <c r="U270" s="2">
        <v>1.56926498482333</v>
      </c>
      <c r="V270" s="2">
        <v>6.6666666666666596E-2</v>
      </c>
      <c r="W270" s="2">
        <v>0.115470053837925</v>
      </c>
      <c r="X270" s="2">
        <v>0.844444444444444</v>
      </c>
      <c r="Y270" s="2">
        <v>0.35013225014641602</v>
      </c>
      <c r="Z270" s="7">
        <v>113.072728952961</v>
      </c>
      <c r="AA270" s="2">
        <v>11.827460989359301</v>
      </c>
      <c r="AB270" s="7">
        <v>57.543859649122801</v>
      </c>
      <c r="AC270" s="2">
        <v>5.2981294282603102</v>
      </c>
      <c r="AD270" s="2">
        <v>103.30864197530801</v>
      </c>
      <c r="AE270" s="2">
        <v>27.898044174637</v>
      </c>
      <c r="AF270" s="2">
        <v>0</v>
      </c>
      <c r="AG270" s="2">
        <v>0</v>
      </c>
      <c r="AH270" s="2">
        <v>3.5087719298245599</v>
      </c>
      <c r="AI270" s="2">
        <v>6.0773712546276304</v>
      </c>
      <c r="AJ270" s="2">
        <v>80</v>
      </c>
      <c r="AK270" s="2">
        <v>138.56406460551</v>
      </c>
      <c r="AL270" s="2">
        <v>144.76190476190399</v>
      </c>
      <c r="AM270" s="2">
        <v>60.0226714536714</v>
      </c>
      <c r="AN270"/>
      <c r="AO270"/>
    </row>
    <row r="271" spans="1:41" ht="15.75" hidden="1" customHeight="1" x14ac:dyDescent="0.45">
      <c r="A271" s="2" t="s">
        <v>125</v>
      </c>
      <c r="C271" s="2">
        <v>1</v>
      </c>
      <c r="D271" s="2"/>
      <c r="E271" s="2" t="s">
        <v>85</v>
      </c>
      <c r="F271" s="2" t="s">
        <v>84</v>
      </c>
      <c r="G271" s="2" t="s">
        <v>111</v>
      </c>
      <c r="H271" s="2" t="s">
        <v>87</v>
      </c>
      <c r="I271" s="2">
        <v>3539</v>
      </c>
      <c r="K271" s="2">
        <v>0.22222222222222199</v>
      </c>
      <c r="L271" s="2"/>
      <c r="M271" s="2">
        <v>0.38490017945975002</v>
      </c>
      <c r="N271" s="2">
        <v>256.888888888888</v>
      </c>
      <c r="O271" s="2">
        <v>38.499037987019101</v>
      </c>
      <c r="P271" s="2">
        <v>0.38888888888888801</v>
      </c>
      <c r="Q271" s="2">
        <v>0.19245008972987501</v>
      </c>
      <c r="R271" s="2">
        <v>5.5555555555555497E-2</v>
      </c>
      <c r="S271" s="2">
        <v>9.6225044864937603E-2</v>
      </c>
      <c r="T271" s="2">
        <v>5.7222222222222197</v>
      </c>
      <c r="U271" s="2">
        <v>1.5752718754175301</v>
      </c>
      <c r="V271" s="2">
        <v>5.5555555555555497E-2</v>
      </c>
      <c r="W271" s="2">
        <v>9.6225044864937603E-2</v>
      </c>
      <c r="X271" s="2">
        <v>0.72222222222222199</v>
      </c>
      <c r="Y271" s="2">
        <v>0.19245008972987501</v>
      </c>
      <c r="Z271" s="7">
        <v>85.463450697717406</v>
      </c>
      <c r="AA271" s="2">
        <v>12.8081080078799</v>
      </c>
      <c r="AB271" s="7">
        <v>7.0175438596491198</v>
      </c>
      <c r="AC271" s="2">
        <v>12.1547425092552</v>
      </c>
      <c r="AD271" s="2">
        <v>101.72839506172799</v>
      </c>
      <c r="AE271" s="2">
        <v>28.0048333407561</v>
      </c>
      <c r="AF271" s="2">
        <v>66.6666666666666</v>
      </c>
      <c r="AG271" s="2">
        <v>32.991443953692901</v>
      </c>
      <c r="AH271" s="2">
        <v>3.5087719298245599</v>
      </c>
      <c r="AI271" s="2">
        <v>6.0773712546276304</v>
      </c>
      <c r="AJ271" s="2">
        <v>66.6666666666666</v>
      </c>
      <c r="AK271" s="2">
        <v>115.47005383792499</v>
      </c>
      <c r="AL271" s="2">
        <v>123.809523809523</v>
      </c>
      <c r="AM271" s="2">
        <v>32.991443953692901</v>
      </c>
      <c r="AN271"/>
      <c r="AO271"/>
    </row>
    <row r="272" spans="1:41" ht="15.75" hidden="1" customHeight="1" x14ac:dyDescent="0.45">
      <c r="A272" s="2" t="s">
        <v>125</v>
      </c>
      <c r="C272" s="2">
        <v>3</v>
      </c>
      <c r="D272" s="2"/>
      <c r="E272" s="2" t="s">
        <v>85</v>
      </c>
      <c r="F272" s="2" t="s">
        <v>84</v>
      </c>
      <c r="G272" s="2" t="s">
        <v>111</v>
      </c>
      <c r="H272" s="2" t="s">
        <v>87</v>
      </c>
      <c r="I272" s="2">
        <v>3539</v>
      </c>
      <c r="K272" s="2">
        <v>0</v>
      </c>
      <c r="L272" s="2"/>
      <c r="M272" s="2">
        <v>0</v>
      </c>
      <c r="N272" s="2">
        <v>244.944444444444</v>
      </c>
      <c r="O272" s="2">
        <v>43.231397198144002</v>
      </c>
      <c r="P272" s="2">
        <v>0.27777777777777701</v>
      </c>
      <c r="Q272" s="2">
        <v>0.19245008972987501</v>
      </c>
      <c r="R272" s="2">
        <v>1</v>
      </c>
      <c r="S272" s="2">
        <v>1.7320508075688701</v>
      </c>
      <c r="T272" s="2">
        <v>16.1666666666666</v>
      </c>
      <c r="U272" s="2">
        <v>1.6914819275153601</v>
      </c>
      <c r="V272" s="2">
        <v>5.5555555555555497E-2</v>
      </c>
      <c r="W272" s="2">
        <v>9.6225044864937603E-2</v>
      </c>
      <c r="X272" s="2">
        <v>1.88888888888888</v>
      </c>
      <c r="Y272" s="2">
        <v>0.41943524640392899</v>
      </c>
      <c r="Z272" s="7">
        <v>81.489695961556194</v>
      </c>
      <c r="AA272" s="2">
        <v>14.382499760957201</v>
      </c>
      <c r="AB272" s="7">
        <v>0</v>
      </c>
      <c r="AC272" s="2">
        <v>0</v>
      </c>
      <c r="AD272" s="2">
        <v>287.40740740740699</v>
      </c>
      <c r="AE272" s="2">
        <v>30.0707898224953</v>
      </c>
      <c r="AF272" s="2">
        <v>47.619047619047599</v>
      </c>
      <c r="AG272" s="2">
        <v>32.991443953692801</v>
      </c>
      <c r="AH272" s="2">
        <v>63.157894736842003</v>
      </c>
      <c r="AI272" s="2">
        <v>109.392682583297</v>
      </c>
      <c r="AJ272" s="2">
        <v>66.6666666666666</v>
      </c>
      <c r="AK272" s="2">
        <v>115.47005383792499</v>
      </c>
      <c r="AL272" s="2">
        <v>323.809523809523</v>
      </c>
      <c r="AM272" s="2">
        <v>71.903185097816404</v>
      </c>
      <c r="AN272"/>
      <c r="AO272"/>
    </row>
    <row r="273" spans="1:41" ht="15.75" hidden="1" customHeight="1" x14ac:dyDescent="0.45">
      <c r="A273" s="2" t="s">
        <v>125</v>
      </c>
      <c r="C273" s="2">
        <v>10</v>
      </c>
      <c r="D273" s="2"/>
      <c r="E273" s="2" t="s">
        <v>85</v>
      </c>
      <c r="F273" s="2" t="s">
        <v>84</v>
      </c>
      <c r="G273" s="2" t="s">
        <v>111</v>
      </c>
      <c r="H273" s="2" t="s">
        <v>87</v>
      </c>
      <c r="I273" s="2">
        <v>3539</v>
      </c>
      <c r="K273" s="2">
        <v>0</v>
      </c>
      <c r="L273" s="2"/>
      <c r="M273" s="2">
        <v>0</v>
      </c>
      <c r="N273" s="2">
        <v>216.611111111111</v>
      </c>
      <c r="O273" s="2">
        <v>6.9568777586030599</v>
      </c>
      <c r="P273" s="2">
        <v>0.22222222222222199</v>
      </c>
      <c r="Q273" s="2">
        <v>9.62250448649377E-2</v>
      </c>
      <c r="R273" s="2">
        <v>0.5</v>
      </c>
      <c r="S273" s="2">
        <v>0.86602540378443804</v>
      </c>
      <c r="T273" s="2">
        <v>15.9444444444444</v>
      </c>
      <c r="U273" s="2">
        <v>0.25458753860836802</v>
      </c>
      <c r="V273" s="2">
        <v>0.16666666666666599</v>
      </c>
      <c r="W273" s="2">
        <v>0.16666666666666599</v>
      </c>
      <c r="X273" s="2">
        <v>2.05555555555555</v>
      </c>
      <c r="Y273" s="2">
        <v>9.6225044864943599E-2</v>
      </c>
      <c r="Z273" s="7">
        <v>72.063580075778503</v>
      </c>
      <c r="AA273" s="2">
        <v>2.3144589160864002</v>
      </c>
      <c r="AB273" s="7">
        <v>0</v>
      </c>
      <c r="AC273" s="2">
        <v>0</v>
      </c>
      <c r="AD273" s="2">
        <v>283.45679012345602</v>
      </c>
      <c r="AE273" s="2">
        <v>4.5260006863709901</v>
      </c>
      <c r="AF273" s="2">
        <v>38.095238095238003</v>
      </c>
      <c r="AG273" s="2">
        <v>16.495721976846401</v>
      </c>
      <c r="AH273" s="2">
        <v>31.578947368421002</v>
      </c>
      <c r="AI273" s="2">
        <v>54.6963412916487</v>
      </c>
      <c r="AJ273" s="2">
        <v>200</v>
      </c>
      <c r="AK273" s="2">
        <v>200</v>
      </c>
      <c r="AL273" s="2">
        <v>352.38095238095201</v>
      </c>
      <c r="AM273" s="2">
        <v>16.495721976847399</v>
      </c>
      <c r="AN273"/>
      <c r="AO273"/>
    </row>
    <row r="274" spans="1:41" ht="15.75" hidden="1" customHeight="1" x14ac:dyDescent="0.45">
      <c r="A274" s="2" t="s">
        <v>125</v>
      </c>
      <c r="C274" s="2">
        <v>3.0000000000000001E-3</v>
      </c>
      <c r="D274" s="2"/>
      <c r="E274" s="2" t="s">
        <v>85</v>
      </c>
      <c r="F274" s="2" t="s">
        <v>84</v>
      </c>
      <c r="G274" s="2" t="s">
        <v>86</v>
      </c>
      <c r="H274" s="2">
        <v>13</v>
      </c>
      <c r="I274" s="2">
        <v>3539</v>
      </c>
      <c r="J274" s="2">
        <v>12.9</v>
      </c>
      <c r="K274" s="2">
        <v>8.1111111111111107</v>
      </c>
      <c r="L274" s="2"/>
      <c r="M274" s="2">
        <v>0.34694433324437002</v>
      </c>
      <c r="N274" s="2">
        <v>349.722222222222</v>
      </c>
      <c r="O274" s="2">
        <v>36.572733214990301</v>
      </c>
      <c r="P274" s="2">
        <v>0.22222222222222199</v>
      </c>
      <c r="Q274" s="2">
        <v>9.62250448649377E-2</v>
      </c>
      <c r="R274" s="2">
        <v>1.1666666666666601</v>
      </c>
      <c r="S274" s="2">
        <v>0.66666666666666596</v>
      </c>
      <c r="T274" s="2">
        <v>2.2777777777777701</v>
      </c>
      <c r="U274" s="2">
        <v>0.25458753860865702</v>
      </c>
      <c r="V274" s="2">
        <v>0</v>
      </c>
      <c r="W274" s="2">
        <v>0</v>
      </c>
      <c r="X274" s="2">
        <v>0.66666666666666596</v>
      </c>
      <c r="Y274" s="2">
        <v>0.16666666666666699</v>
      </c>
      <c r="Z274" s="7">
        <v>93.011229314420802</v>
      </c>
      <c r="AA274" s="2">
        <v>9.7267907486676499</v>
      </c>
      <c r="AB274" s="7">
        <v>88.484848484848399</v>
      </c>
      <c r="AC274" s="2">
        <v>3.78484727175677</v>
      </c>
      <c r="AD274" s="2">
        <v>58.781362007168397</v>
      </c>
      <c r="AE274" s="2">
        <v>6.5700009963524604</v>
      </c>
      <c r="AF274" s="2">
        <v>44.4444444444444</v>
      </c>
      <c r="AG274" s="2">
        <v>19.245008972987499</v>
      </c>
      <c r="AH274" s="2">
        <v>111.99999999999901</v>
      </c>
      <c r="AI274" s="2">
        <v>63.999999999999901</v>
      </c>
      <c r="AJ274"/>
      <c r="AK274"/>
      <c r="AL274" s="2">
        <v>123.07692307692299</v>
      </c>
      <c r="AM274" s="2">
        <v>30.769230769230798</v>
      </c>
      <c r="AN274"/>
      <c r="AO274"/>
    </row>
    <row r="275" spans="1:41" ht="15.75" hidden="1" customHeight="1" x14ac:dyDescent="0.45">
      <c r="A275" s="2" t="s">
        <v>125</v>
      </c>
      <c r="C275" s="2">
        <v>0.01</v>
      </c>
      <c r="D275" s="2"/>
      <c r="E275" s="2" t="s">
        <v>85</v>
      </c>
      <c r="F275" s="2" t="s">
        <v>84</v>
      </c>
      <c r="G275" s="2" t="s">
        <v>86</v>
      </c>
      <c r="H275" s="2">
        <v>13</v>
      </c>
      <c r="I275" s="2">
        <v>3539</v>
      </c>
      <c r="J275" s="2">
        <v>12.9</v>
      </c>
      <c r="K275" s="2">
        <v>6.5</v>
      </c>
      <c r="L275" s="2"/>
      <c r="M275" s="2">
        <v>1.25830573921179</v>
      </c>
      <c r="N275" s="2">
        <v>397.388888888888</v>
      </c>
      <c r="O275" s="2">
        <v>46.921427625023902</v>
      </c>
      <c r="P275" s="2">
        <v>0.22222222222222199</v>
      </c>
      <c r="Q275" s="2">
        <v>0.19245008972987501</v>
      </c>
      <c r="R275" s="2">
        <v>0.88888888888888795</v>
      </c>
      <c r="S275" s="2">
        <v>0.96225044864937603</v>
      </c>
      <c r="T275" s="2">
        <v>3.7222222222222201</v>
      </c>
      <c r="U275" s="2">
        <v>0.85526690657448001</v>
      </c>
      <c r="V275" s="2">
        <v>0</v>
      </c>
      <c r="W275" s="2">
        <v>0</v>
      </c>
      <c r="X275" s="2">
        <v>0.83333333333333304</v>
      </c>
      <c r="Y275" s="2">
        <v>0.57735026918962495</v>
      </c>
      <c r="Z275" s="7">
        <v>105.688534278959</v>
      </c>
      <c r="AA275" s="2">
        <v>12.479103091761701</v>
      </c>
      <c r="AB275" s="7">
        <v>70.909090909090907</v>
      </c>
      <c r="AC275" s="2">
        <v>13.7269717004923</v>
      </c>
      <c r="AD275" s="2">
        <v>96.057347670250905</v>
      </c>
      <c r="AE275" s="2">
        <v>22.071404040631698</v>
      </c>
      <c r="AF275" s="2">
        <v>44.4444444444444</v>
      </c>
      <c r="AG275" s="2">
        <v>38.490017945974998</v>
      </c>
      <c r="AH275" s="2">
        <v>85.3333333333333</v>
      </c>
      <c r="AI275" s="2">
        <v>92.376043070340103</v>
      </c>
      <c r="AJ275"/>
      <c r="AK275"/>
      <c r="AL275" s="2">
        <v>153.84615384615299</v>
      </c>
      <c r="AM275" s="2">
        <v>106.587742004238</v>
      </c>
      <c r="AN275"/>
      <c r="AO275"/>
    </row>
    <row r="276" spans="1:41" ht="15.75" hidden="1" customHeight="1" x14ac:dyDescent="0.45">
      <c r="A276" s="2" t="s">
        <v>125</v>
      </c>
      <c r="C276" s="2">
        <v>0.03</v>
      </c>
      <c r="D276" s="2"/>
      <c r="E276" s="2" t="s">
        <v>85</v>
      </c>
      <c r="F276" s="2" t="s">
        <v>84</v>
      </c>
      <c r="G276" s="2" t="s">
        <v>86</v>
      </c>
      <c r="H276" s="2">
        <v>13</v>
      </c>
      <c r="I276" s="2">
        <v>3539</v>
      </c>
      <c r="J276" s="2">
        <v>12.9</v>
      </c>
      <c r="K276" s="2">
        <v>7.9444444444444402</v>
      </c>
      <c r="L276" s="2"/>
      <c r="M276" s="2">
        <v>0.94770678384620799</v>
      </c>
      <c r="N276" s="2">
        <v>371.11111111111097</v>
      </c>
      <c r="O276" s="2">
        <v>49.148395851897298</v>
      </c>
      <c r="P276" s="2">
        <v>0.5</v>
      </c>
      <c r="Q276" s="2">
        <v>0</v>
      </c>
      <c r="R276" s="2">
        <v>1.1666666666666601</v>
      </c>
      <c r="S276" s="2">
        <v>1.0137937550497</v>
      </c>
      <c r="T276" s="2">
        <v>3.8333333333333299</v>
      </c>
      <c r="U276" s="2">
        <v>1.25830573921179</v>
      </c>
      <c r="V276" s="2">
        <v>0</v>
      </c>
      <c r="W276" s="2">
        <v>0</v>
      </c>
      <c r="X276" s="2">
        <v>0.44444444444444398</v>
      </c>
      <c r="Y276" s="2">
        <v>9.6225044864937798E-2</v>
      </c>
      <c r="Z276" s="7">
        <v>98.699763593380595</v>
      </c>
      <c r="AA276" s="2">
        <v>13.071381875504599</v>
      </c>
      <c r="AB276" s="7">
        <v>86.6666666666666</v>
      </c>
      <c r="AC276" s="2">
        <v>10.3386194601404</v>
      </c>
      <c r="AD276" s="2">
        <v>98.924731182795597</v>
      </c>
      <c r="AE276" s="2">
        <v>32.472406173207503</v>
      </c>
      <c r="AF276" s="2">
        <v>100</v>
      </c>
      <c r="AG276" s="2">
        <v>0</v>
      </c>
      <c r="AH276" s="2">
        <v>111.99999999999901</v>
      </c>
      <c r="AI276" s="2">
        <v>97.324200484771495</v>
      </c>
      <c r="AJ276"/>
      <c r="AK276"/>
      <c r="AL276" s="2">
        <v>82.051282051282001</v>
      </c>
      <c r="AM276" s="2">
        <v>17.764623667373101</v>
      </c>
      <c r="AN276"/>
      <c r="AO276"/>
    </row>
    <row r="277" spans="1:41" ht="15.75" hidden="1" customHeight="1" x14ac:dyDescent="0.45">
      <c r="A277" s="2" t="s">
        <v>125</v>
      </c>
      <c r="C277" s="2">
        <v>0.1</v>
      </c>
      <c r="D277" s="2"/>
      <c r="E277" s="2" t="s">
        <v>85</v>
      </c>
      <c r="F277" s="2" t="s">
        <v>84</v>
      </c>
      <c r="G277" s="2" t="s">
        <v>86</v>
      </c>
      <c r="H277" s="2">
        <v>13</v>
      </c>
      <c r="I277" s="2">
        <v>3539</v>
      </c>
      <c r="J277" s="2">
        <v>12.9</v>
      </c>
      <c r="K277" s="2">
        <v>6.8888888888888804</v>
      </c>
      <c r="L277" s="2"/>
      <c r="M277" s="2">
        <v>1.1097213530798899</v>
      </c>
      <c r="N277" s="2">
        <v>384.944444444444</v>
      </c>
      <c r="O277" s="2">
        <v>30.845643188360398</v>
      </c>
      <c r="P277" s="2">
        <v>0.5</v>
      </c>
      <c r="Q277" s="2">
        <v>0.33333333333333298</v>
      </c>
      <c r="R277" s="2">
        <v>0.72222222222222199</v>
      </c>
      <c r="S277" s="2">
        <v>0.41943524640392998</v>
      </c>
      <c r="T277" s="2">
        <v>2.2222222222222201</v>
      </c>
      <c r="U277" s="2">
        <v>0.67357531405456295</v>
      </c>
      <c r="V277" s="2">
        <v>5.5555555555555497E-2</v>
      </c>
      <c r="W277" s="2">
        <v>9.6225044864937603E-2</v>
      </c>
      <c r="X277" s="2">
        <v>0.66666666666666596</v>
      </c>
      <c r="Y277" s="2">
        <v>0.16666666666666699</v>
      </c>
      <c r="Z277" s="7">
        <v>102.37884160756499</v>
      </c>
      <c r="AA277" s="2">
        <v>8.20362850754268</v>
      </c>
      <c r="AB277" s="7">
        <v>75.151515151515099</v>
      </c>
      <c r="AC277" s="2">
        <v>12.1060511245079</v>
      </c>
      <c r="AD277" s="2">
        <v>57.347670250896002</v>
      </c>
      <c r="AE277" s="2">
        <v>17.382588749795101</v>
      </c>
      <c r="AF277" s="2">
        <v>100</v>
      </c>
      <c r="AG277" s="2">
        <v>66.6666666666666</v>
      </c>
      <c r="AH277" s="2">
        <v>69.3333333333333</v>
      </c>
      <c r="AI277" s="2">
        <v>40.265783654777302</v>
      </c>
      <c r="AJ277"/>
      <c r="AK277"/>
      <c r="AL277" s="2">
        <v>123.07692307692299</v>
      </c>
      <c r="AM277" s="2">
        <v>30.769230769230798</v>
      </c>
      <c r="AN277"/>
      <c r="AO277"/>
    </row>
    <row r="278" spans="1:41" ht="15.75" hidden="1" customHeight="1" x14ac:dyDescent="0.45">
      <c r="A278" s="2" t="s">
        <v>125</v>
      </c>
      <c r="C278" s="2">
        <v>0.3</v>
      </c>
      <c r="D278" s="2"/>
      <c r="E278" s="2" t="s">
        <v>85</v>
      </c>
      <c r="F278" s="2" t="s">
        <v>84</v>
      </c>
      <c r="G278" s="2" t="s">
        <v>86</v>
      </c>
      <c r="H278" s="2">
        <v>13</v>
      </c>
      <c r="I278" s="2">
        <v>3539</v>
      </c>
      <c r="J278" s="2">
        <v>12.9</v>
      </c>
      <c r="K278" s="2">
        <v>5.8333333333333304</v>
      </c>
      <c r="L278" s="2"/>
      <c r="M278" s="2">
        <v>0.16666666666671101</v>
      </c>
      <c r="N278" s="2">
        <v>386.61111111111097</v>
      </c>
      <c r="O278" s="2">
        <v>15.8852948538122</v>
      </c>
      <c r="P278" s="2">
        <v>0.38888888888888801</v>
      </c>
      <c r="Q278" s="2">
        <v>0.25458753860865702</v>
      </c>
      <c r="R278" s="2">
        <v>0.77777777777777701</v>
      </c>
      <c r="S278" s="2">
        <v>0.41943524640392998</v>
      </c>
      <c r="T278" s="2">
        <v>3.4999999999999898</v>
      </c>
      <c r="U278" s="2">
        <v>0.86602540378443804</v>
      </c>
      <c r="V278" s="2">
        <v>0</v>
      </c>
      <c r="W278" s="2">
        <v>0</v>
      </c>
      <c r="X278" s="2">
        <v>0.66666666666666596</v>
      </c>
      <c r="Y278" s="2">
        <v>0.16666666666666699</v>
      </c>
      <c r="Z278" s="7">
        <v>102.822104018912</v>
      </c>
      <c r="AA278" s="2">
        <v>4.2248124611202797</v>
      </c>
      <c r="AB278" s="7">
        <v>63.636363636363598</v>
      </c>
      <c r="AC278" s="2">
        <v>1.8181818181823</v>
      </c>
      <c r="AD278" s="2">
        <v>90.322580645161196</v>
      </c>
      <c r="AE278" s="2">
        <v>22.349042678307999</v>
      </c>
      <c r="AF278" s="2">
        <v>77.7777777777777</v>
      </c>
      <c r="AG278" s="2">
        <v>50.917507721731504</v>
      </c>
      <c r="AH278" s="2">
        <v>74.6666666666666</v>
      </c>
      <c r="AI278" s="2">
        <v>40.265783654777302</v>
      </c>
      <c r="AJ278"/>
      <c r="AK278"/>
      <c r="AL278" s="2">
        <v>123.07692307692299</v>
      </c>
      <c r="AM278" s="2">
        <v>30.769230769230798</v>
      </c>
      <c r="AN278"/>
      <c r="AO278"/>
    </row>
    <row r="279" spans="1:41" ht="15.75" hidden="1" customHeight="1" x14ac:dyDescent="0.45">
      <c r="A279" s="2" t="s">
        <v>125</v>
      </c>
      <c r="C279" s="2">
        <v>1</v>
      </c>
      <c r="D279" s="2"/>
      <c r="E279" s="2" t="s">
        <v>85</v>
      </c>
      <c r="F279" s="2" t="s">
        <v>84</v>
      </c>
      <c r="G279" s="2" t="s">
        <v>86</v>
      </c>
      <c r="H279" s="2">
        <v>13</v>
      </c>
      <c r="I279" s="2">
        <v>3539</v>
      </c>
      <c r="J279" s="2">
        <v>12.9</v>
      </c>
      <c r="K279" s="2">
        <v>4.6666666666666599</v>
      </c>
      <c r="L279" s="2"/>
      <c r="M279" s="2">
        <v>2.40370085030932</v>
      </c>
      <c r="N279" s="2">
        <v>387.05555555555497</v>
      </c>
      <c r="O279" s="2">
        <v>25.954197548187299</v>
      </c>
      <c r="P279" s="2">
        <v>0.5</v>
      </c>
      <c r="Q279" s="2">
        <v>7.4505805969238199E-9</v>
      </c>
      <c r="R279" s="2">
        <v>0.22222222222222199</v>
      </c>
      <c r="S279" s="2">
        <v>0.38490017945975002</v>
      </c>
      <c r="T279" s="2">
        <v>3.6111111111111098</v>
      </c>
      <c r="U279" s="2">
        <v>1.13447654759234</v>
      </c>
      <c r="V279" s="2">
        <v>0</v>
      </c>
      <c r="W279" s="2">
        <v>0</v>
      </c>
      <c r="X279" s="2">
        <v>0.33333333333333298</v>
      </c>
      <c r="Y279" s="2">
        <v>5.2683560638617502E-9</v>
      </c>
      <c r="Z279" s="7">
        <v>102.940307328605</v>
      </c>
      <c r="AA279" s="2">
        <v>6.9027121138796197</v>
      </c>
      <c r="AB279" s="7">
        <v>50.909090909090899</v>
      </c>
      <c r="AC279" s="2">
        <v>26.222191094283499</v>
      </c>
      <c r="AD279" s="2">
        <v>93.189964157706001</v>
      </c>
      <c r="AE279" s="2">
        <v>29.2768141314152</v>
      </c>
      <c r="AF279" s="2">
        <v>100</v>
      </c>
      <c r="AG279" s="2">
        <v>1.4901161193847599E-6</v>
      </c>
      <c r="AH279" s="2">
        <v>21.3333333333333</v>
      </c>
      <c r="AI279" s="2">
        <v>36.950417228135997</v>
      </c>
      <c r="AJ279"/>
      <c r="AK279"/>
      <c r="AL279" s="2">
        <v>61.538461538461497</v>
      </c>
      <c r="AM279" s="2">
        <v>9.7261958102063097E-7</v>
      </c>
      <c r="AN279"/>
      <c r="AO279"/>
    </row>
    <row r="280" spans="1:41" ht="15.75" hidden="1" customHeight="1" x14ac:dyDescent="0.45">
      <c r="A280" s="2" t="s">
        <v>125</v>
      </c>
      <c r="C280" s="2">
        <v>3</v>
      </c>
      <c r="D280" s="2"/>
      <c r="E280" s="2" t="s">
        <v>85</v>
      </c>
      <c r="F280" s="2" t="s">
        <v>84</v>
      </c>
      <c r="G280" s="2" t="s">
        <v>86</v>
      </c>
      <c r="H280" s="2">
        <v>13</v>
      </c>
      <c r="I280" s="2">
        <v>3539</v>
      </c>
      <c r="J280" s="2">
        <v>12.9</v>
      </c>
      <c r="K280" s="2">
        <v>0.66666666666666596</v>
      </c>
      <c r="L280" s="2"/>
      <c r="M280" s="2">
        <v>0.44095855184409799</v>
      </c>
      <c r="N280" s="2">
        <v>287.388888888888</v>
      </c>
      <c r="O280" s="2">
        <v>46.012478178730703</v>
      </c>
      <c r="P280" s="2">
        <v>0.27777777777777701</v>
      </c>
      <c r="Q280" s="2">
        <v>0.25458753860865702</v>
      </c>
      <c r="R280" s="2">
        <v>0</v>
      </c>
      <c r="S280" s="2">
        <v>0</v>
      </c>
      <c r="T280" s="2">
        <v>3.5</v>
      </c>
      <c r="U280" s="2">
        <v>0.92796072713833799</v>
      </c>
      <c r="V280" s="2">
        <v>0</v>
      </c>
      <c r="W280" s="2">
        <v>0</v>
      </c>
      <c r="X280" s="2">
        <v>0.61111111111111105</v>
      </c>
      <c r="Y280" s="2">
        <v>0.19245008972987501</v>
      </c>
      <c r="Z280" s="7">
        <v>76.433215130023598</v>
      </c>
      <c r="AA280" s="2">
        <v>12.2373612177475</v>
      </c>
      <c r="AB280" s="7">
        <v>7.2727272727272698</v>
      </c>
      <c r="AC280" s="2">
        <v>4.8104569292083497</v>
      </c>
      <c r="AD280" s="2">
        <v>90.322580645161196</v>
      </c>
      <c r="AE280" s="2">
        <v>23.94737360357</v>
      </c>
      <c r="AF280" s="2">
        <v>55.5555555555555</v>
      </c>
      <c r="AG280" s="2">
        <v>50.917507721731504</v>
      </c>
      <c r="AH280" s="2">
        <v>0</v>
      </c>
      <c r="AI280" s="2">
        <v>0</v>
      </c>
      <c r="AJ280"/>
      <c r="AK280"/>
      <c r="AL280" s="2">
        <v>112.82051282051199</v>
      </c>
      <c r="AM280" s="2">
        <v>35.529247334746202</v>
      </c>
      <c r="AN280"/>
      <c r="AO280"/>
    </row>
    <row r="281" spans="1:41" ht="15.75" hidden="1" customHeight="1" x14ac:dyDescent="0.45">
      <c r="A281" s="2" t="s">
        <v>125</v>
      </c>
      <c r="C281" s="2">
        <v>10</v>
      </c>
      <c r="D281" s="2"/>
      <c r="E281" s="2" t="s">
        <v>85</v>
      </c>
      <c r="F281" s="2" t="s">
        <v>84</v>
      </c>
      <c r="G281" s="2" t="s">
        <v>86</v>
      </c>
      <c r="H281" s="2">
        <v>13</v>
      </c>
      <c r="I281" s="2">
        <v>3539</v>
      </c>
      <c r="J281" s="2">
        <v>12.9</v>
      </c>
      <c r="K281" s="2">
        <v>0.27777777777777701</v>
      </c>
      <c r="L281" s="2"/>
      <c r="M281" s="2">
        <v>9.62250448649377E-2</v>
      </c>
      <c r="N281" s="2">
        <v>226.055555555555</v>
      </c>
      <c r="O281" s="2">
        <v>13.360735730462901</v>
      </c>
      <c r="P281" s="2">
        <v>0.11111111111111099</v>
      </c>
      <c r="Q281" s="2">
        <v>9.6225044864937603E-2</v>
      </c>
      <c r="R281" s="2">
        <v>0.33333333333333298</v>
      </c>
      <c r="S281" s="2">
        <v>0.44095855184409799</v>
      </c>
      <c r="T281" s="2">
        <v>14</v>
      </c>
      <c r="U281" s="2">
        <v>1</v>
      </c>
      <c r="V281" s="2">
        <v>5.5555555555555497E-2</v>
      </c>
      <c r="W281" s="2">
        <v>9.6225044864937603E-2</v>
      </c>
      <c r="X281" s="2">
        <v>2.2222222222222201</v>
      </c>
      <c r="Y281" s="2">
        <v>0.34694433324435597</v>
      </c>
      <c r="Z281" s="7">
        <v>60.1211583924349</v>
      </c>
      <c r="AA281" s="2">
        <v>3.5533871623571698</v>
      </c>
      <c r="AB281" s="7">
        <v>3.0303030303030298</v>
      </c>
      <c r="AC281" s="2">
        <v>1.0497277621629499</v>
      </c>
      <c r="AD281" s="2">
        <v>361.29032258064501</v>
      </c>
      <c r="AE281" s="2">
        <v>25.806451612903199</v>
      </c>
      <c r="AF281" s="2">
        <v>22.2222222222222</v>
      </c>
      <c r="AG281" s="2">
        <v>19.245008972987499</v>
      </c>
      <c r="AH281" s="2">
        <v>31.999999999999901</v>
      </c>
      <c r="AI281" s="2">
        <v>42.332020977033402</v>
      </c>
      <c r="AJ281"/>
      <c r="AK281"/>
      <c r="AL281" s="2">
        <v>410.25641025640999</v>
      </c>
      <c r="AM281" s="2">
        <v>64.051261522035006</v>
      </c>
      <c r="AN281"/>
      <c r="AO281"/>
    </row>
    <row r="282" spans="1:41" ht="15.75" hidden="1" customHeight="1" x14ac:dyDescent="0.45">
      <c r="A282" s="2" t="s">
        <v>125</v>
      </c>
      <c r="C282" s="2">
        <v>3.0000000000000001E-3</v>
      </c>
      <c r="D282" s="2"/>
      <c r="E282" s="2" t="s">
        <v>85</v>
      </c>
      <c r="F282" s="2" t="s">
        <v>84</v>
      </c>
      <c r="G282" s="2" t="s">
        <v>111</v>
      </c>
      <c r="H282" s="2" t="s">
        <v>87</v>
      </c>
      <c r="I282" s="2">
        <v>3539</v>
      </c>
      <c r="K282" s="2">
        <v>3.88888888888888</v>
      </c>
      <c r="L282" s="2"/>
      <c r="M282" s="2">
        <v>0.82214714371937303</v>
      </c>
      <c r="N282" s="2">
        <v>276.666666666666</v>
      </c>
      <c r="O282" s="2">
        <v>46.680950195032501</v>
      </c>
      <c r="P282" s="2">
        <v>0.5</v>
      </c>
      <c r="Q282" s="2">
        <v>0.16666666666666599</v>
      </c>
      <c r="R282" s="2">
        <v>0.22222222222222199</v>
      </c>
      <c r="S282" s="2">
        <v>0.25458753860865702</v>
      </c>
      <c r="T282" s="2">
        <v>4.8888888888888804</v>
      </c>
      <c r="U282" s="2">
        <v>1.68599898949927</v>
      </c>
      <c r="V282" s="2">
        <v>0</v>
      </c>
      <c r="W282" s="2">
        <v>0</v>
      </c>
      <c r="X282" s="2">
        <v>0.38888888888888801</v>
      </c>
      <c r="Y282" s="2">
        <v>9.6225044864937395E-2</v>
      </c>
      <c r="Z282" s="7">
        <v>106.427312069241</v>
      </c>
      <c r="AA282" s="2">
        <v>17.957089352152199</v>
      </c>
      <c r="AB282" s="7">
        <v>88.8888888888889</v>
      </c>
      <c r="AC282" s="2">
        <v>18.791934713585601</v>
      </c>
      <c r="AD282" s="2">
        <v>133.333333333333</v>
      </c>
      <c r="AE282" s="2">
        <v>45.9817906227075</v>
      </c>
      <c r="AF282" s="2">
        <v>57.142857142857103</v>
      </c>
      <c r="AG282" s="2">
        <v>19.047619047619001</v>
      </c>
      <c r="AH282" s="2">
        <v>266.666666666666</v>
      </c>
      <c r="AI282" s="2">
        <v>305.50504633038901</v>
      </c>
      <c r="AJ282" s="2">
        <v>0</v>
      </c>
      <c r="AK282" s="2">
        <v>0</v>
      </c>
      <c r="AL282" s="2">
        <v>103.703703703703</v>
      </c>
      <c r="AM282" s="2">
        <v>25.660011963983301</v>
      </c>
      <c r="AN282"/>
      <c r="AO282"/>
    </row>
    <row r="283" spans="1:41" ht="15.75" hidden="1" customHeight="1" x14ac:dyDescent="0.45">
      <c r="A283" s="2" t="s">
        <v>125</v>
      </c>
      <c r="C283" s="2">
        <v>0.01</v>
      </c>
      <c r="D283" s="2"/>
      <c r="E283" s="2" t="s">
        <v>85</v>
      </c>
      <c r="F283" s="2" t="s">
        <v>84</v>
      </c>
      <c r="G283" s="2" t="s">
        <v>111</v>
      </c>
      <c r="H283" s="2" t="s">
        <v>87</v>
      </c>
      <c r="I283" s="2">
        <v>3539</v>
      </c>
      <c r="K283" s="2">
        <v>3.55555555555555</v>
      </c>
      <c r="L283" s="2"/>
      <c r="M283" s="2">
        <v>0.94770678384622098</v>
      </c>
      <c r="N283" s="2">
        <v>293.83333333333297</v>
      </c>
      <c r="O283" s="2">
        <v>52.595944076832801</v>
      </c>
      <c r="P283" s="2">
        <v>0.5</v>
      </c>
      <c r="Q283" s="2">
        <v>0.16666666666666599</v>
      </c>
      <c r="R283" s="2">
        <v>5.5555555555555497E-2</v>
      </c>
      <c r="S283" s="2">
        <v>9.6225044864937603E-2</v>
      </c>
      <c r="T283" s="2">
        <v>2.7222222222222201</v>
      </c>
      <c r="U283" s="2">
        <v>0.96225044864937703</v>
      </c>
      <c r="V283" s="2">
        <v>0</v>
      </c>
      <c r="W283" s="2">
        <v>0</v>
      </c>
      <c r="X283" s="2">
        <v>0.44444444444444398</v>
      </c>
      <c r="Y283" s="2">
        <v>0.25458753860865702</v>
      </c>
      <c r="Z283" s="7">
        <v>113.03093444462201</v>
      </c>
      <c r="AA283" s="2">
        <v>20.232451640390899</v>
      </c>
      <c r="AB283" s="7">
        <v>81.269841269841194</v>
      </c>
      <c r="AC283" s="2">
        <v>21.661869345056399</v>
      </c>
      <c r="AD283" s="2">
        <v>74.242424242424207</v>
      </c>
      <c r="AE283" s="2">
        <v>26.2431940540739</v>
      </c>
      <c r="AF283" s="2">
        <v>57.142857142857103</v>
      </c>
      <c r="AG283" s="2">
        <v>19.047619047619001</v>
      </c>
      <c r="AH283" s="2">
        <v>66.6666666666666</v>
      </c>
      <c r="AI283" s="2">
        <v>115.47005383792499</v>
      </c>
      <c r="AJ283" s="2">
        <v>0</v>
      </c>
      <c r="AK283" s="2">
        <v>0</v>
      </c>
      <c r="AL283" s="2">
        <v>118.51851851851799</v>
      </c>
      <c r="AM283" s="2">
        <v>67.890010295642</v>
      </c>
      <c r="AN283"/>
      <c r="AO283"/>
    </row>
    <row r="284" spans="1:41" ht="15.75" hidden="1" customHeight="1" x14ac:dyDescent="0.45">
      <c r="A284" s="2" t="s">
        <v>125</v>
      </c>
      <c r="C284" s="2">
        <v>0.03</v>
      </c>
      <c r="D284" s="2"/>
      <c r="E284" s="2" t="s">
        <v>85</v>
      </c>
      <c r="F284" s="2" t="s">
        <v>84</v>
      </c>
      <c r="G284" s="2" t="s">
        <v>111</v>
      </c>
      <c r="H284" s="2" t="s">
        <v>87</v>
      </c>
      <c r="I284" s="2">
        <v>3539</v>
      </c>
      <c r="K284" s="2">
        <v>4.9444444444444402</v>
      </c>
      <c r="L284" s="2"/>
      <c r="M284" s="2">
        <v>0.53575837561072004</v>
      </c>
      <c r="N284" s="2">
        <v>265</v>
      </c>
      <c r="O284" s="2">
        <v>10.5882534495109</v>
      </c>
      <c r="P284" s="2">
        <v>0.83333333333333304</v>
      </c>
      <c r="Q284" s="2">
        <v>0.499999999999999</v>
      </c>
      <c r="R284" s="2">
        <v>0.33333333333333298</v>
      </c>
      <c r="S284" s="2">
        <v>0.28867513459481198</v>
      </c>
      <c r="T284" s="2">
        <v>3.5</v>
      </c>
      <c r="U284" s="2">
        <v>0.600925212577334</v>
      </c>
      <c r="V284" s="2">
        <v>0</v>
      </c>
      <c r="W284" s="2">
        <v>0</v>
      </c>
      <c r="X284" s="2">
        <v>0.61111111111111105</v>
      </c>
      <c r="Y284" s="2">
        <v>0.34694433324435497</v>
      </c>
      <c r="Z284" s="7">
        <v>101.939413367526</v>
      </c>
      <c r="AA284" s="2">
        <v>4.0730579065276897</v>
      </c>
      <c r="AB284" s="7">
        <v>113.015873015873</v>
      </c>
      <c r="AC284" s="2">
        <v>12.245905728245001</v>
      </c>
      <c r="AD284" s="2">
        <v>95.454545454545396</v>
      </c>
      <c r="AE284" s="2">
        <v>16.388869433927201</v>
      </c>
      <c r="AF284" s="2">
        <v>95.238095238095198</v>
      </c>
      <c r="AG284" s="2">
        <v>57.142857142857103</v>
      </c>
      <c r="AH284" s="2">
        <v>399.99999999999898</v>
      </c>
      <c r="AI284" s="2">
        <v>346.41016151377499</v>
      </c>
      <c r="AJ284" s="2">
        <v>0</v>
      </c>
      <c r="AK284" s="2">
        <v>0</v>
      </c>
      <c r="AL284" s="2">
        <v>162.96296296296299</v>
      </c>
      <c r="AM284" s="2">
        <v>92.518488865161402</v>
      </c>
      <c r="AN284"/>
      <c r="AO284"/>
    </row>
    <row r="285" spans="1:41" ht="15.75" hidden="1" customHeight="1" x14ac:dyDescent="0.45">
      <c r="A285" s="2" t="s">
        <v>125</v>
      </c>
      <c r="C285" s="2">
        <v>0.1</v>
      </c>
      <c r="D285" s="2"/>
      <c r="E285" s="2" t="s">
        <v>85</v>
      </c>
      <c r="F285" s="2" t="s">
        <v>84</v>
      </c>
      <c r="G285" s="2" t="s">
        <v>111</v>
      </c>
      <c r="H285" s="2" t="s">
        <v>87</v>
      </c>
      <c r="I285" s="2">
        <v>3539</v>
      </c>
      <c r="K285" s="2">
        <v>3.55555555555555</v>
      </c>
      <c r="L285" s="2"/>
      <c r="M285" s="2">
        <v>0.25458753860866101</v>
      </c>
      <c r="N285" s="2">
        <v>298.388888888888</v>
      </c>
      <c r="O285" s="2">
        <v>67.973919290443305</v>
      </c>
      <c r="P285" s="2">
        <v>0.5</v>
      </c>
      <c r="Q285" s="2">
        <v>0.28867513459481198</v>
      </c>
      <c r="R285" s="2">
        <v>0.72222222222222199</v>
      </c>
      <c r="S285" s="2">
        <v>0.53575837561071904</v>
      </c>
      <c r="T285" s="2">
        <v>4.55555555555555</v>
      </c>
      <c r="U285" s="2">
        <v>1.5840641588203499</v>
      </c>
      <c r="V285" s="2">
        <v>0</v>
      </c>
      <c r="W285" s="2">
        <v>0</v>
      </c>
      <c r="X285" s="2">
        <v>0.61111111111111105</v>
      </c>
      <c r="Y285" s="2">
        <v>0.25458753860865702</v>
      </c>
      <c r="Z285" s="7">
        <v>114.783352032911</v>
      </c>
      <c r="AA285" s="2">
        <v>26.1480054972053</v>
      </c>
      <c r="AB285" s="7">
        <v>81.269841269841194</v>
      </c>
      <c r="AC285" s="2">
        <v>5.81914373962654</v>
      </c>
      <c r="AD285" s="2">
        <v>124.24242424242399</v>
      </c>
      <c r="AE285" s="2">
        <v>43.2017497860097</v>
      </c>
      <c r="AF285" s="2">
        <v>57.142857142857103</v>
      </c>
      <c r="AG285" s="2">
        <v>32.991443953692801</v>
      </c>
      <c r="AH285" s="2">
        <v>866.66666666666595</v>
      </c>
      <c r="AI285" s="2">
        <v>642.91005073286306</v>
      </c>
      <c r="AJ285" s="2">
        <v>0</v>
      </c>
      <c r="AK285" s="2">
        <v>0</v>
      </c>
      <c r="AL285" s="2">
        <v>162.96296296296299</v>
      </c>
      <c r="AM285" s="2">
        <v>67.890010295642099</v>
      </c>
      <c r="AN285"/>
      <c r="AO285"/>
    </row>
    <row r="286" spans="1:41" ht="15.75" hidden="1" customHeight="1" x14ac:dyDescent="0.45">
      <c r="A286" s="2" t="s">
        <v>125</v>
      </c>
      <c r="C286" s="2">
        <v>0.3</v>
      </c>
      <c r="D286" s="2"/>
      <c r="E286" s="2" t="s">
        <v>85</v>
      </c>
      <c r="F286" s="2" t="s">
        <v>84</v>
      </c>
      <c r="G286" s="2" t="s">
        <v>111</v>
      </c>
      <c r="H286" s="2" t="s">
        <v>87</v>
      </c>
      <c r="I286" s="2">
        <v>3539</v>
      </c>
      <c r="K286" s="2">
        <v>2.3333333333333299</v>
      </c>
      <c r="L286" s="2"/>
      <c r="M286" s="2">
        <v>0.57735026918962595</v>
      </c>
      <c r="N286" s="2">
        <v>246.333333333333</v>
      </c>
      <c r="O286" s="2">
        <v>32.419558568521403</v>
      </c>
      <c r="P286" s="2">
        <v>0.44444444444444398</v>
      </c>
      <c r="Q286" s="2">
        <v>0.19245008972987501</v>
      </c>
      <c r="R286" s="2">
        <v>5.5555555555555497E-2</v>
      </c>
      <c r="S286" s="2">
        <v>9.6225044864937603E-2</v>
      </c>
      <c r="T286" s="2">
        <v>4.1666666666666599</v>
      </c>
      <c r="U286" s="2">
        <v>0.166666666666658</v>
      </c>
      <c r="V286" s="2">
        <v>0</v>
      </c>
      <c r="W286" s="2">
        <v>0</v>
      </c>
      <c r="X286" s="2">
        <v>0.33333333333333298</v>
      </c>
      <c r="Y286" s="2">
        <v>0.33333333333333298</v>
      </c>
      <c r="Z286" s="7">
        <v>94.758775444782799</v>
      </c>
      <c r="AA286" s="2">
        <v>12.4710595551292</v>
      </c>
      <c r="AB286" s="7">
        <v>53.3333333333333</v>
      </c>
      <c r="AC286" s="2">
        <v>13.196577581477101</v>
      </c>
      <c r="AD286" s="2">
        <v>113.636363636363</v>
      </c>
      <c r="AE286" s="2">
        <v>4.5454545454543096</v>
      </c>
      <c r="AF286" s="2">
        <v>50.793650793650698</v>
      </c>
      <c r="AG286" s="2">
        <v>21.994295969128501</v>
      </c>
      <c r="AH286" s="2">
        <v>66.6666666666666</v>
      </c>
      <c r="AI286" s="2">
        <v>115.47005383792499</v>
      </c>
      <c r="AJ286" s="2">
        <v>0</v>
      </c>
      <c r="AK286" s="2">
        <v>0</v>
      </c>
      <c r="AL286" s="2">
        <v>88.8888888888889</v>
      </c>
      <c r="AM286" s="2">
        <v>88.8888888888889</v>
      </c>
      <c r="AN286"/>
      <c r="AO286"/>
    </row>
    <row r="287" spans="1:41" ht="15.75" hidden="1" customHeight="1" x14ac:dyDescent="0.45">
      <c r="A287" s="2" t="s">
        <v>125</v>
      </c>
      <c r="C287" s="2">
        <v>1</v>
      </c>
      <c r="D287" s="2"/>
      <c r="E287" s="2" t="s">
        <v>85</v>
      </c>
      <c r="F287" s="2" t="s">
        <v>84</v>
      </c>
      <c r="G287" s="2" t="s">
        <v>111</v>
      </c>
      <c r="H287" s="2" t="s">
        <v>87</v>
      </c>
      <c r="I287" s="2">
        <v>3539</v>
      </c>
      <c r="K287" s="2">
        <v>0.94444444444444398</v>
      </c>
      <c r="L287" s="2"/>
      <c r="M287" s="2">
        <v>0.19245008972987501</v>
      </c>
      <c r="N287" s="2">
        <v>265.11111111111097</v>
      </c>
      <c r="O287" s="2">
        <v>21.1931155837962</v>
      </c>
      <c r="P287" s="2">
        <v>0.5</v>
      </c>
      <c r="Q287" s="2">
        <v>0.33333333333333298</v>
      </c>
      <c r="R287" s="2">
        <v>5.5555555555555497E-2</v>
      </c>
      <c r="S287" s="2">
        <v>9.6225044864937603E-2</v>
      </c>
      <c r="T287" s="2">
        <v>5</v>
      </c>
      <c r="U287" s="2">
        <v>1.0137937550497</v>
      </c>
      <c r="V287" s="2">
        <v>0.11111111111111099</v>
      </c>
      <c r="W287" s="2">
        <v>9.6225044864937603E-2</v>
      </c>
      <c r="X287" s="2">
        <v>0.77777777777777701</v>
      </c>
      <c r="Y287" s="2">
        <v>0.69388866648871095</v>
      </c>
      <c r="Z287" s="7">
        <v>101.982155259924</v>
      </c>
      <c r="AA287" s="2">
        <v>8.1525047926127403</v>
      </c>
      <c r="AB287" s="7">
        <v>21.5873015873015</v>
      </c>
      <c r="AC287" s="2">
        <v>4.39885919382571</v>
      </c>
      <c r="AD287" s="2">
        <v>136.363636363636</v>
      </c>
      <c r="AE287" s="2">
        <v>27.648920592264702</v>
      </c>
      <c r="AF287" s="2">
        <v>57.142857142857103</v>
      </c>
      <c r="AG287" s="2">
        <v>38.095238095238003</v>
      </c>
      <c r="AH287" s="2">
        <v>66.6666666666666</v>
      </c>
      <c r="AI287" s="2">
        <v>115.47005383792499</v>
      </c>
      <c r="AJ287" s="2">
        <v>266.666666666666</v>
      </c>
      <c r="AK287" s="2">
        <v>230.94010767584999</v>
      </c>
      <c r="AL287" s="2">
        <v>207.40740740740699</v>
      </c>
      <c r="AM287" s="2">
        <v>185.03697773032201</v>
      </c>
      <c r="AN287"/>
      <c r="AO287"/>
    </row>
    <row r="288" spans="1:41" ht="15.75" hidden="1" customHeight="1" x14ac:dyDescent="0.45">
      <c r="A288" s="2" t="s">
        <v>125</v>
      </c>
      <c r="C288" s="2">
        <v>3</v>
      </c>
      <c r="D288" s="2"/>
      <c r="E288" s="2" t="s">
        <v>85</v>
      </c>
      <c r="F288" s="2" t="s">
        <v>84</v>
      </c>
      <c r="G288" s="2" t="s">
        <v>111</v>
      </c>
      <c r="H288" s="2" t="s">
        <v>87</v>
      </c>
      <c r="I288" s="2">
        <v>3539</v>
      </c>
      <c r="K288" s="2">
        <v>0</v>
      </c>
      <c r="L288" s="2"/>
      <c r="M288" s="2">
        <v>0</v>
      </c>
      <c r="N288" s="2">
        <v>208.611111111111</v>
      </c>
      <c r="O288" s="2">
        <v>26.238401317605</v>
      </c>
      <c r="P288" s="2">
        <v>0.38888888888888801</v>
      </c>
      <c r="Q288" s="2">
        <v>0.25458753860865702</v>
      </c>
      <c r="R288" s="2">
        <v>0.33333333333333298</v>
      </c>
      <c r="S288" s="2">
        <v>0.44095855184409799</v>
      </c>
      <c r="T288" s="2">
        <v>10.5555555555555</v>
      </c>
      <c r="U288" s="2">
        <v>3.7908271353848799</v>
      </c>
      <c r="V288" s="2">
        <v>5.5555555555555497E-2</v>
      </c>
      <c r="W288" s="2">
        <v>9.6225044864937603E-2</v>
      </c>
      <c r="X288" s="2">
        <v>1.6111111111111101</v>
      </c>
      <c r="Y288" s="2">
        <v>0.63098981620003003</v>
      </c>
      <c r="Z288" s="7">
        <v>80.247902975904196</v>
      </c>
      <c r="AA288" s="2">
        <v>10.093310332144901</v>
      </c>
      <c r="AB288" s="7">
        <v>0</v>
      </c>
      <c r="AC288" s="2">
        <v>0</v>
      </c>
      <c r="AD288" s="2">
        <v>287.87878787878702</v>
      </c>
      <c r="AE288" s="2">
        <v>103.38619460140499</v>
      </c>
      <c r="AF288" s="2">
        <v>44.4444444444444</v>
      </c>
      <c r="AG288" s="2">
        <v>29.095718698132298</v>
      </c>
      <c r="AH288" s="2">
        <v>400</v>
      </c>
      <c r="AI288" s="2">
        <v>529.15026221291805</v>
      </c>
      <c r="AJ288" s="2">
        <v>133.333333333333</v>
      </c>
      <c r="AK288" s="2">
        <v>230.94010767584999</v>
      </c>
      <c r="AL288" s="2">
        <v>429.62962962962899</v>
      </c>
      <c r="AM288" s="2">
        <v>168.26395098667399</v>
      </c>
      <c r="AN288"/>
      <c r="AO288"/>
    </row>
    <row r="289" spans="1:41" ht="15.75" hidden="1" customHeight="1" x14ac:dyDescent="0.45">
      <c r="A289" s="2" t="s">
        <v>125</v>
      </c>
      <c r="C289" s="2">
        <v>10</v>
      </c>
      <c r="D289" s="2"/>
      <c r="E289" s="2" t="s">
        <v>85</v>
      </c>
      <c r="F289" s="2" t="s">
        <v>84</v>
      </c>
      <c r="G289" s="2" t="s">
        <v>111</v>
      </c>
      <c r="H289" s="2" t="s">
        <v>87</v>
      </c>
      <c r="I289" s="2">
        <v>3539</v>
      </c>
      <c r="K289" s="2">
        <v>0</v>
      </c>
      <c r="L289" s="2"/>
      <c r="M289" s="2">
        <v>0</v>
      </c>
      <c r="N289" s="2">
        <v>209.722222222222</v>
      </c>
      <c r="O289" s="2">
        <v>34.241922540349101</v>
      </c>
      <c r="P289" s="2">
        <v>0.22222222222222199</v>
      </c>
      <c r="Q289" s="2">
        <v>9.6225044864937603E-2</v>
      </c>
      <c r="R289" s="2">
        <v>0.94444444444444398</v>
      </c>
      <c r="S289" s="2">
        <v>0.85526690657448001</v>
      </c>
      <c r="T289" s="2">
        <v>13</v>
      </c>
      <c r="U289" s="2">
        <v>1.00000000000002</v>
      </c>
      <c r="V289" s="2">
        <v>0.11111111111111099</v>
      </c>
      <c r="W289" s="2">
        <v>9.6225044864937603E-2</v>
      </c>
      <c r="X289" s="2">
        <v>1.94444444444444</v>
      </c>
      <c r="Y289" s="2">
        <v>0.41943524640392998</v>
      </c>
      <c r="Z289" s="7">
        <v>80.675321899877105</v>
      </c>
      <c r="AA289" s="2">
        <v>13.1720811182622</v>
      </c>
      <c r="AB289" s="7">
        <v>0</v>
      </c>
      <c r="AC289" s="2">
        <v>0</v>
      </c>
      <c r="AD289" s="2">
        <v>354.54545454545399</v>
      </c>
      <c r="AE289" s="2">
        <v>27.272727272728002</v>
      </c>
      <c r="AF289" s="2">
        <v>25.396825396825299</v>
      </c>
      <c r="AG289" s="2">
        <v>10.997147984564201</v>
      </c>
      <c r="AH289" s="2">
        <v>1133.3333333333301</v>
      </c>
      <c r="AI289" s="2">
        <v>1026.3202878893701</v>
      </c>
      <c r="AJ289" s="2">
        <v>266.666666666666</v>
      </c>
      <c r="AK289" s="2">
        <v>230.94010767584999</v>
      </c>
      <c r="AL289" s="2">
        <v>518.51851851851802</v>
      </c>
      <c r="AM289" s="2">
        <v>111.849399041048</v>
      </c>
      <c r="AN289"/>
      <c r="AO289"/>
    </row>
    <row r="290" spans="1:41" ht="15.75" hidden="1" customHeight="1" x14ac:dyDescent="0.45">
      <c r="A290" s="2" t="s">
        <v>125</v>
      </c>
      <c r="C290" s="2">
        <v>3.0000000000000001E-3</v>
      </c>
      <c r="D290" s="2"/>
      <c r="E290" s="2" t="s">
        <v>85</v>
      </c>
      <c r="F290" s="2" t="s">
        <v>84</v>
      </c>
      <c r="G290" s="2" t="s">
        <v>86</v>
      </c>
      <c r="H290" s="2" t="s">
        <v>87</v>
      </c>
      <c r="I290" s="2">
        <v>3539</v>
      </c>
      <c r="K290" s="2">
        <v>4.75</v>
      </c>
      <c r="L290" s="2"/>
      <c r="M290" s="2">
        <v>0.54645321035850203</v>
      </c>
      <c r="N290" s="2">
        <v>419.30555555555497</v>
      </c>
      <c r="O290" s="2">
        <v>107.126623329244</v>
      </c>
      <c r="P290" s="2">
        <v>0.63888888888888795</v>
      </c>
      <c r="Q290" s="2">
        <v>0.37577081273524099</v>
      </c>
      <c r="R290" s="2">
        <v>7.7777777777777697</v>
      </c>
      <c r="S290" s="2">
        <v>12.4614219508464</v>
      </c>
      <c r="T290" s="2">
        <v>4.6388888888888804</v>
      </c>
      <c r="U290" s="2">
        <v>0.96585214726186996</v>
      </c>
      <c r="V290" s="2">
        <v>0</v>
      </c>
      <c r="W290" s="2">
        <v>0</v>
      </c>
      <c r="X290" s="2">
        <v>0.75</v>
      </c>
      <c r="Y290" s="2">
        <v>8.3333333333334494E-2</v>
      </c>
      <c r="Z290" s="7">
        <v>116.312220681152</v>
      </c>
      <c r="AA290" s="2">
        <v>29.716122976212102</v>
      </c>
      <c r="AB290" s="7">
        <v>82.014388489208599</v>
      </c>
      <c r="AC290" s="2">
        <v>9.43516334431947</v>
      </c>
      <c r="AD290" s="2">
        <v>114.77663230240501</v>
      </c>
      <c r="AE290" s="2">
        <v>23.897372715757601</v>
      </c>
      <c r="AF290" s="2">
        <v>63.8888888888888</v>
      </c>
      <c r="AG290" s="2">
        <v>37.577081273524101</v>
      </c>
      <c r="AH290" s="2">
        <v>602.15053763440801</v>
      </c>
      <c r="AI290" s="2">
        <v>964.755247807464</v>
      </c>
      <c r="AJ290"/>
      <c r="AK290"/>
      <c r="AL290" s="2">
        <v>128.57142857142799</v>
      </c>
      <c r="AM290" s="2">
        <v>14.2857142857144</v>
      </c>
      <c r="AN290"/>
      <c r="AO290"/>
    </row>
    <row r="291" spans="1:41" ht="15.75" hidden="1" customHeight="1" x14ac:dyDescent="0.45">
      <c r="A291" s="2" t="s">
        <v>125</v>
      </c>
      <c r="C291" s="2">
        <v>0.01</v>
      </c>
      <c r="D291" s="2"/>
      <c r="E291" s="2" t="s">
        <v>85</v>
      </c>
      <c r="F291" s="2" t="s">
        <v>84</v>
      </c>
      <c r="G291" s="2" t="s">
        <v>86</v>
      </c>
      <c r="H291" s="2" t="s">
        <v>87</v>
      </c>
      <c r="I291" s="2">
        <v>3539</v>
      </c>
      <c r="K291" s="2">
        <v>5.4444444444444402</v>
      </c>
      <c r="L291" s="2"/>
      <c r="M291" s="2">
        <v>0.38490017945974597</v>
      </c>
      <c r="N291" s="2">
        <v>364.33333333333297</v>
      </c>
      <c r="O291" s="2">
        <v>47.0144776756173</v>
      </c>
      <c r="P291" s="2">
        <v>0.72222222222222199</v>
      </c>
      <c r="Q291" s="2">
        <v>0.19245008972987501</v>
      </c>
      <c r="R291" s="2">
        <v>1</v>
      </c>
      <c r="S291" s="2">
        <v>0.33333333333333298</v>
      </c>
      <c r="T291" s="2">
        <v>3.38888888888888</v>
      </c>
      <c r="U291" s="2">
        <v>0.97657754618038695</v>
      </c>
      <c r="V291" s="2">
        <v>0</v>
      </c>
      <c r="W291" s="2">
        <v>0</v>
      </c>
      <c r="X291" s="2">
        <v>0.66666666666666596</v>
      </c>
      <c r="Y291" s="2">
        <v>0.44095855184409799</v>
      </c>
      <c r="Z291" s="7">
        <v>101.06333795654101</v>
      </c>
      <c r="AA291" s="2">
        <v>13.0414639876885</v>
      </c>
      <c r="AB291" s="7">
        <v>94.0047961630695</v>
      </c>
      <c r="AC291" s="2">
        <v>6.6457584942689998</v>
      </c>
      <c r="AD291" s="2">
        <v>83.848797250859107</v>
      </c>
      <c r="AE291" s="2">
        <v>24.162743410648702</v>
      </c>
      <c r="AF291" s="2">
        <v>72.2222222222222</v>
      </c>
      <c r="AG291" s="2">
        <v>19.245008972987499</v>
      </c>
      <c r="AH291" s="2">
        <v>77.419354838709594</v>
      </c>
      <c r="AI291" s="2">
        <v>25.806451612903199</v>
      </c>
      <c r="AJ291"/>
      <c r="AK291"/>
      <c r="AL291" s="2">
        <v>114.28571428571399</v>
      </c>
      <c r="AM291" s="2">
        <v>75.592894601845401</v>
      </c>
      <c r="AN291"/>
      <c r="AO291"/>
    </row>
    <row r="292" spans="1:41" ht="15.75" hidden="1" customHeight="1" x14ac:dyDescent="0.45">
      <c r="A292" s="2" t="s">
        <v>125</v>
      </c>
      <c r="C292" s="2">
        <v>0.03</v>
      </c>
      <c r="D292" s="2"/>
      <c r="E292" s="2" t="s">
        <v>85</v>
      </c>
      <c r="F292" s="2" t="s">
        <v>84</v>
      </c>
      <c r="G292" s="2" t="s">
        <v>86</v>
      </c>
      <c r="H292" s="2" t="s">
        <v>87</v>
      </c>
      <c r="I292" s="2">
        <v>3539</v>
      </c>
      <c r="K292" s="2">
        <v>4.3333333333333304</v>
      </c>
      <c r="L292" s="2"/>
      <c r="M292" s="2">
        <v>0.166666666666658</v>
      </c>
      <c r="N292" s="2">
        <v>422.444444444444</v>
      </c>
      <c r="O292" s="2">
        <v>46.4764974456426</v>
      </c>
      <c r="P292" s="2">
        <v>0.66666666666666596</v>
      </c>
      <c r="Q292" s="2">
        <v>0.16666666666666599</v>
      </c>
      <c r="R292" s="2">
        <v>0.88888888888888795</v>
      </c>
      <c r="S292" s="2">
        <v>0.78763593770876805</v>
      </c>
      <c r="T292" s="2">
        <v>5.7777777777777697</v>
      </c>
      <c r="U292" s="2">
        <v>0.97657754618038795</v>
      </c>
      <c r="V292" s="2">
        <v>0</v>
      </c>
      <c r="W292" s="2">
        <v>0</v>
      </c>
      <c r="X292" s="2">
        <v>0.66666666666666596</v>
      </c>
      <c r="Y292" s="2">
        <v>0.16666666666666699</v>
      </c>
      <c r="Z292" s="7">
        <v>117.18292494991501</v>
      </c>
      <c r="AA292" s="2">
        <v>12.8922323011491</v>
      </c>
      <c r="AB292" s="7">
        <v>74.820143884892005</v>
      </c>
      <c r="AC292" s="2">
        <v>2.8776978417264698</v>
      </c>
      <c r="AD292" s="2">
        <v>142.95532646048099</v>
      </c>
      <c r="AE292" s="2">
        <v>24.162743410648702</v>
      </c>
      <c r="AF292" s="2">
        <v>66.6666666666666</v>
      </c>
      <c r="AG292" s="2">
        <v>16.6666666666666</v>
      </c>
      <c r="AH292" s="2">
        <v>68.817204301075193</v>
      </c>
      <c r="AI292" s="2">
        <v>60.978266145194901</v>
      </c>
      <c r="AJ292"/>
      <c r="AK292"/>
      <c r="AL292" s="2">
        <v>114.28571428571399</v>
      </c>
      <c r="AM292" s="2">
        <v>28.571428571428601</v>
      </c>
      <c r="AN292"/>
      <c r="AO292"/>
    </row>
    <row r="293" spans="1:41" ht="15.75" hidden="1" customHeight="1" x14ac:dyDescent="0.45">
      <c r="A293" s="2" t="s">
        <v>125</v>
      </c>
      <c r="C293" s="2">
        <v>0.1</v>
      </c>
      <c r="D293" s="2"/>
      <c r="E293" s="2" t="s">
        <v>85</v>
      </c>
      <c r="F293" s="2" t="s">
        <v>84</v>
      </c>
      <c r="G293" s="2" t="s">
        <v>86</v>
      </c>
      <c r="H293" s="2" t="s">
        <v>87</v>
      </c>
      <c r="I293" s="2">
        <v>3539</v>
      </c>
      <c r="K293" s="2">
        <v>5.6666666666666599</v>
      </c>
      <c r="L293" s="2"/>
      <c r="M293" s="2">
        <v>0.92796072713833799</v>
      </c>
      <c r="N293" s="2">
        <v>378.666666666666</v>
      </c>
      <c r="O293" s="2">
        <v>12.0150368751474</v>
      </c>
      <c r="P293" s="2">
        <v>0.66666666666666596</v>
      </c>
      <c r="Q293" s="2">
        <v>0.16666666666666699</v>
      </c>
      <c r="R293" s="2">
        <v>0.55555555555555503</v>
      </c>
      <c r="S293" s="2">
        <v>0.34694433324435497</v>
      </c>
      <c r="T293" s="2">
        <v>4.9444444444444402</v>
      </c>
      <c r="U293" s="2">
        <v>1.0584754935143099</v>
      </c>
      <c r="V293" s="2">
        <v>0</v>
      </c>
      <c r="W293" s="2">
        <v>0</v>
      </c>
      <c r="X293" s="2">
        <v>1</v>
      </c>
      <c r="Y293" s="2">
        <v>0.44095855184409799</v>
      </c>
      <c r="Z293" s="7">
        <v>105.039297272306</v>
      </c>
      <c r="AA293" s="2">
        <v>3.3328812413723798</v>
      </c>
      <c r="AB293" s="7">
        <v>97.841726618704996</v>
      </c>
      <c r="AC293" s="2">
        <v>16.022343490158299</v>
      </c>
      <c r="AD293" s="2">
        <v>122.33676975944999</v>
      </c>
      <c r="AE293" s="2">
        <v>26.189084375611898</v>
      </c>
      <c r="AF293" s="2">
        <v>66.6666666666666</v>
      </c>
      <c r="AG293" s="2">
        <v>16.6666666666667</v>
      </c>
      <c r="AH293" s="2">
        <v>43.010752688171998</v>
      </c>
      <c r="AI293" s="2">
        <v>26.860206444724199</v>
      </c>
      <c r="AJ293"/>
      <c r="AK293"/>
      <c r="AL293" s="2">
        <v>171.42857142857099</v>
      </c>
      <c r="AM293" s="2">
        <v>75.592894601845401</v>
      </c>
      <c r="AN293"/>
      <c r="AO293"/>
    </row>
    <row r="294" spans="1:41" ht="15.75" hidden="1" customHeight="1" x14ac:dyDescent="0.45">
      <c r="A294" s="2" t="s">
        <v>125</v>
      </c>
      <c r="C294" s="2">
        <v>0.3</v>
      </c>
      <c r="D294" s="2"/>
      <c r="E294" s="2" t="s">
        <v>85</v>
      </c>
      <c r="F294" s="2" t="s">
        <v>84</v>
      </c>
      <c r="G294" s="2" t="s">
        <v>86</v>
      </c>
      <c r="H294" s="2" t="s">
        <v>87</v>
      </c>
      <c r="I294" s="2">
        <v>3539</v>
      </c>
      <c r="K294" s="2">
        <v>4.1111111111111098</v>
      </c>
      <c r="L294" s="2"/>
      <c r="M294" s="2">
        <v>0.67357531405455895</v>
      </c>
      <c r="N294" s="2">
        <v>382.55555555555497</v>
      </c>
      <c r="O294" s="2">
        <v>80.062706905506701</v>
      </c>
      <c r="P294" s="2">
        <v>0.66666666666666596</v>
      </c>
      <c r="Q294" s="2">
        <v>0.16666666666666699</v>
      </c>
      <c r="R294" s="2">
        <v>0.44444444444444398</v>
      </c>
      <c r="S294" s="2">
        <v>0.25458753860865702</v>
      </c>
      <c r="T294" s="2">
        <v>4.7777777777777697</v>
      </c>
      <c r="U294" s="2">
        <v>1.7821127702606001</v>
      </c>
      <c r="V294" s="2">
        <v>0</v>
      </c>
      <c r="W294" s="2">
        <v>0</v>
      </c>
      <c r="X294" s="2">
        <v>0.88888888888888795</v>
      </c>
      <c r="Y294" s="2">
        <v>0.25458753860865702</v>
      </c>
      <c r="Z294" s="7">
        <v>106.11804592387099</v>
      </c>
      <c r="AA294" s="2">
        <v>22.2087952581156</v>
      </c>
      <c r="AB294" s="7">
        <v>70.983213429256594</v>
      </c>
      <c r="AC294" s="2">
        <v>11.6300773649708</v>
      </c>
      <c r="AD294" s="2">
        <v>118.21305841924401</v>
      </c>
      <c r="AE294" s="2">
        <v>44.093511841499399</v>
      </c>
      <c r="AF294" s="2">
        <v>66.6666666666666</v>
      </c>
      <c r="AG294" s="2">
        <v>16.6666666666667</v>
      </c>
      <c r="AH294" s="2">
        <v>34.408602150537597</v>
      </c>
      <c r="AI294" s="2">
        <v>19.710002989057301</v>
      </c>
      <c r="AJ294"/>
      <c r="AK294"/>
      <c r="AL294" s="2">
        <v>152.38095238095201</v>
      </c>
      <c r="AM294" s="2">
        <v>43.643578047198403</v>
      </c>
      <c r="AN294"/>
      <c r="AO294"/>
    </row>
    <row r="295" spans="1:41" ht="15.75" hidden="1" customHeight="1" x14ac:dyDescent="0.45">
      <c r="A295" s="2" t="s">
        <v>125</v>
      </c>
      <c r="C295" s="2">
        <v>1</v>
      </c>
      <c r="D295" s="2"/>
      <c r="E295" s="2" t="s">
        <v>85</v>
      </c>
      <c r="F295" s="2" t="s">
        <v>84</v>
      </c>
      <c r="G295" s="2" t="s">
        <v>86</v>
      </c>
      <c r="H295" s="2" t="s">
        <v>87</v>
      </c>
      <c r="I295" s="2">
        <v>3539</v>
      </c>
      <c r="K295" s="2">
        <v>2.3333333333333299</v>
      </c>
      <c r="L295" s="2"/>
      <c r="M295" s="2">
        <v>0.499999999999996</v>
      </c>
      <c r="N295" s="2">
        <v>317.61111111111097</v>
      </c>
      <c r="O295" s="2">
        <v>18.3184282845118</v>
      </c>
      <c r="P295" s="2">
        <v>0.66666666666666596</v>
      </c>
      <c r="Q295" s="2">
        <v>0.16666666666666699</v>
      </c>
      <c r="R295" s="2">
        <v>0.16666666666666599</v>
      </c>
      <c r="S295" s="2">
        <v>0.16666666666666599</v>
      </c>
      <c r="T295" s="2">
        <v>3.05555555555555</v>
      </c>
      <c r="U295" s="2">
        <v>0.63098981620003003</v>
      </c>
      <c r="V295" s="2">
        <v>0</v>
      </c>
      <c r="W295" s="2">
        <v>0</v>
      </c>
      <c r="X295" s="2">
        <v>0.72222222222222199</v>
      </c>
      <c r="Y295" s="2">
        <v>0.34694433324435497</v>
      </c>
      <c r="Z295" s="7">
        <v>88.102943442749194</v>
      </c>
      <c r="AA295" s="2">
        <v>5.0813948084637497</v>
      </c>
      <c r="AB295" s="7">
        <v>40.287769784172603</v>
      </c>
      <c r="AC295" s="2">
        <v>8.63309352517979</v>
      </c>
      <c r="AD295" s="2">
        <v>75.601374570446694</v>
      </c>
      <c r="AE295" s="2">
        <v>15.6121191637121</v>
      </c>
      <c r="AF295" s="2">
        <v>66.6666666666666</v>
      </c>
      <c r="AG295" s="2">
        <v>16.6666666666667</v>
      </c>
      <c r="AH295" s="2">
        <v>12.9032258064516</v>
      </c>
      <c r="AI295" s="2">
        <v>12.9032258064516</v>
      </c>
      <c r="AJ295"/>
      <c r="AK295"/>
      <c r="AL295" s="2">
        <v>123.809523809523</v>
      </c>
      <c r="AM295" s="2">
        <v>59.476171413317999</v>
      </c>
      <c r="AN295"/>
      <c r="AO295"/>
    </row>
    <row r="296" spans="1:41" ht="15.75" hidden="1" customHeight="1" x14ac:dyDescent="0.45">
      <c r="A296" s="2" t="s">
        <v>125</v>
      </c>
      <c r="C296" s="2">
        <v>3</v>
      </c>
      <c r="D296" s="2"/>
      <c r="E296" s="2" t="s">
        <v>85</v>
      </c>
      <c r="F296" s="2" t="s">
        <v>84</v>
      </c>
      <c r="G296" s="2" t="s">
        <v>86</v>
      </c>
      <c r="H296" s="2" t="s">
        <v>87</v>
      </c>
      <c r="I296" s="2">
        <v>3539</v>
      </c>
      <c r="K296" s="2">
        <v>0.44444444444444398</v>
      </c>
      <c r="L296" s="2"/>
      <c r="M296" s="2">
        <v>0.19245008972987501</v>
      </c>
      <c r="N296" s="2">
        <v>316.222222222222</v>
      </c>
      <c r="O296" s="2">
        <v>31.7106419804898</v>
      </c>
      <c r="P296" s="2">
        <v>0.27777777777777701</v>
      </c>
      <c r="Q296" s="2">
        <v>0.34694433324435497</v>
      </c>
      <c r="R296" s="2">
        <v>0.22222222222222199</v>
      </c>
      <c r="S296" s="2">
        <v>0.25458753860865702</v>
      </c>
      <c r="T296" s="2">
        <v>6.3333333333333304</v>
      </c>
      <c r="U296" s="2">
        <v>0.86602540378444604</v>
      </c>
      <c r="V296" s="2">
        <v>0</v>
      </c>
      <c r="W296" s="2">
        <v>0</v>
      </c>
      <c r="X296" s="2">
        <v>1</v>
      </c>
      <c r="Y296" s="2">
        <v>0.28867513459481198</v>
      </c>
      <c r="Z296" s="7">
        <v>87.717676067190595</v>
      </c>
      <c r="AA296" s="2">
        <v>8.79629458543406</v>
      </c>
      <c r="AB296" s="7">
        <v>7.6738609112709799</v>
      </c>
      <c r="AC296" s="2">
        <v>3.3228792471345301</v>
      </c>
      <c r="AD296" s="2">
        <v>156.70103092783501</v>
      </c>
      <c r="AE296" s="2">
        <v>21.427432670955302</v>
      </c>
      <c r="AF296" s="2">
        <v>27.7777777777777</v>
      </c>
      <c r="AG296" s="2">
        <v>34.694433324435501</v>
      </c>
      <c r="AH296" s="2">
        <v>17.204301075268798</v>
      </c>
      <c r="AI296" s="2">
        <v>19.710002989057301</v>
      </c>
      <c r="AJ296"/>
      <c r="AK296"/>
      <c r="AL296" s="2">
        <v>171.42857142857099</v>
      </c>
      <c r="AM296" s="2">
        <v>49.487165930539298</v>
      </c>
      <c r="AN296"/>
      <c r="AO296"/>
    </row>
    <row r="297" spans="1:41" ht="15.75" hidden="1" customHeight="1" x14ac:dyDescent="0.45">
      <c r="A297" s="2" t="s">
        <v>125</v>
      </c>
      <c r="C297" s="2">
        <v>10</v>
      </c>
      <c r="D297" s="2"/>
      <c r="E297" s="2" t="s">
        <v>85</v>
      </c>
      <c r="F297" s="2" t="s">
        <v>84</v>
      </c>
      <c r="G297" s="2" t="s">
        <v>86</v>
      </c>
      <c r="H297" s="2" t="s">
        <v>87</v>
      </c>
      <c r="I297" s="2">
        <v>3539</v>
      </c>
      <c r="K297" s="2">
        <v>0.16666666666666599</v>
      </c>
      <c r="L297" s="2"/>
      <c r="M297" s="2">
        <v>0.16666666666666599</v>
      </c>
      <c r="N297" s="2">
        <v>250.777777777777</v>
      </c>
      <c r="O297" s="2">
        <v>59.116019010955903</v>
      </c>
      <c r="P297" s="2">
        <v>0.27777777777777701</v>
      </c>
      <c r="Q297" s="2">
        <v>0.19245008972987501</v>
      </c>
      <c r="R297" s="2">
        <v>0.38888888888888801</v>
      </c>
      <c r="S297" s="2">
        <v>0.25458753860865702</v>
      </c>
      <c r="T297" s="2">
        <v>15.0555555555555</v>
      </c>
      <c r="U297" s="2">
        <v>1.7347216662217799</v>
      </c>
      <c r="V297" s="2">
        <v>0</v>
      </c>
      <c r="W297" s="2">
        <v>0</v>
      </c>
      <c r="X297" s="2">
        <v>2.3333333333333299</v>
      </c>
      <c r="Y297" s="2">
        <v>0.57735026918962395</v>
      </c>
      <c r="Z297" s="7">
        <v>69.563877330867598</v>
      </c>
      <c r="AA297" s="2">
        <v>16.3983409184343</v>
      </c>
      <c r="AB297" s="7">
        <v>2.8776978417266101</v>
      </c>
      <c r="AC297" s="2">
        <v>2.8776978417266101</v>
      </c>
      <c r="AD297" s="2">
        <v>372.50859106529202</v>
      </c>
      <c r="AE297" s="2">
        <v>42.920948442600903</v>
      </c>
      <c r="AF297" s="2">
        <v>27.7777777777777</v>
      </c>
      <c r="AG297" s="2">
        <v>19.245008972987499</v>
      </c>
      <c r="AH297" s="2">
        <v>30.1075268817204</v>
      </c>
      <c r="AI297" s="2">
        <v>19.710002989057301</v>
      </c>
      <c r="AJ297"/>
      <c r="AK297"/>
      <c r="AL297" s="2">
        <v>400</v>
      </c>
      <c r="AM297" s="2">
        <v>98.974331861078497</v>
      </c>
      <c r="AN297"/>
      <c r="AO297"/>
    </row>
    <row r="298" spans="1:41" ht="15.75" hidden="1" customHeight="1" x14ac:dyDescent="0.45">
      <c r="A298" s="2" t="s">
        <v>126</v>
      </c>
      <c r="B298" s="2" t="s">
        <v>127</v>
      </c>
      <c r="C298" s="2">
        <v>3.0000000000000001E-3</v>
      </c>
      <c r="D298" s="2"/>
      <c r="E298" s="2" t="s">
        <v>83</v>
      </c>
      <c r="F298" s="2" t="s">
        <v>84</v>
      </c>
      <c r="H298" s="2">
        <v>5.6</v>
      </c>
      <c r="J298" s="2">
        <v>5.564984269</v>
      </c>
      <c r="K298" s="2">
        <v>39.554759396666597</v>
      </c>
      <c r="L298" s="2"/>
      <c r="M298" s="2">
        <v>0.130207071715946</v>
      </c>
      <c r="N298" s="2">
        <v>275.77777777777698</v>
      </c>
      <c r="O298" s="2">
        <v>16.924943240783701</v>
      </c>
      <c r="P298" s="2">
        <v>33.1503923077777</v>
      </c>
      <c r="Q298" s="2">
        <v>2.31190111622039</v>
      </c>
      <c r="R298" s="2">
        <v>3.4749925831666602</v>
      </c>
      <c r="S298" s="2">
        <v>0.76084477629677705</v>
      </c>
      <c r="T298" s="2">
        <v>4.97230637655555</v>
      </c>
      <c r="U298" s="2">
        <v>3.4406395388873197E-2</v>
      </c>
      <c r="V298" s="2">
        <v>0.45825482872222201</v>
      </c>
      <c r="W298" s="2">
        <v>0.131426405868798</v>
      </c>
      <c r="X298" s="2">
        <v>3.2871408720555499</v>
      </c>
      <c r="Y298" s="2">
        <v>0.178748361283492</v>
      </c>
      <c r="Z298" s="7">
        <v>98.884462151394402</v>
      </c>
      <c r="AA298" s="2">
        <v>6.0687047476913802</v>
      </c>
      <c r="AB298" s="7">
        <v>99.084528852677906</v>
      </c>
      <c r="AC298" s="2">
        <v>0.32616824248331999</v>
      </c>
      <c r="AD298" s="2">
        <v>112.307311142782</v>
      </c>
      <c r="AE298" s="2">
        <v>0.77712221645451496</v>
      </c>
      <c r="AF298" s="2">
        <v>98.031864751415995</v>
      </c>
      <c r="AG298" s="2">
        <v>6.8367208279098097</v>
      </c>
      <c r="AH298" s="2">
        <v>93.031004241367398</v>
      </c>
      <c r="AI298" s="2">
        <v>20.369008542224201</v>
      </c>
      <c r="AJ298" s="2">
        <v>97.439098001617793</v>
      </c>
      <c r="AK298" s="2">
        <v>27.945303876356501</v>
      </c>
      <c r="AL298" s="2">
        <v>97.629488135127005</v>
      </c>
      <c r="AM298" s="2">
        <v>5.3089026897065699</v>
      </c>
      <c r="AN298"/>
      <c r="AO298"/>
    </row>
    <row r="299" spans="1:41" ht="15.75" hidden="1" customHeight="1" x14ac:dyDescent="0.45">
      <c r="A299" s="2" t="s">
        <v>126</v>
      </c>
      <c r="B299" s="2" t="s">
        <v>127</v>
      </c>
      <c r="C299" s="2">
        <v>0.01</v>
      </c>
      <c r="D299" s="2"/>
      <c r="E299" s="2" t="s">
        <v>83</v>
      </c>
      <c r="F299" s="2" t="s">
        <v>84</v>
      </c>
      <c r="H299" s="2">
        <v>5.6</v>
      </c>
      <c r="J299" s="2">
        <v>5.564984269</v>
      </c>
      <c r="K299" s="2">
        <v>39.092010088888799</v>
      </c>
      <c r="L299" s="2"/>
      <c r="M299" s="2">
        <v>3.0872633279925399</v>
      </c>
      <c r="N299" s="2">
        <v>306.77777777777698</v>
      </c>
      <c r="O299" s="2">
        <v>17.500264548263601</v>
      </c>
      <c r="P299" s="2">
        <v>28.958607789999899</v>
      </c>
      <c r="Q299" s="2">
        <v>1.7259866660010801</v>
      </c>
      <c r="R299" s="2">
        <v>2.5549777097777699</v>
      </c>
      <c r="S299" s="2">
        <v>0.66442710058945897</v>
      </c>
      <c r="T299" s="2">
        <v>5.0699188282222201</v>
      </c>
      <c r="U299" s="2">
        <v>1.4244591461578799</v>
      </c>
      <c r="V299" s="2">
        <v>0.39988566933333303</v>
      </c>
      <c r="W299" s="2">
        <v>0.208973998469422</v>
      </c>
      <c r="X299" s="2">
        <v>2.9351023086666599</v>
      </c>
      <c r="Y299" s="2">
        <v>0.38223670436271101</v>
      </c>
      <c r="Z299" s="7">
        <v>110</v>
      </c>
      <c r="AA299" s="2">
        <v>6.2749952563495004</v>
      </c>
      <c r="AB299" s="7">
        <v>97.925343514745407</v>
      </c>
      <c r="AC299" s="2">
        <v>7.73358344139164</v>
      </c>
      <c r="AD299" s="2">
        <v>114.512040930235</v>
      </c>
      <c r="AE299" s="2">
        <v>32.173636220814601</v>
      </c>
      <c r="AF299" s="2">
        <v>85.635979686204905</v>
      </c>
      <c r="AG299" s="2">
        <v>5.10406301781435</v>
      </c>
      <c r="AH299" s="2">
        <v>68.400762437982905</v>
      </c>
      <c r="AI299" s="2">
        <v>17.787756069594099</v>
      </c>
      <c r="AJ299" s="2">
        <v>85.028016032608093</v>
      </c>
      <c r="AK299" s="2">
        <v>44.434311741851502</v>
      </c>
      <c r="AL299" s="2">
        <v>87.173792414976603</v>
      </c>
      <c r="AM299" s="2">
        <v>11.3525934074293</v>
      </c>
      <c r="AN299"/>
      <c r="AO299"/>
    </row>
    <row r="300" spans="1:41" ht="15.75" hidden="1" customHeight="1" x14ac:dyDescent="0.45">
      <c r="A300" s="2" t="s">
        <v>126</v>
      </c>
      <c r="B300" s="2" t="s">
        <v>127</v>
      </c>
      <c r="C300" s="2">
        <v>0.03</v>
      </c>
      <c r="D300" s="2"/>
      <c r="E300" s="2" t="s">
        <v>83</v>
      </c>
      <c r="F300" s="2" t="s">
        <v>84</v>
      </c>
      <c r="H300" s="2">
        <v>5.6</v>
      </c>
      <c r="J300" s="2">
        <v>5.564984269</v>
      </c>
      <c r="K300" s="2">
        <v>38.585334527222201</v>
      </c>
      <c r="L300" s="2"/>
      <c r="M300" s="2">
        <v>3.87945554547268</v>
      </c>
      <c r="N300" s="2">
        <v>288</v>
      </c>
      <c r="O300" s="2">
        <v>16.5386752122958</v>
      </c>
      <c r="P300" s="2">
        <v>31.675909559999901</v>
      </c>
      <c r="Q300" s="2">
        <v>0.41594060076544798</v>
      </c>
      <c r="R300" s="2">
        <v>3.0177654082777701</v>
      </c>
      <c r="S300" s="2">
        <v>0.82348170996956105</v>
      </c>
      <c r="T300" s="2">
        <v>3.44858656716666</v>
      </c>
      <c r="U300" s="2">
        <v>0.29295548199287402</v>
      </c>
      <c r="V300" s="2">
        <v>0.38841038177777698</v>
      </c>
      <c r="W300" s="2">
        <v>9.5956276524477399E-2</v>
      </c>
      <c r="X300" s="2">
        <v>3.4211339975555499</v>
      </c>
      <c r="Y300" s="2">
        <v>0.22376136226318</v>
      </c>
      <c r="Z300" s="7">
        <v>103.266932270916</v>
      </c>
      <c r="AA300" s="2">
        <v>5.9302022673570898</v>
      </c>
      <c r="AB300" s="7">
        <v>96.656123070109402</v>
      </c>
      <c r="AC300" s="2">
        <v>9.7180220734818299</v>
      </c>
      <c r="AD300" s="2">
        <v>77.891717700207096</v>
      </c>
      <c r="AE300" s="2">
        <v>6.6168574451256497</v>
      </c>
      <c r="AF300" s="2">
        <v>93.671545513971097</v>
      </c>
      <c r="AG300" s="2">
        <v>1.23001357993867</v>
      </c>
      <c r="AH300" s="2">
        <v>80.790315310861999</v>
      </c>
      <c r="AI300" s="2">
        <v>22.045897543486198</v>
      </c>
      <c r="AJ300" s="2">
        <v>82.588016279980707</v>
      </c>
      <c r="AK300" s="2">
        <v>20.4032613430604</v>
      </c>
      <c r="AL300" s="2">
        <v>101.609141203056</v>
      </c>
      <c r="AM300" s="2">
        <v>6.6458080479259296</v>
      </c>
      <c r="AN300"/>
      <c r="AO300"/>
    </row>
    <row r="301" spans="1:41" ht="15.75" hidden="1" customHeight="1" x14ac:dyDescent="0.45">
      <c r="A301" s="2" t="s">
        <v>126</v>
      </c>
      <c r="B301" s="2" t="s">
        <v>127</v>
      </c>
      <c r="C301" s="2">
        <v>0.1</v>
      </c>
      <c r="D301" s="2"/>
      <c r="E301" s="2" t="s">
        <v>83</v>
      </c>
      <c r="F301" s="2" t="s">
        <v>84</v>
      </c>
      <c r="H301" s="2">
        <v>5.6</v>
      </c>
      <c r="J301" s="2">
        <v>5.564984269</v>
      </c>
      <c r="K301" s="2">
        <v>39.344986761666597</v>
      </c>
      <c r="L301" s="2"/>
      <c r="M301" s="2">
        <v>1.6839164309346899</v>
      </c>
      <c r="N301" s="2">
        <v>299.666666666666</v>
      </c>
      <c r="O301" s="2">
        <v>74.074474535954494</v>
      </c>
      <c r="P301" s="2">
        <v>31.4033352377777</v>
      </c>
      <c r="Q301" s="2">
        <v>2.5582069250828599</v>
      </c>
      <c r="R301" s="2">
        <v>2.5586513202777699</v>
      </c>
      <c r="S301" s="2">
        <v>0.37510943378315698</v>
      </c>
      <c r="T301" s="2">
        <v>4.7309883482222199</v>
      </c>
      <c r="U301" s="2">
        <v>2.0120817023026998</v>
      </c>
      <c r="V301" s="2">
        <v>0.33906143383333298</v>
      </c>
      <c r="W301" s="2">
        <v>4.9281609462479198E-2</v>
      </c>
      <c r="X301" s="2">
        <v>3.2948624538333302</v>
      </c>
      <c r="Y301" s="2">
        <v>1.0105602045724</v>
      </c>
      <c r="Z301" s="7">
        <v>107.450199203187</v>
      </c>
      <c r="AA301" s="2">
        <v>26.560568558708798</v>
      </c>
      <c r="AB301" s="7">
        <v>98.559049162693697</v>
      </c>
      <c r="AC301" s="2">
        <v>4.2182045531670704</v>
      </c>
      <c r="AD301" s="2">
        <v>106.85676629699699</v>
      </c>
      <c r="AE301" s="2">
        <v>45.446010095167203</v>
      </c>
      <c r="AF301" s="2">
        <v>92.865492637048504</v>
      </c>
      <c r="AG301" s="2">
        <v>7.5650928338190404</v>
      </c>
      <c r="AH301" s="2">
        <v>68.499110755519496</v>
      </c>
      <c r="AI301" s="2">
        <v>10.0422681459243</v>
      </c>
      <c r="AJ301" s="2">
        <v>72.094909227637501</v>
      </c>
      <c r="AK301" s="2">
        <v>10.478788815999</v>
      </c>
      <c r="AL301" s="2">
        <v>97.858822412512794</v>
      </c>
      <c r="AM301" s="2">
        <v>30.014069777434699</v>
      </c>
      <c r="AN301"/>
      <c r="AO301"/>
    </row>
    <row r="302" spans="1:41" ht="15.75" hidden="1" customHeight="1" x14ac:dyDescent="0.45">
      <c r="A302" s="2" t="s">
        <v>126</v>
      </c>
      <c r="B302" s="2" t="s">
        <v>127</v>
      </c>
      <c r="C302" s="2">
        <v>0.3</v>
      </c>
      <c r="D302" s="2"/>
      <c r="E302" s="2" t="s">
        <v>83</v>
      </c>
      <c r="F302" s="2" t="s">
        <v>84</v>
      </c>
      <c r="H302" s="2">
        <v>5.6</v>
      </c>
      <c r="J302" s="2">
        <v>5.564984269</v>
      </c>
      <c r="K302" s="2">
        <v>39.374325539444399</v>
      </c>
      <c r="L302" s="2"/>
      <c r="M302" s="2">
        <v>0.87825646002077595</v>
      </c>
      <c r="N302" s="2">
        <v>272.388888888888</v>
      </c>
      <c r="O302" s="2">
        <v>13.636484286783499</v>
      </c>
      <c r="P302" s="2">
        <v>31.1992228083333</v>
      </c>
      <c r="Q302" s="2">
        <v>1.5790053133207</v>
      </c>
      <c r="R302" s="2">
        <v>3.9508107649444399</v>
      </c>
      <c r="S302" s="2">
        <v>0.21023110682911</v>
      </c>
      <c r="T302" s="2">
        <v>5.7981148014444397</v>
      </c>
      <c r="U302" s="2">
        <v>0.89412311292425595</v>
      </c>
      <c r="V302" s="2">
        <v>0.30060596961111102</v>
      </c>
      <c r="W302" s="2">
        <v>0.118010264411104</v>
      </c>
      <c r="X302" s="2">
        <v>3.4826732816666599</v>
      </c>
      <c r="Y302" s="2">
        <v>0.314798077954897</v>
      </c>
      <c r="Z302" s="7">
        <v>97.669322709163296</v>
      </c>
      <c r="AA302" s="2">
        <v>4.8895760390857204</v>
      </c>
      <c r="AB302" s="7">
        <v>98.632542694636896</v>
      </c>
      <c r="AC302" s="2">
        <v>2.2000292475628802</v>
      </c>
      <c r="AD302" s="2">
        <v>130.95948514308401</v>
      </c>
      <c r="AE302" s="2">
        <v>20.195168004248799</v>
      </c>
      <c r="AF302" s="2">
        <v>92.261894287695497</v>
      </c>
      <c r="AG302" s="2">
        <v>4.6694118694005597</v>
      </c>
      <c r="AH302" s="2">
        <v>105.769403598395</v>
      </c>
      <c r="AI302" s="2">
        <v>5.6282166142822803</v>
      </c>
      <c r="AJ302" s="2">
        <v>63.918092504298301</v>
      </c>
      <c r="AK302" s="2">
        <v>25.0926187754818</v>
      </c>
      <c r="AL302" s="2">
        <v>103.436884230148</v>
      </c>
      <c r="AM302" s="2">
        <v>9.3496373939823805</v>
      </c>
      <c r="AN302"/>
      <c r="AO302"/>
    </row>
    <row r="303" spans="1:41" ht="15.75" hidden="1" customHeight="1" x14ac:dyDescent="0.45">
      <c r="A303" s="2" t="s">
        <v>126</v>
      </c>
      <c r="B303" s="2" t="s">
        <v>127</v>
      </c>
      <c r="C303" s="2">
        <v>1</v>
      </c>
      <c r="D303" s="2"/>
      <c r="E303" s="2" t="s">
        <v>83</v>
      </c>
      <c r="F303" s="2" t="s">
        <v>84</v>
      </c>
      <c r="H303" s="2">
        <v>5.6</v>
      </c>
      <c r="J303" s="2">
        <v>5.564984269</v>
      </c>
      <c r="K303" s="2">
        <v>38.773988400555503</v>
      </c>
      <c r="L303" s="2"/>
      <c r="M303" s="2">
        <v>2.363841687571</v>
      </c>
      <c r="N303" s="2">
        <v>256.05555555555497</v>
      </c>
      <c r="O303" s="2">
        <v>11.8747319657858</v>
      </c>
      <c r="P303" s="2">
        <v>29.864518767222201</v>
      </c>
      <c r="Q303" s="2">
        <v>1.2246691314181699</v>
      </c>
      <c r="R303" s="2">
        <v>3.0244230459444399</v>
      </c>
      <c r="S303" s="2">
        <v>0.277684571851393</v>
      </c>
      <c r="T303" s="2">
        <v>2.85873321444444</v>
      </c>
      <c r="U303" s="2">
        <v>1.0075913622205099</v>
      </c>
      <c r="V303" s="2">
        <v>0.47505805211111102</v>
      </c>
      <c r="W303" s="2">
        <v>0.13120624341056999</v>
      </c>
      <c r="X303" s="2">
        <v>3.59881798577777</v>
      </c>
      <c r="Y303" s="2">
        <v>0.185381399947562</v>
      </c>
      <c r="Z303" s="7">
        <v>91.812749003984095</v>
      </c>
      <c r="AA303" s="2">
        <v>4.2578720196044699</v>
      </c>
      <c r="AB303" s="7">
        <v>97.128700338700796</v>
      </c>
      <c r="AC303" s="2">
        <v>5.9214148554530199</v>
      </c>
      <c r="AD303" s="2">
        <v>64.568957798457603</v>
      </c>
      <c r="AE303" s="2">
        <v>22.758025763502499</v>
      </c>
      <c r="AF303" s="2">
        <v>88.314926637159601</v>
      </c>
      <c r="AG303" s="2">
        <v>3.6215739935075302</v>
      </c>
      <c r="AH303" s="2">
        <v>80.968550718041101</v>
      </c>
      <c r="AI303" s="2">
        <v>7.4340517176379501</v>
      </c>
      <c r="AJ303" s="2">
        <v>101.011981096157</v>
      </c>
      <c r="AK303" s="2">
        <v>27.8984905532905</v>
      </c>
      <c r="AL303" s="2">
        <v>106.886431558152</v>
      </c>
      <c r="AM303" s="2">
        <v>5.5059067716000003</v>
      </c>
      <c r="AN303"/>
      <c r="AO303"/>
    </row>
    <row r="304" spans="1:41" ht="15.75" hidden="1" customHeight="1" x14ac:dyDescent="0.45">
      <c r="A304" s="2" t="s">
        <v>126</v>
      </c>
      <c r="B304" s="2" t="s">
        <v>127</v>
      </c>
      <c r="C304" s="2">
        <v>3</v>
      </c>
      <c r="D304" s="2"/>
      <c r="E304" s="2" t="s">
        <v>83</v>
      </c>
      <c r="F304" s="2" t="s">
        <v>84</v>
      </c>
      <c r="H304" s="2">
        <v>5.6</v>
      </c>
      <c r="J304" s="2">
        <v>5.564984269</v>
      </c>
      <c r="K304" s="2">
        <v>37.8283294816666</v>
      </c>
      <c r="L304" s="2"/>
      <c r="M304" s="2">
        <v>1.20950078063358</v>
      </c>
      <c r="N304" s="2">
        <v>246.388888888888</v>
      </c>
      <c r="O304" s="2">
        <v>25.954197548187899</v>
      </c>
      <c r="P304" s="2">
        <v>24.531300185555502</v>
      </c>
      <c r="Q304" s="2">
        <v>0.979578485644233</v>
      </c>
      <c r="R304" s="2">
        <v>3.15007844844444</v>
      </c>
      <c r="S304" s="2">
        <v>7.1500189101654496E-2</v>
      </c>
      <c r="T304" s="2">
        <v>3.2906273555555501</v>
      </c>
      <c r="U304" s="2">
        <v>0.387213533941276</v>
      </c>
      <c r="V304" s="2">
        <v>0.211157250111111</v>
      </c>
      <c r="W304" s="2">
        <v>2.2802449544193099E-2</v>
      </c>
      <c r="X304" s="2">
        <v>3.4889035049444401</v>
      </c>
      <c r="Y304" s="2">
        <v>0.27095870749699602</v>
      </c>
      <c r="Z304" s="7">
        <v>88.346613545816695</v>
      </c>
      <c r="AA304" s="2">
        <v>9.3062859734538392</v>
      </c>
      <c r="AB304" s="7">
        <v>94.759828176092299</v>
      </c>
      <c r="AC304" s="2">
        <v>3.02979506951884</v>
      </c>
      <c r="AD304" s="2">
        <v>74.323962018473296</v>
      </c>
      <c r="AE304" s="2">
        <v>8.7458228720740205</v>
      </c>
      <c r="AF304" s="2">
        <v>72.543609126536296</v>
      </c>
      <c r="AG304" s="2">
        <v>2.8967954504581099</v>
      </c>
      <c r="AH304" s="2">
        <v>84.332543015335602</v>
      </c>
      <c r="AI304" s="2">
        <v>1.91417225688379</v>
      </c>
      <c r="AJ304" s="2">
        <v>44.898538319168402</v>
      </c>
      <c r="AK304" s="2">
        <v>4.8485034451440203</v>
      </c>
      <c r="AL304" s="2">
        <v>103.62192452299</v>
      </c>
      <c r="AM304" s="2">
        <v>8.0475893636238194</v>
      </c>
      <c r="AN304"/>
      <c r="AO304"/>
    </row>
    <row r="305" spans="1:41" ht="15.75" hidden="1" customHeight="1" x14ac:dyDescent="0.45">
      <c r="A305" s="2" t="s">
        <v>126</v>
      </c>
      <c r="B305" s="2" t="s">
        <v>127</v>
      </c>
      <c r="C305" s="2">
        <v>10</v>
      </c>
      <c r="D305" s="2"/>
      <c r="E305" s="2" t="s">
        <v>83</v>
      </c>
      <c r="F305" s="2" t="s">
        <v>84</v>
      </c>
      <c r="H305" s="2">
        <v>5.6</v>
      </c>
      <c r="J305" s="2">
        <v>5.564984269</v>
      </c>
      <c r="K305" s="2">
        <v>10.507478134499999</v>
      </c>
      <c r="L305" s="2"/>
      <c r="M305" s="2">
        <v>4.6928933910368897</v>
      </c>
      <c r="N305" s="2">
        <v>36.8333333333333</v>
      </c>
      <c r="O305" s="2">
        <v>15.250683044812501</v>
      </c>
      <c r="P305" s="2">
        <v>3.7545364038333302</v>
      </c>
      <c r="Q305" s="2">
        <v>3.1537877173520799</v>
      </c>
      <c r="R305" s="2">
        <v>6.1494669736666596</v>
      </c>
      <c r="S305" s="2">
        <v>3.9355875248866199</v>
      </c>
      <c r="T305" s="2">
        <v>6.3051006259444398</v>
      </c>
      <c r="U305" s="2">
        <v>2.93433193748097</v>
      </c>
      <c r="V305" s="2">
        <v>0</v>
      </c>
      <c r="W305" s="2">
        <v>0</v>
      </c>
      <c r="X305" s="2">
        <v>1.8071016285555499</v>
      </c>
      <c r="Y305" s="2">
        <v>0.462741658037711</v>
      </c>
      <c r="Z305" s="7">
        <v>13.207171314741</v>
      </c>
      <c r="AA305" s="2">
        <v>5.4683724065064903</v>
      </c>
      <c r="AB305" s="7">
        <v>26.321194624040199</v>
      </c>
      <c r="AC305" s="2">
        <v>11.7556809268803</v>
      </c>
      <c r="AD305" s="2">
        <v>142.410552399431</v>
      </c>
      <c r="AE305" s="2">
        <v>66.276473117725203</v>
      </c>
      <c r="AF305" s="2">
        <v>11.102861212852099</v>
      </c>
      <c r="AG305" s="2">
        <v>9.3263358120078195</v>
      </c>
      <c r="AH305" s="2">
        <v>164.63088033068601</v>
      </c>
      <c r="AI305" s="2">
        <v>105.361853574477</v>
      </c>
      <c r="AJ305" s="2">
        <v>0</v>
      </c>
      <c r="AK305" s="2">
        <v>0</v>
      </c>
      <c r="AL305" s="2">
        <v>53.671690344596698</v>
      </c>
      <c r="AM305" s="2">
        <v>13.7436249225215</v>
      </c>
      <c r="AN305"/>
      <c r="AO305"/>
    </row>
    <row r="306" spans="1:41" ht="15.75" hidden="1" customHeight="1" x14ac:dyDescent="0.45">
      <c r="A306" s="2" t="s">
        <v>128</v>
      </c>
      <c r="B306" s="2" t="s">
        <v>129</v>
      </c>
      <c r="C306" s="2">
        <v>3.0000000000000001E-3</v>
      </c>
      <c r="D306" s="2"/>
      <c r="E306" s="2" t="s">
        <v>109</v>
      </c>
      <c r="F306" s="2" t="s">
        <v>84</v>
      </c>
      <c r="H306" s="2">
        <v>1.3</v>
      </c>
      <c r="J306" s="2">
        <v>1.3</v>
      </c>
      <c r="K306" s="2">
        <v>36.0555555555555</v>
      </c>
      <c r="L306" s="2"/>
      <c r="M306" s="2">
        <v>0.509175077217629</v>
      </c>
      <c r="N306" s="2">
        <v>166.833333333333</v>
      </c>
      <c r="O306" s="2">
        <v>8.1291655988382807</v>
      </c>
      <c r="P306" s="2">
        <v>18.6111111111111</v>
      </c>
      <c r="Q306" s="2">
        <v>1.1097213530799099</v>
      </c>
      <c r="R306" s="2">
        <v>1.7222222222222201</v>
      </c>
      <c r="S306" s="2">
        <v>0.58531409738070705</v>
      </c>
      <c r="T306" s="2">
        <v>4.1666666666666599</v>
      </c>
      <c r="U306" s="2">
        <v>1.5275252316519401</v>
      </c>
      <c r="V306" s="2">
        <v>0.44444444444444398</v>
      </c>
      <c r="W306" s="2">
        <v>0.41943524640392998</v>
      </c>
      <c r="X306" s="2">
        <v>2.4444444444444402</v>
      </c>
      <c r="Y306" s="2">
        <v>0.75154162547048198</v>
      </c>
      <c r="Z306" s="7">
        <v>116.203927638579</v>
      </c>
      <c r="AA306" s="2">
        <v>5.6621836424141998</v>
      </c>
      <c r="AB306" s="7">
        <v>101.40625</v>
      </c>
      <c r="AC306" s="2">
        <v>1.4320549046745801</v>
      </c>
      <c r="AD306" s="2">
        <v>85.227272727272705</v>
      </c>
      <c r="AE306" s="2">
        <v>31.2448342837898</v>
      </c>
      <c r="AF306" s="2">
        <v>110.92715231788</v>
      </c>
      <c r="AG306" s="2">
        <v>6.6142332302776499</v>
      </c>
      <c r="AH306" s="2">
        <v>73.809523809523796</v>
      </c>
      <c r="AI306" s="2">
        <v>25.084889887744598</v>
      </c>
      <c r="AJ306" s="2">
        <v>72.727272727272705</v>
      </c>
      <c r="AK306" s="2">
        <v>68.634858502461299</v>
      </c>
      <c r="AL306" s="2">
        <v>108.64197530864099</v>
      </c>
      <c r="AM306" s="2">
        <v>33.401850020910302</v>
      </c>
      <c r="AN306"/>
      <c r="AO306"/>
    </row>
    <row r="307" spans="1:41" ht="15.75" hidden="1" customHeight="1" x14ac:dyDescent="0.45">
      <c r="A307" s="2" t="s">
        <v>128</v>
      </c>
      <c r="B307" s="2" t="s">
        <v>129</v>
      </c>
      <c r="C307" s="2">
        <v>0.01</v>
      </c>
      <c r="D307" s="2"/>
      <c r="E307" s="2" t="s">
        <v>109</v>
      </c>
      <c r="F307" s="2" t="s">
        <v>84</v>
      </c>
      <c r="H307" s="2">
        <v>1.3</v>
      </c>
      <c r="J307" s="2">
        <v>1.3</v>
      </c>
      <c r="K307" s="2">
        <v>37.4444444444444</v>
      </c>
      <c r="L307" s="2"/>
      <c r="M307" s="2">
        <v>2.8004629246951498</v>
      </c>
      <c r="N307" s="2">
        <v>169.055555555555</v>
      </c>
      <c r="O307" s="2">
        <v>16.369291484474601</v>
      </c>
      <c r="P307" s="2">
        <v>19.1666666666666</v>
      </c>
      <c r="Q307" s="2">
        <v>2.4209731743890099</v>
      </c>
      <c r="R307" s="2">
        <v>2.38888888888888</v>
      </c>
      <c r="S307" s="2">
        <v>0.53575837561072204</v>
      </c>
      <c r="T307" s="2">
        <v>6.05555555555555</v>
      </c>
      <c r="U307" s="2">
        <v>2.5513250007122199</v>
      </c>
      <c r="V307" s="2">
        <v>0.66666666666666596</v>
      </c>
      <c r="W307" s="2">
        <v>0.44095855184409799</v>
      </c>
      <c r="X307" s="2">
        <v>1.94444444444444</v>
      </c>
      <c r="Y307" s="2">
        <v>0.25458753860865602</v>
      </c>
      <c r="Z307" s="7">
        <v>117.751765502563</v>
      </c>
      <c r="AA307" s="2">
        <v>11.4016541248154</v>
      </c>
      <c r="AB307" s="7">
        <v>105.3125</v>
      </c>
      <c r="AC307" s="2">
        <v>7.8763019757051298</v>
      </c>
      <c r="AD307" s="2">
        <v>123.863636363636</v>
      </c>
      <c r="AE307" s="2">
        <v>52.186193196386498</v>
      </c>
      <c r="AF307" s="2">
        <v>114.238410596026</v>
      </c>
      <c r="AG307" s="2">
        <v>14.429641436755601</v>
      </c>
      <c r="AH307" s="2">
        <v>102.380952380952</v>
      </c>
      <c r="AI307" s="2">
        <v>22.961073240459498</v>
      </c>
      <c r="AJ307" s="2">
        <v>109.09090909090899</v>
      </c>
      <c r="AK307" s="2">
        <v>72.156853938125195</v>
      </c>
      <c r="AL307" s="2">
        <v>86.419753086419703</v>
      </c>
      <c r="AM307" s="2">
        <v>11.3150017159402</v>
      </c>
      <c r="AN307"/>
      <c r="AO307"/>
    </row>
    <row r="308" spans="1:41" ht="15.75" hidden="1" customHeight="1" x14ac:dyDescent="0.45">
      <c r="A308" s="2" t="s">
        <v>128</v>
      </c>
      <c r="B308" s="2" t="s">
        <v>129</v>
      </c>
      <c r="C308" s="2">
        <v>0.03</v>
      </c>
      <c r="D308" s="2"/>
      <c r="E308" s="2" t="s">
        <v>109</v>
      </c>
      <c r="F308" s="2" t="s">
        <v>84</v>
      </c>
      <c r="H308" s="2">
        <v>1.3</v>
      </c>
      <c r="J308" s="2">
        <v>1.3</v>
      </c>
      <c r="K308" s="2">
        <v>37.5555555555555</v>
      </c>
      <c r="L308" s="2"/>
      <c r="M308" s="2">
        <v>0.75154162546985404</v>
      </c>
      <c r="N308" s="2">
        <v>167.222222222222</v>
      </c>
      <c r="O308" s="2">
        <v>1.41748342468713</v>
      </c>
      <c r="P308" s="2">
        <v>19.2777777777777</v>
      </c>
      <c r="Q308" s="2">
        <v>1.456149158009</v>
      </c>
      <c r="R308" s="2">
        <v>2.05555555555555</v>
      </c>
      <c r="S308" s="2">
        <v>0.19245008972988001</v>
      </c>
      <c r="T308" s="2">
        <v>3.8333333333333299</v>
      </c>
      <c r="U308" s="2">
        <v>0.44095855184409999</v>
      </c>
      <c r="V308" s="2">
        <v>0.44444444444444398</v>
      </c>
      <c r="W308" s="2">
        <v>0.19245008972987501</v>
      </c>
      <c r="X308" s="2">
        <v>2.5</v>
      </c>
      <c r="Y308" s="2">
        <v>0.76376261582597305</v>
      </c>
      <c r="Z308" s="7">
        <v>116.474799264777</v>
      </c>
      <c r="AA308" s="2">
        <v>0.98731553233504399</v>
      </c>
      <c r="AB308" s="7">
        <v>105.625</v>
      </c>
      <c r="AC308" s="2">
        <v>2.1137108216339602</v>
      </c>
      <c r="AD308" s="2">
        <v>78.409090909090907</v>
      </c>
      <c r="AE308" s="2">
        <v>9.0196067422656903</v>
      </c>
      <c r="AF308" s="2">
        <v>114.90066225165501</v>
      </c>
      <c r="AG308" s="2">
        <v>8.6790347166099409</v>
      </c>
      <c r="AH308" s="2">
        <v>88.095238095238003</v>
      </c>
      <c r="AI308" s="2">
        <v>8.2478609884234402</v>
      </c>
      <c r="AJ308" s="2">
        <v>72.727272727272705</v>
      </c>
      <c r="AK308" s="2">
        <v>31.4918328648886</v>
      </c>
      <c r="AL308" s="2">
        <v>111.111111111111</v>
      </c>
      <c r="AM308" s="2">
        <v>33.945005147821</v>
      </c>
      <c r="AN308"/>
      <c r="AO308"/>
    </row>
    <row r="309" spans="1:41" ht="15.75" hidden="1" customHeight="1" x14ac:dyDescent="0.45">
      <c r="A309" s="2" t="s">
        <v>128</v>
      </c>
      <c r="B309" s="2" t="s">
        <v>129</v>
      </c>
      <c r="C309" s="2">
        <v>0.1</v>
      </c>
      <c r="D309" s="2"/>
      <c r="E309" s="2" t="s">
        <v>109</v>
      </c>
      <c r="F309" s="2" t="s">
        <v>84</v>
      </c>
      <c r="H309" s="2">
        <v>1.3</v>
      </c>
      <c r="J309" s="2">
        <v>1.3</v>
      </c>
      <c r="K309" s="2">
        <v>33.1666666666666</v>
      </c>
      <c r="L309" s="2"/>
      <c r="M309" s="2">
        <v>2.25462487641148</v>
      </c>
      <c r="N309" s="2">
        <v>147.611111111111</v>
      </c>
      <c r="O309" s="2">
        <v>9.1292164281823691</v>
      </c>
      <c r="P309" s="2">
        <v>19.4444444444444</v>
      </c>
      <c r="Q309" s="2">
        <v>2.6158349704430299</v>
      </c>
      <c r="R309" s="2">
        <v>2.2777777777777701</v>
      </c>
      <c r="S309" s="2">
        <v>0.19245008972987701</v>
      </c>
      <c r="T309" s="2">
        <v>4.4444444444444402</v>
      </c>
      <c r="U309" s="2">
        <v>1.7023948273382801</v>
      </c>
      <c r="V309" s="2">
        <v>0.83333333333333304</v>
      </c>
      <c r="W309" s="2">
        <v>0.16666666666666699</v>
      </c>
      <c r="X309" s="2">
        <v>2.3333333333333299</v>
      </c>
      <c r="Y309" s="2">
        <v>0.44095855184409599</v>
      </c>
      <c r="Z309" s="7">
        <v>102.81513011512</v>
      </c>
      <c r="AA309" s="2">
        <v>6.3587460852194102</v>
      </c>
      <c r="AB309" s="7">
        <v>93.28125</v>
      </c>
      <c r="AC309" s="2">
        <v>6.3411324649072904</v>
      </c>
      <c r="AD309" s="2">
        <v>90.909090909090907</v>
      </c>
      <c r="AE309" s="2">
        <v>34.821712377373899</v>
      </c>
      <c r="AF309" s="2">
        <v>115.894039735099</v>
      </c>
      <c r="AG309" s="2">
        <v>15.591069360256499</v>
      </c>
      <c r="AH309" s="2">
        <v>97.619047619047606</v>
      </c>
      <c r="AI309" s="2">
        <v>8.2478609884233407</v>
      </c>
      <c r="AJ309" s="2">
        <v>136.363636363636</v>
      </c>
      <c r="AK309" s="2">
        <v>27.272727272727298</v>
      </c>
      <c r="AL309" s="2">
        <v>103.703703703703</v>
      </c>
      <c r="AM309" s="2">
        <v>19.598157859737601</v>
      </c>
      <c r="AN309"/>
      <c r="AO309"/>
    </row>
    <row r="310" spans="1:41" ht="15.75" hidden="1" customHeight="1" x14ac:dyDescent="0.45">
      <c r="A310" s="2" t="s">
        <v>128</v>
      </c>
      <c r="B310" s="2" t="s">
        <v>129</v>
      </c>
      <c r="C310" s="2">
        <v>0.3</v>
      </c>
      <c r="D310" s="2"/>
      <c r="E310" s="2" t="s">
        <v>109</v>
      </c>
      <c r="F310" s="2" t="s">
        <v>84</v>
      </c>
      <c r="H310" s="2">
        <v>1.3</v>
      </c>
      <c r="J310" s="2">
        <v>1.3</v>
      </c>
      <c r="K310" s="2">
        <v>32.8333333333333</v>
      </c>
      <c r="L310" s="2"/>
      <c r="M310" s="2">
        <v>3.1224989991992298</v>
      </c>
      <c r="N310" s="2">
        <v>123</v>
      </c>
      <c r="O310" s="2">
        <v>17.835669628895801</v>
      </c>
      <c r="P310" s="2">
        <v>19.9444444444444</v>
      </c>
      <c r="Q310" s="2">
        <v>1.2945755775257299</v>
      </c>
      <c r="R310" s="2">
        <v>2.5</v>
      </c>
      <c r="S310" s="2">
        <v>0.44095855184409799</v>
      </c>
      <c r="T310" s="2">
        <v>4.1111111111111098</v>
      </c>
      <c r="U310" s="2">
        <v>1.9460310986818801</v>
      </c>
      <c r="V310" s="2">
        <v>1.1111111111111101</v>
      </c>
      <c r="W310" s="2">
        <v>9.6225044864937798E-2</v>
      </c>
      <c r="X310" s="2">
        <v>2.5</v>
      </c>
      <c r="Y310" s="2">
        <v>0.44095855184409999</v>
      </c>
      <c r="Z310" s="7">
        <v>85.672825771500399</v>
      </c>
      <c r="AA310" s="2">
        <v>12.4230261514994</v>
      </c>
      <c r="AB310" s="7">
        <v>92.34375</v>
      </c>
      <c r="AC310" s="2">
        <v>8.7820284352478506</v>
      </c>
      <c r="AD310" s="2">
        <v>84.090909090909093</v>
      </c>
      <c r="AE310" s="2">
        <v>39.805181563947698</v>
      </c>
      <c r="AF310" s="2">
        <v>118.87417218543</v>
      </c>
      <c r="AG310" s="2">
        <v>7.71601337598121</v>
      </c>
      <c r="AH310" s="2">
        <v>107.142857142857</v>
      </c>
      <c r="AI310" s="2">
        <v>18.898223650461301</v>
      </c>
      <c r="AJ310" s="2">
        <v>181.81818181818099</v>
      </c>
      <c r="AK310" s="2">
        <v>15.7459164324443</v>
      </c>
      <c r="AL310" s="2">
        <v>111.111111111111</v>
      </c>
      <c r="AM310" s="2">
        <v>19.5981578597378</v>
      </c>
      <c r="AN310"/>
      <c r="AO310"/>
    </row>
    <row r="311" spans="1:41" ht="15.75" hidden="1" customHeight="1" x14ac:dyDescent="0.45">
      <c r="A311" s="2" t="s">
        <v>128</v>
      </c>
      <c r="B311" s="2" t="s">
        <v>129</v>
      </c>
      <c r="C311" s="2">
        <v>1</v>
      </c>
      <c r="D311" s="2"/>
      <c r="E311" s="2" t="s">
        <v>109</v>
      </c>
      <c r="F311" s="2" t="s">
        <v>84</v>
      </c>
      <c r="H311" s="2">
        <v>1.3</v>
      </c>
      <c r="J311" s="2">
        <v>1.3</v>
      </c>
      <c r="K311" s="2">
        <v>26.2222222222222</v>
      </c>
      <c r="L311" s="2"/>
      <c r="M311" s="2">
        <v>5.0451663702700102</v>
      </c>
      <c r="N311" s="2">
        <v>93.4444444444444</v>
      </c>
      <c r="O311" s="2">
        <v>14.899975142907399</v>
      </c>
      <c r="P311" s="2">
        <v>20.2777777777777</v>
      </c>
      <c r="Q311" s="2">
        <v>2.0705161281760001</v>
      </c>
      <c r="R311" s="2">
        <v>1.55555555555555</v>
      </c>
      <c r="S311" s="2">
        <v>0.83887049280786097</v>
      </c>
      <c r="T311" s="2">
        <v>4.7777777777777697</v>
      </c>
      <c r="U311" s="2">
        <v>1.1097213530798999</v>
      </c>
      <c r="V311" s="2">
        <v>1.1111111111111101</v>
      </c>
      <c r="W311" s="2">
        <v>0.48112522432468802</v>
      </c>
      <c r="X311" s="2">
        <v>2.3333333333333299</v>
      </c>
      <c r="Y311" s="2">
        <v>0.33333333333333498</v>
      </c>
      <c r="Z311" s="7">
        <v>65.086582180516601</v>
      </c>
      <c r="AA311" s="2">
        <v>10.378235564373901</v>
      </c>
      <c r="AB311" s="7">
        <v>73.75</v>
      </c>
      <c r="AC311" s="2">
        <v>14.1895304163844</v>
      </c>
      <c r="AD311" s="2">
        <v>97.727272727272705</v>
      </c>
      <c r="AE311" s="2">
        <v>22.6988458584526</v>
      </c>
      <c r="AF311" s="2">
        <v>120.860927152317</v>
      </c>
      <c r="AG311" s="2">
        <v>12.340824605022499</v>
      </c>
      <c r="AH311" s="2">
        <v>66.6666666666666</v>
      </c>
      <c r="AI311" s="2">
        <v>35.951592548908302</v>
      </c>
      <c r="AJ311" s="2">
        <v>181.81818181818099</v>
      </c>
      <c r="AK311" s="2">
        <v>78.729582162221703</v>
      </c>
      <c r="AL311" s="2">
        <v>103.703703703703</v>
      </c>
      <c r="AM311" s="2">
        <v>14.8148148148149</v>
      </c>
      <c r="AN311"/>
      <c r="AO311"/>
    </row>
    <row r="312" spans="1:41" ht="15.75" hidden="1" customHeight="1" x14ac:dyDescent="0.45">
      <c r="A312" s="2" t="s">
        <v>128</v>
      </c>
      <c r="B312" s="2" t="s">
        <v>129</v>
      </c>
      <c r="C312" s="2">
        <v>3</v>
      </c>
      <c r="D312" s="2"/>
      <c r="E312" s="2" t="s">
        <v>109</v>
      </c>
      <c r="F312" s="2" t="s">
        <v>84</v>
      </c>
      <c r="H312" s="2">
        <v>1.3</v>
      </c>
      <c r="J312" s="2">
        <v>1.3</v>
      </c>
      <c r="K312" s="2">
        <v>5.4444444444444402</v>
      </c>
      <c r="L312" s="2"/>
      <c r="M312" s="2">
        <v>9.0005143885924195</v>
      </c>
      <c r="N312" s="2">
        <v>43.9444444444444</v>
      </c>
      <c r="O312" s="2">
        <v>33.101835016830698</v>
      </c>
      <c r="P312" s="2">
        <v>12.2777777777777</v>
      </c>
      <c r="Q312" s="2">
        <v>15.236408636819499</v>
      </c>
      <c r="R312" s="2">
        <v>0.33333333333333298</v>
      </c>
      <c r="S312" s="2">
        <v>0.57735026918962495</v>
      </c>
      <c r="T312" s="2">
        <v>31.0555555555555</v>
      </c>
      <c r="U312" s="2">
        <v>19.579136666170701</v>
      </c>
      <c r="V312" s="2">
        <v>0.83333333333333304</v>
      </c>
      <c r="W312" s="2">
        <v>0.92796072713833699</v>
      </c>
      <c r="X312" s="2">
        <v>2.7222222222222201</v>
      </c>
      <c r="Y312" s="2">
        <v>0.94770678384622298</v>
      </c>
      <c r="Z312" s="7">
        <v>30.608493760278598</v>
      </c>
      <c r="AA312" s="2">
        <v>23.0563231228771</v>
      </c>
      <c r="AB312" s="7">
        <v>15.3125</v>
      </c>
      <c r="AC312" s="2">
        <v>25.3139467179161</v>
      </c>
      <c r="AD312" s="2">
        <v>635.22727272727195</v>
      </c>
      <c r="AE312" s="2">
        <v>400.48234089894697</v>
      </c>
      <c r="AF312" s="2">
        <v>73.178807947019806</v>
      </c>
      <c r="AG312" s="2">
        <v>90.813031610182506</v>
      </c>
      <c r="AH312" s="2">
        <v>14.285714285714199</v>
      </c>
      <c r="AI312" s="2">
        <v>24.743582965269599</v>
      </c>
      <c r="AJ312" s="2">
        <v>136.363636363636</v>
      </c>
      <c r="AK312" s="2">
        <v>151.84811898627299</v>
      </c>
      <c r="AL312" s="2">
        <v>120.98765432098701</v>
      </c>
      <c r="AM312" s="2">
        <v>42.120301504276597</v>
      </c>
      <c r="AN312"/>
      <c r="AO312"/>
    </row>
    <row r="313" spans="1:41" ht="15.75" hidden="1" customHeight="1" x14ac:dyDescent="0.45">
      <c r="A313" s="2" t="s">
        <v>128</v>
      </c>
      <c r="B313" s="2" t="s">
        <v>129</v>
      </c>
      <c r="C313" s="2">
        <v>10</v>
      </c>
      <c r="D313" s="2"/>
      <c r="E313" s="2" t="s">
        <v>109</v>
      </c>
      <c r="F313" s="2" t="s">
        <v>84</v>
      </c>
      <c r="H313" s="2">
        <v>1.3</v>
      </c>
      <c r="J313" s="2">
        <v>1.3</v>
      </c>
      <c r="K313" s="2">
        <v>0</v>
      </c>
      <c r="L313" s="2"/>
      <c r="M313" s="2">
        <v>0</v>
      </c>
      <c r="N313" s="2">
        <v>17.6111111111111</v>
      </c>
      <c r="O313" s="2">
        <v>0.85526690657447202</v>
      </c>
      <c r="P313" s="2">
        <v>0</v>
      </c>
      <c r="Q313" s="2">
        <v>0</v>
      </c>
      <c r="R313" s="2">
        <v>0.33333333333333298</v>
      </c>
      <c r="S313" s="2">
        <v>0.57735026918962495</v>
      </c>
      <c r="T313" s="2">
        <v>92.6111111111111</v>
      </c>
      <c r="U313" s="2">
        <v>4.89425210871903</v>
      </c>
      <c r="V313" s="2">
        <v>0</v>
      </c>
      <c r="W313" s="2">
        <v>0</v>
      </c>
      <c r="X313" s="2">
        <v>0.88888888888888895</v>
      </c>
      <c r="Y313" s="2">
        <v>1.13447654759234</v>
      </c>
      <c r="Z313" s="7">
        <v>12.2666150720712</v>
      </c>
      <c r="AA313" s="2">
        <v>0.59571652581369805</v>
      </c>
      <c r="AB313" s="7">
        <v>0</v>
      </c>
      <c r="AC313" s="2">
        <v>0</v>
      </c>
      <c r="AD313" s="2">
        <v>1894.3181818181799</v>
      </c>
      <c r="AE313" s="2">
        <v>100.109702223798</v>
      </c>
      <c r="AF313" s="2">
        <v>0</v>
      </c>
      <c r="AG313" s="2">
        <v>0</v>
      </c>
      <c r="AH313" s="2">
        <v>14.285714285714199</v>
      </c>
      <c r="AI313" s="2">
        <v>24.743582965269599</v>
      </c>
      <c r="AJ313" s="2">
        <v>0</v>
      </c>
      <c r="AK313" s="2">
        <v>0</v>
      </c>
      <c r="AL313" s="2">
        <v>39.5061728395061</v>
      </c>
      <c r="AM313" s="2">
        <v>50.421179892992903</v>
      </c>
      <c r="AN313"/>
      <c r="AO313"/>
    </row>
    <row r="314" spans="1:41" ht="15.75" hidden="1" customHeight="1" x14ac:dyDescent="0.45">
      <c r="A314" s="2" t="s">
        <v>128</v>
      </c>
      <c r="B314" s="2" t="s">
        <v>129</v>
      </c>
      <c r="C314" s="2">
        <v>3.0000000000000001E-3</v>
      </c>
      <c r="D314" s="2"/>
      <c r="E314" s="2" t="s">
        <v>109</v>
      </c>
      <c r="F314" s="2" t="s">
        <v>84</v>
      </c>
      <c r="H314" s="2">
        <v>2.5</v>
      </c>
      <c r="J314" s="2">
        <v>2.5</v>
      </c>
      <c r="K314" s="2">
        <v>29.5555555555555</v>
      </c>
      <c r="L314" s="2"/>
      <c r="M314" s="2">
        <v>3.47344422940904</v>
      </c>
      <c r="N314" s="2">
        <v>254.611111111111</v>
      </c>
      <c r="O314" s="2">
        <v>40.140494008659203</v>
      </c>
      <c r="P314" s="2">
        <v>12.5</v>
      </c>
      <c r="Q314" s="2">
        <v>1.64147630029936</v>
      </c>
      <c r="R314" s="2">
        <v>1.8333333333333299</v>
      </c>
      <c r="S314" s="2">
        <v>0.83333333333333404</v>
      </c>
      <c r="T314" s="2">
        <v>7.6111111111111098</v>
      </c>
      <c r="U314" s="2">
        <v>1.7821127702606001</v>
      </c>
      <c r="V314" s="2">
        <v>0.38888888888888801</v>
      </c>
      <c r="W314" s="2">
        <v>0.34694433324435497</v>
      </c>
      <c r="X314" s="2">
        <v>4.2777777777777697</v>
      </c>
      <c r="Y314" s="2">
        <v>0.48112522432468702</v>
      </c>
      <c r="Z314" s="7">
        <v>107.43714469905601</v>
      </c>
      <c r="AA314" s="2">
        <v>16.9379099139862</v>
      </c>
      <c r="AB314" s="7">
        <v>84.377478191911194</v>
      </c>
      <c r="AC314" s="2">
        <v>9.91625632503772</v>
      </c>
      <c r="AD314" s="2">
        <v>95.470383275261298</v>
      </c>
      <c r="AE314" s="2">
        <v>22.3540277802723</v>
      </c>
      <c r="AF314" s="2">
        <v>90</v>
      </c>
      <c r="AG314" s="2">
        <v>11.8186293621554</v>
      </c>
      <c r="AH314" s="2">
        <v>100.763358778625</v>
      </c>
      <c r="AI314" s="2">
        <v>45.801526717557302</v>
      </c>
      <c r="AJ314" s="2">
        <v>59.574468085106297</v>
      </c>
      <c r="AK314" s="2">
        <v>53.148919135305498</v>
      </c>
      <c r="AL314" s="2">
        <v>112</v>
      </c>
      <c r="AM314" s="2">
        <v>12.596733145955399</v>
      </c>
      <c r="AN314"/>
      <c r="AO314"/>
    </row>
    <row r="315" spans="1:41" ht="15.75" hidden="1" customHeight="1" x14ac:dyDescent="0.45">
      <c r="A315" s="2" t="s">
        <v>128</v>
      </c>
      <c r="B315" s="2" t="s">
        <v>129</v>
      </c>
      <c r="C315" s="2">
        <v>0.01</v>
      </c>
      <c r="D315" s="2"/>
      <c r="E315" s="2" t="s">
        <v>109</v>
      </c>
      <c r="F315" s="2" t="s">
        <v>84</v>
      </c>
      <c r="H315" s="2">
        <v>2.5</v>
      </c>
      <c r="J315" s="2">
        <v>2.5</v>
      </c>
      <c r="K315" s="2">
        <v>30.5</v>
      </c>
      <c r="L315" s="2"/>
      <c r="M315" s="2">
        <v>0.83333333333340898</v>
      </c>
      <c r="N315" s="2">
        <v>255.555555555555</v>
      </c>
      <c r="O315" s="2">
        <v>12.898463876382699</v>
      </c>
      <c r="P315" s="2">
        <v>13.0555555555555</v>
      </c>
      <c r="Q315" s="2">
        <v>0.67357531405453597</v>
      </c>
      <c r="R315" s="2">
        <v>1.7777777777777699</v>
      </c>
      <c r="S315" s="2">
        <v>0.25458753860865702</v>
      </c>
      <c r="T315" s="2">
        <v>8.9444444444444393</v>
      </c>
      <c r="U315" s="2">
        <v>1.49381440663874</v>
      </c>
      <c r="V315" s="2">
        <v>0.44444444444444398</v>
      </c>
      <c r="W315" s="2">
        <v>9.6225044864937798E-2</v>
      </c>
      <c r="X315" s="2">
        <v>3.55555555555555</v>
      </c>
      <c r="Y315" s="2">
        <v>0.25458753860865402</v>
      </c>
      <c r="Z315" s="7">
        <v>107.83566781925801</v>
      </c>
      <c r="AA315" s="2">
        <v>5.4427087798133797</v>
      </c>
      <c r="AB315" s="7">
        <v>87.073750991276697</v>
      </c>
      <c r="AC315" s="2">
        <v>2.3790642347345501</v>
      </c>
      <c r="AD315" s="2">
        <v>112.19512195121899</v>
      </c>
      <c r="AE315" s="2">
        <v>18.737741686060801</v>
      </c>
      <c r="AF315" s="2">
        <v>94</v>
      </c>
      <c r="AG315" s="2">
        <v>4.8497422611926497</v>
      </c>
      <c r="AH315" s="2">
        <v>97.709923664122101</v>
      </c>
      <c r="AI315" s="2">
        <v>13.9925975418499</v>
      </c>
      <c r="AJ315" s="2">
        <v>68.085106382978694</v>
      </c>
      <c r="AK315" s="2">
        <v>14.740857936756401</v>
      </c>
      <c r="AL315" s="2">
        <v>93.090909090909093</v>
      </c>
      <c r="AM315" s="2">
        <v>6.6655646472083996</v>
      </c>
      <c r="AN315"/>
      <c r="AO315"/>
    </row>
    <row r="316" spans="1:41" ht="15.75" hidden="1" customHeight="1" x14ac:dyDescent="0.45">
      <c r="A316" s="2" t="s">
        <v>128</v>
      </c>
      <c r="B316" s="2" t="s">
        <v>129</v>
      </c>
      <c r="C316" s="2">
        <v>0.03</v>
      </c>
      <c r="D316" s="2"/>
      <c r="E316" s="2" t="s">
        <v>109</v>
      </c>
      <c r="F316" s="2" t="s">
        <v>84</v>
      </c>
      <c r="H316" s="2">
        <v>2.5</v>
      </c>
      <c r="J316" s="2">
        <v>2.5</v>
      </c>
      <c r="K316" s="2">
        <v>30.0555555555555</v>
      </c>
      <c r="L316" s="2"/>
      <c r="M316" s="2">
        <v>2.42861033271046</v>
      </c>
      <c r="N316" s="2">
        <v>226.666666666666</v>
      </c>
      <c r="O316" s="2">
        <v>15.971328477409999</v>
      </c>
      <c r="P316" s="2">
        <v>11.3333333333333</v>
      </c>
      <c r="Q316" s="2">
        <v>1.6914819275153701</v>
      </c>
      <c r="R316" s="2">
        <v>1.6111111111111101</v>
      </c>
      <c r="S316" s="2">
        <v>0.38490017945975002</v>
      </c>
      <c r="T316" s="2">
        <v>6.1111111111111098</v>
      </c>
      <c r="U316" s="2">
        <v>0.254587538608675</v>
      </c>
      <c r="V316" s="2">
        <v>0.72222222222222199</v>
      </c>
      <c r="W316" s="2">
        <v>0.25458753860865702</v>
      </c>
      <c r="X316" s="2">
        <v>4.2222222222222197</v>
      </c>
      <c r="Y316" s="2">
        <v>0.67357531405456195</v>
      </c>
      <c r="Z316" s="7">
        <v>95.645548848385403</v>
      </c>
      <c r="AA316" s="2">
        <v>6.7393521090870401</v>
      </c>
      <c r="AB316" s="7">
        <v>85.804916732751806</v>
      </c>
      <c r="AC316" s="2">
        <v>6.9333839791892702</v>
      </c>
      <c r="AD316" s="2">
        <v>76.655052264808305</v>
      </c>
      <c r="AE316" s="2">
        <v>3.1934325400391299</v>
      </c>
      <c r="AF316" s="2">
        <v>81.599999999999895</v>
      </c>
      <c r="AG316" s="2">
        <v>12.1786698781107</v>
      </c>
      <c r="AH316" s="2">
        <v>88.549618320610705</v>
      </c>
      <c r="AI316" s="2">
        <v>21.154819023742</v>
      </c>
      <c r="AJ316" s="2">
        <v>110.63829787234</v>
      </c>
      <c r="AK316" s="2">
        <v>39.0006442123901</v>
      </c>
      <c r="AL316" s="2">
        <v>110.54545454545401</v>
      </c>
      <c r="AM316" s="2">
        <v>17.635426404337601</v>
      </c>
      <c r="AN316"/>
      <c r="AO316"/>
    </row>
    <row r="317" spans="1:41" ht="15.75" hidden="1" customHeight="1" x14ac:dyDescent="0.45">
      <c r="A317" s="2" t="s">
        <v>128</v>
      </c>
      <c r="B317" s="2" t="s">
        <v>129</v>
      </c>
      <c r="C317" s="2">
        <v>0.1</v>
      </c>
      <c r="D317" s="2"/>
      <c r="E317" s="2" t="s">
        <v>109</v>
      </c>
      <c r="F317" s="2" t="s">
        <v>84</v>
      </c>
      <c r="H317" s="2">
        <v>2.5</v>
      </c>
      <c r="J317" s="2">
        <v>2.5</v>
      </c>
      <c r="K317" s="2">
        <v>30.1666666666666</v>
      </c>
      <c r="L317" s="2"/>
      <c r="M317" s="2">
        <v>3.3829638550307899</v>
      </c>
      <c r="N317" s="2">
        <v>243.777777777777</v>
      </c>
      <c r="O317" s="2">
        <v>34.8717225992214</v>
      </c>
      <c r="P317" s="2">
        <v>12.8333333333333</v>
      </c>
      <c r="Q317" s="2">
        <v>1.2583057392118</v>
      </c>
      <c r="R317" s="2">
        <v>1.88888888888888</v>
      </c>
      <c r="S317" s="2">
        <v>0.67357531405456395</v>
      </c>
      <c r="T317" s="2">
        <v>8.1111111111111107</v>
      </c>
      <c r="U317" s="2">
        <v>1.20569635634504</v>
      </c>
      <c r="V317" s="2">
        <v>0.38888888888888801</v>
      </c>
      <c r="W317" s="2">
        <v>0.19245008972987501</v>
      </c>
      <c r="X317" s="2">
        <v>3.55555555555555</v>
      </c>
      <c r="Y317" s="2">
        <v>0.34694433324435497</v>
      </c>
      <c r="Z317" s="7">
        <v>102.865850084979</v>
      </c>
      <c r="AA317" s="2">
        <v>14.7146693262846</v>
      </c>
      <c r="AB317" s="7">
        <v>86.122125297382993</v>
      </c>
      <c r="AC317" s="2">
        <v>9.6579459778833101</v>
      </c>
      <c r="AD317" s="2">
        <v>101.742160278745</v>
      </c>
      <c r="AE317" s="2">
        <v>15.123717361819301</v>
      </c>
      <c r="AF317" s="2">
        <v>92.399999999999906</v>
      </c>
      <c r="AG317" s="2">
        <v>9.0598013223250007</v>
      </c>
      <c r="AH317" s="2">
        <v>103.816793893129</v>
      </c>
      <c r="AI317" s="2">
        <v>37.020933291548502</v>
      </c>
      <c r="AJ317" s="2">
        <v>59.574468085106297</v>
      </c>
      <c r="AK317" s="2">
        <v>29.481715873512801</v>
      </c>
      <c r="AL317" s="2">
        <v>93.090909090909093</v>
      </c>
      <c r="AM317" s="2">
        <v>9.0836334522158495</v>
      </c>
      <c r="AN317"/>
      <c r="AO317"/>
    </row>
    <row r="318" spans="1:41" ht="15.75" hidden="1" customHeight="1" x14ac:dyDescent="0.45">
      <c r="A318" s="2" t="s">
        <v>128</v>
      </c>
      <c r="B318" s="2" t="s">
        <v>129</v>
      </c>
      <c r="C318" s="2">
        <v>0.3</v>
      </c>
      <c r="D318" s="2"/>
      <c r="E318" s="2" t="s">
        <v>109</v>
      </c>
      <c r="F318" s="2" t="s">
        <v>84</v>
      </c>
      <c r="H318" s="2">
        <v>2.5</v>
      </c>
      <c r="J318" s="2">
        <v>2.5</v>
      </c>
      <c r="K318" s="2">
        <v>27.3333333333333</v>
      </c>
      <c r="L318" s="2"/>
      <c r="M318" s="2">
        <v>7.4740291082595496</v>
      </c>
      <c r="N318" s="2">
        <v>201.055555555555</v>
      </c>
      <c r="O318" s="2">
        <v>22.711556855812798</v>
      </c>
      <c r="P318" s="2">
        <v>14.3333333333333</v>
      </c>
      <c r="Q318" s="2">
        <v>1.32287565553229</v>
      </c>
      <c r="R318" s="2">
        <v>2.38888888888888</v>
      </c>
      <c r="S318" s="2">
        <v>1.0715167512214301</v>
      </c>
      <c r="T318" s="2">
        <v>7.9444444444444402</v>
      </c>
      <c r="U318" s="2">
        <v>0.67357531405454596</v>
      </c>
      <c r="V318" s="2">
        <v>0.72222222222222199</v>
      </c>
      <c r="W318" s="2">
        <v>0.19245008972987501</v>
      </c>
      <c r="X318" s="2">
        <v>3.38888888888888</v>
      </c>
      <c r="Y318" s="2">
        <v>0.38490017945975502</v>
      </c>
      <c r="Z318" s="7">
        <v>84.838539529977098</v>
      </c>
      <c r="AA318" s="2">
        <v>9.5834970029802609</v>
      </c>
      <c r="AB318" s="7">
        <v>78.033306899286202</v>
      </c>
      <c r="AC318" s="2">
        <v>21.3374344089884</v>
      </c>
      <c r="AD318" s="2">
        <v>99.6515679442508</v>
      </c>
      <c r="AE318" s="2">
        <v>8.4490283296040705</v>
      </c>
      <c r="AF318" s="2">
        <v>103.2</v>
      </c>
      <c r="AG318" s="2">
        <v>9.5247047198325205</v>
      </c>
      <c r="AH318" s="2">
        <v>131.297709923664</v>
      </c>
      <c r="AI318" s="2">
        <v>58.892523731254599</v>
      </c>
      <c r="AJ318" s="2">
        <v>110.63829787234</v>
      </c>
      <c r="AK318" s="2">
        <v>29.481715873512801</v>
      </c>
      <c r="AL318" s="2">
        <v>88.727272727272705</v>
      </c>
      <c r="AM318" s="2">
        <v>10.0773865167645</v>
      </c>
      <c r="AN318"/>
      <c r="AO318"/>
    </row>
    <row r="319" spans="1:41" ht="15.75" hidden="1" customHeight="1" x14ac:dyDescent="0.45">
      <c r="A319" s="2" t="s">
        <v>128</v>
      </c>
      <c r="B319" s="2" t="s">
        <v>129</v>
      </c>
      <c r="C319" s="2">
        <v>1</v>
      </c>
      <c r="D319" s="2"/>
      <c r="E319" s="2" t="s">
        <v>109</v>
      </c>
      <c r="F319" s="2" t="s">
        <v>84</v>
      </c>
      <c r="H319" s="2">
        <v>2.5</v>
      </c>
      <c r="J319" s="2">
        <v>2.5</v>
      </c>
      <c r="K319" s="2">
        <v>25.1111111111111</v>
      </c>
      <c r="L319" s="2"/>
      <c r="M319" s="2">
        <v>8.0023144800137</v>
      </c>
      <c r="N319" s="2">
        <v>185.722222222222</v>
      </c>
      <c r="O319" s="2">
        <v>33.560200193637698</v>
      </c>
      <c r="P319" s="2">
        <v>16.0555555555555</v>
      </c>
      <c r="Q319" s="2">
        <v>1.1824331474329</v>
      </c>
      <c r="R319" s="2">
        <v>1.3333333333333299</v>
      </c>
      <c r="S319" s="2">
        <v>0.33333333333333398</v>
      </c>
      <c r="T319" s="2">
        <v>8.2777777777777697</v>
      </c>
      <c r="U319" s="2">
        <v>1.9531550923607699</v>
      </c>
      <c r="V319" s="2">
        <v>1.05555555555555</v>
      </c>
      <c r="W319" s="2">
        <v>0.25458753860865702</v>
      </c>
      <c r="X319" s="2">
        <v>3.2222222222222201</v>
      </c>
      <c r="Y319" s="2">
        <v>0.53575837561071904</v>
      </c>
      <c r="Z319" s="7">
        <v>78.368399460821607</v>
      </c>
      <c r="AA319" s="2">
        <v>14.161251913156599</v>
      </c>
      <c r="AB319" s="7">
        <v>71.689135606661395</v>
      </c>
      <c r="AC319" s="2">
        <v>22.8456242093967</v>
      </c>
      <c r="AD319" s="2">
        <v>103.83275261324</v>
      </c>
      <c r="AE319" s="2">
        <v>24.499506385013198</v>
      </c>
      <c r="AF319" s="2">
        <v>115.6</v>
      </c>
      <c r="AG319" s="2">
        <v>8.5135186615169403</v>
      </c>
      <c r="AH319" s="2">
        <v>73.282442748091597</v>
      </c>
      <c r="AI319" s="2">
        <v>18.320610687022899</v>
      </c>
      <c r="AJ319" s="2">
        <v>161.70212765957399</v>
      </c>
      <c r="AK319" s="2">
        <v>39.00064421239</v>
      </c>
      <c r="AL319" s="2">
        <v>84.363636363636303</v>
      </c>
      <c r="AM319" s="2">
        <v>14.027128379626101</v>
      </c>
      <c r="AN319"/>
      <c r="AO319"/>
    </row>
    <row r="320" spans="1:41" ht="15.75" hidden="1" customHeight="1" x14ac:dyDescent="0.45">
      <c r="A320" s="2" t="s">
        <v>128</v>
      </c>
      <c r="B320" s="2" t="s">
        <v>129</v>
      </c>
      <c r="C320" s="2">
        <v>3</v>
      </c>
      <c r="D320" s="2"/>
      <c r="E320" s="2" t="s">
        <v>109</v>
      </c>
      <c r="F320" s="2" t="s">
        <v>84</v>
      </c>
      <c r="H320" s="2">
        <v>2.5</v>
      </c>
      <c r="J320" s="2">
        <v>2.5</v>
      </c>
      <c r="K320" s="2">
        <v>6.7777777777777697</v>
      </c>
      <c r="L320" s="2"/>
      <c r="M320" s="2">
        <v>10.5900022732834</v>
      </c>
      <c r="N320" s="2">
        <v>74.7222222222222</v>
      </c>
      <c r="O320" s="2">
        <v>52.842620985267097</v>
      </c>
      <c r="P320" s="2">
        <v>20.5</v>
      </c>
      <c r="Q320" s="2">
        <v>1.7559422921421</v>
      </c>
      <c r="R320" s="2">
        <v>0.61111111111111105</v>
      </c>
      <c r="S320" s="2">
        <v>0.58531409738070705</v>
      </c>
      <c r="T320" s="2">
        <v>17.2222222222222</v>
      </c>
      <c r="U320" s="2">
        <v>3.5991254081656598</v>
      </c>
      <c r="V320" s="2">
        <v>1.2777777777777699</v>
      </c>
      <c r="W320" s="2">
        <v>0.41943524640392998</v>
      </c>
      <c r="X320" s="2">
        <v>4.4444444444444402</v>
      </c>
      <c r="Y320" s="2">
        <v>1.43694635070861</v>
      </c>
      <c r="Z320" s="7">
        <v>31.530211568891701</v>
      </c>
      <c r="AA320" s="2">
        <v>22.297771264954701</v>
      </c>
      <c r="AB320" s="7">
        <v>19.3497224425059</v>
      </c>
      <c r="AC320" s="2">
        <v>30.233154784948699</v>
      </c>
      <c r="AD320" s="2">
        <v>216.02787456445901</v>
      </c>
      <c r="AE320" s="2">
        <v>45.145823935179102</v>
      </c>
      <c r="AF320" s="2">
        <v>147.6</v>
      </c>
      <c r="AG320" s="2">
        <v>12.642784503423099</v>
      </c>
      <c r="AH320" s="2">
        <v>33.587786259542</v>
      </c>
      <c r="AI320" s="2">
        <v>32.169935123214401</v>
      </c>
      <c r="AJ320" s="2">
        <v>195.74468085106301</v>
      </c>
      <c r="AK320" s="2">
        <v>64.253910087410603</v>
      </c>
      <c r="AL320" s="2">
        <v>116.363636363636</v>
      </c>
      <c r="AM320" s="2">
        <v>37.621868091280099</v>
      </c>
      <c r="AN320"/>
      <c r="AO320"/>
    </row>
    <row r="321" spans="1:41" ht="15.75" hidden="1" customHeight="1" x14ac:dyDescent="0.45">
      <c r="A321" s="2" t="s">
        <v>128</v>
      </c>
      <c r="B321" s="2" t="s">
        <v>129</v>
      </c>
      <c r="C321" s="2">
        <v>10</v>
      </c>
      <c r="D321" s="2"/>
      <c r="E321" s="2" t="s">
        <v>109</v>
      </c>
      <c r="F321" s="2" t="s">
        <v>84</v>
      </c>
      <c r="H321" s="2">
        <v>2.5</v>
      </c>
      <c r="J321" s="2">
        <v>2.5</v>
      </c>
      <c r="K321" s="2">
        <v>0</v>
      </c>
      <c r="L321" s="2"/>
      <c r="M321" s="2">
        <v>0</v>
      </c>
      <c r="N321" s="2">
        <v>8.55555555555555</v>
      </c>
      <c r="O321" s="2">
        <v>0.91792842454769996</v>
      </c>
      <c r="P321" s="2">
        <v>1.3333333333333299</v>
      </c>
      <c r="Q321" s="2">
        <v>2.3094010767584998</v>
      </c>
      <c r="R321" s="2">
        <v>0.58333333333333304</v>
      </c>
      <c r="S321" s="2">
        <v>1.01036297108184</v>
      </c>
      <c r="T321" s="2">
        <v>77.2777777777777</v>
      </c>
      <c r="U321" s="2">
        <v>7.5098700486859</v>
      </c>
      <c r="V321" s="2">
        <v>1.6666666666666601</v>
      </c>
      <c r="W321" s="2">
        <v>2.8867513459481202</v>
      </c>
      <c r="X321" s="2">
        <v>1.9166666666666601</v>
      </c>
      <c r="Y321" s="2">
        <v>2.0052015692526601</v>
      </c>
      <c r="Z321" s="7">
        <v>3.6101506182968999</v>
      </c>
      <c r="AA321" s="2">
        <v>0.38733427045322799</v>
      </c>
      <c r="AB321" s="7">
        <v>0</v>
      </c>
      <c r="AC321" s="2">
        <v>0</v>
      </c>
      <c r="AD321" s="2">
        <v>969.33797909407599</v>
      </c>
      <c r="AE321" s="2">
        <v>94.2004605410078</v>
      </c>
      <c r="AF321" s="2">
        <v>9.6</v>
      </c>
      <c r="AG321" s="2">
        <v>16.627687752661199</v>
      </c>
      <c r="AH321" s="2">
        <v>32.061068702290001</v>
      </c>
      <c r="AI321" s="2">
        <v>55.531399937322703</v>
      </c>
      <c r="AJ321" s="2">
        <v>255.31914893617</v>
      </c>
      <c r="AK321" s="2">
        <v>442.22573810269103</v>
      </c>
      <c r="AL321" s="2">
        <v>50.181818181818102</v>
      </c>
      <c r="AM321" s="2">
        <v>52.499822904069603</v>
      </c>
      <c r="AN321"/>
      <c r="AO321"/>
    </row>
    <row r="322" spans="1:41" ht="15.75" hidden="1" customHeight="1" x14ac:dyDescent="0.45">
      <c r="A322" s="2" t="s">
        <v>130</v>
      </c>
      <c r="B322" s="2" t="s">
        <v>131</v>
      </c>
      <c r="C322" s="2">
        <v>3.0000000000000001E-3</v>
      </c>
      <c r="D322" s="2"/>
      <c r="E322" s="2" t="s">
        <v>109</v>
      </c>
      <c r="F322" s="2" t="s">
        <v>84</v>
      </c>
      <c r="H322" s="2">
        <v>2.7</v>
      </c>
      <c r="J322" s="2">
        <v>2.7</v>
      </c>
      <c r="K322" s="2">
        <v>35.3888888888888</v>
      </c>
      <c r="L322" s="2"/>
      <c r="M322" s="2">
        <v>2.7504208432191799</v>
      </c>
      <c r="N322" s="2">
        <v>156.611111111111</v>
      </c>
      <c r="O322" s="2">
        <v>15.674052632485299</v>
      </c>
      <c r="P322" s="2">
        <v>19.4444444444444</v>
      </c>
      <c r="Q322" s="2">
        <v>2.0838888148345598</v>
      </c>
      <c r="R322" s="2">
        <v>2.2222222222222201</v>
      </c>
      <c r="S322" s="2">
        <v>0.50917507721731503</v>
      </c>
      <c r="T322" s="2">
        <v>5.8333333333333304</v>
      </c>
      <c r="U322" s="2">
        <v>2.08832734769027</v>
      </c>
      <c r="V322" s="2">
        <v>0.5</v>
      </c>
      <c r="W322" s="2">
        <v>1.05367121277235E-8</v>
      </c>
      <c r="X322" s="2">
        <v>2.2777777777777701</v>
      </c>
      <c r="Y322" s="2">
        <v>0.41943524640392998</v>
      </c>
      <c r="Z322" s="7">
        <v>109.083873464254</v>
      </c>
      <c r="AA322" s="2">
        <v>10.9174014659857</v>
      </c>
      <c r="AB322" s="7">
        <v>99.53125</v>
      </c>
      <c r="AC322" s="2">
        <v>7.7355586215539702</v>
      </c>
      <c r="AD322" s="2">
        <v>119.318181818181</v>
      </c>
      <c r="AE322" s="2">
        <v>42.715786657301102</v>
      </c>
      <c r="AF322" s="2">
        <v>115.894039735099</v>
      </c>
      <c r="AG322" s="2">
        <v>12.420529359941099</v>
      </c>
      <c r="AH322" s="2">
        <v>95.238095238095198</v>
      </c>
      <c r="AI322" s="2">
        <v>21.821789023599202</v>
      </c>
      <c r="AJ322" s="2">
        <v>81.818181818181799</v>
      </c>
      <c r="AK322" s="2">
        <v>1.72418925726384E-6</v>
      </c>
      <c r="AL322" s="2">
        <v>101.234567901234</v>
      </c>
      <c r="AM322" s="2">
        <v>18.641566506841301</v>
      </c>
      <c r="AN322"/>
      <c r="AO322"/>
    </row>
    <row r="323" spans="1:41" ht="15.75" hidden="1" customHeight="1" x14ac:dyDescent="0.45">
      <c r="A323" s="2" t="s">
        <v>130</v>
      </c>
      <c r="B323" s="2" t="s">
        <v>131</v>
      </c>
      <c r="C323" s="2">
        <v>0.01</v>
      </c>
      <c r="D323" s="2"/>
      <c r="E323" s="2" t="s">
        <v>109</v>
      </c>
      <c r="F323" s="2" t="s">
        <v>84</v>
      </c>
      <c r="H323" s="2">
        <v>2.7</v>
      </c>
      <c r="J323" s="2">
        <v>2.7</v>
      </c>
      <c r="K323" s="2">
        <v>34.6111111111111</v>
      </c>
      <c r="L323" s="2"/>
      <c r="M323" s="2">
        <v>0.69388866648874103</v>
      </c>
      <c r="N323" s="2">
        <v>147.388888888888</v>
      </c>
      <c r="O323" s="2">
        <v>2.71484260508069</v>
      </c>
      <c r="P323" s="2">
        <v>17.8333333333333</v>
      </c>
      <c r="Q323" s="2">
        <v>1.92209376577845</v>
      </c>
      <c r="R323" s="2">
        <v>2.55555555555555</v>
      </c>
      <c r="S323" s="2">
        <v>0.85526690657448001</v>
      </c>
      <c r="T323" s="2">
        <v>4.8333333333333304</v>
      </c>
      <c r="U323" s="2">
        <v>0.72648315725677903</v>
      </c>
      <c r="V323" s="2">
        <v>0.66666666666666596</v>
      </c>
      <c r="W323" s="2">
        <v>0.28867513459481298</v>
      </c>
      <c r="X323" s="2">
        <v>2.6666666666666599</v>
      </c>
      <c r="Y323" s="2">
        <v>0.76376261582597404</v>
      </c>
      <c r="Z323" s="7">
        <v>102.660346328722</v>
      </c>
      <c r="AA323" s="2">
        <v>1.8909612805050799</v>
      </c>
      <c r="AB323" s="7">
        <v>97.34375</v>
      </c>
      <c r="AC323" s="2">
        <v>1.95156187449958</v>
      </c>
      <c r="AD323" s="2">
        <v>98.863636363636303</v>
      </c>
      <c r="AE323" s="2">
        <v>14.8598827620704</v>
      </c>
      <c r="AF323" s="2">
        <v>106.291390728476</v>
      </c>
      <c r="AG323" s="2">
        <v>11.456188007951001</v>
      </c>
      <c r="AH323" s="2">
        <v>109.52380952380901</v>
      </c>
      <c r="AI323" s="2">
        <v>36.6542959960491</v>
      </c>
      <c r="AJ323" s="2">
        <v>109.09090909090899</v>
      </c>
      <c r="AK323" s="2">
        <v>47.237749297333004</v>
      </c>
      <c r="AL323" s="2">
        <v>118.51851851851799</v>
      </c>
      <c r="AM323" s="2">
        <v>33.945005147821099</v>
      </c>
      <c r="AN323"/>
      <c r="AO323"/>
    </row>
    <row r="324" spans="1:41" ht="15.75" hidden="1" customHeight="1" x14ac:dyDescent="0.45">
      <c r="A324" s="2" t="s">
        <v>130</v>
      </c>
      <c r="B324" s="2" t="s">
        <v>131</v>
      </c>
      <c r="C324" s="2">
        <v>0.03</v>
      </c>
      <c r="D324" s="2"/>
      <c r="E324" s="2" t="s">
        <v>109</v>
      </c>
      <c r="F324" s="2" t="s">
        <v>84</v>
      </c>
      <c r="H324" s="2">
        <v>2.7</v>
      </c>
      <c r="J324" s="2">
        <v>2.7</v>
      </c>
      <c r="K324" s="2">
        <v>34.2777777777777</v>
      </c>
      <c r="L324" s="2"/>
      <c r="M324" s="2">
        <v>1.51229528764614</v>
      </c>
      <c r="N324" s="2">
        <v>168.888888888888</v>
      </c>
      <c r="O324" s="2">
        <v>19.353677036026401</v>
      </c>
      <c r="P324" s="2">
        <v>16.8888888888888</v>
      </c>
      <c r="Q324" s="2">
        <v>2.91706346507222</v>
      </c>
      <c r="R324" s="2">
        <v>1.6111111111111101</v>
      </c>
      <c r="S324" s="2">
        <v>0.34694433324435398</v>
      </c>
      <c r="T324" s="2">
        <v>7.05555555555555</v>
      </c>
      <c r="U324" s="2">
        <v>5.7016891584213196</v>
      </c>
      <c r="V324" s="2">
        <v>0.55555555555555503</v>
      </c>
      <c r="W324" s="2">
        <v>0.34694433324435497</v>
      </c>
      <c r="X324" s="2">
        <v>2.1666666666666599</v>
      </c>
      <c r="Y324" s="2">
        <v>0.28867513459481198</v>
      </c>
      <c r="Z324" s="7">
        <v>117.635677662764</v>
      </c>
      <c r="AA324" s="2">
        <v>13.4803593556535</v>
      </c>
      <c r="AB324" s="7">
        <v>96.40625</v>
      </c>
      <c r="AC324" s="2">
        <v>4.2533304965047698</v>
      </c>
      <c r="AD324" s="2">
        <v>144.31818181818099</v>
      </c>
      <c r="AE324" s="2">
        <v>116.62546005861699</v>
      </c>
      <c r="AF324" s="2">
        <v>100.66225165562901</v>
      </c>
      <c r="AG324" s="2">
        <v>17.386470983874101</v>
      </c>
      <c r="AH324" s="2">
        <v>69.047619047618994</v>
      </c>
      <c r="AI324" s="2">
        <v>14.8690428533294</v>
      </c>
      <c r="AJ324" s="2">
        <v>90.909090909090907</v>
      </c>
      <c r="AK324" s="2">
        <v>56.772709076349003</v>
      </c>
      <c r="AL324" s="2">
        <v>96.296296296296305</v>
      </c>
      <c r="AM324" s="2">
        <v>12.830005981991601</v>
      </c>
      <c r="AN324"/>
      <c r="AO324"/>
    </row>
    <row r="325" spans="1:41" ht="15.75" hidden="1" customHeight="1" x14ac:dyDescent="0.45">
      <c r="A325" s="2" t="s">
        <v>130</v>
      </c>
      <c r="B325" s="2" t="s">
        <v>131</v>
      </c>
      <c r="C325" s="2">
        <v>0.1</v>
      </c>
      <c r="D325" s="2"/>
      <c r="E325" s="2" t="s">
        <v>109</v>
      </c>
      <c r="F325" s="2" t="s">
        <v>84</v>
      </c>
      <c r="H325" s="2">
        <v>2.7</v>
      </c>
      <c r="J325" s="2">
        <v>2.7</v>
      </c>
      <c r="K325" s="2">
        <v>34.7222222222222</v>
      </c>
      <c r="L325" s="2"/>
      <c r="M325" s="2">
        <v>2.3353166174426301</v>
      </c>
      <c r="N325" s="2">
        <v>152.444444444444</v>
      </c>
      <c r="O325" s="2">
        <v>3.21599014186785</v>
      </c>
      <c r="P325" s="2">
        <v>17.2777777777777</v>
      </c>
      <c r="Q325" s="2">
        <v>2.2194427061597701</v>
      </c>
      <c r="R325" s="2">
        <v>2.7222222222222201</v>
      </c>
      <c r="S325" s="2">
        <v>0.85526690657448001</v>
      </c>
      <c r="T325" s="2">
        <v>5.55555555555555</v>
      </c>
      <c r="U325" s="2">
        <v>0.78763593770876505</v>
      </c>
      <c r="V325" s="2">
        <v>0.33333333333333298</v>
      </c>
      <c r="W325" s="2">
        <v>0.33333333333333298</v>
      </c>
      <c r="X325" s="2">
        <v>3.1111111111111098</v>
      </c>
      <c r="Y325" s="2">
        <v>0.38490017945975102</v>
      </c>
      <c r="Z325" s="7">
        <v>106.18167746928501</v>
      </c>
      <c r="AA325" s="2">
        <v>2.2400240903016901</v>
      </c>
      <c r="AB325" s="7">
        <v>97.65625</v>
      </c>
      <c r="AC325" s="2">
        <v>6.5680779865573999</v>
      </c>
      <c r="AD325" s="2">
        <v>113.636363636363</v>
      </c>
      <c r="AE325" s="2">
        <v>16.1107350894974</v>
      </c>
      <c r="AF325" s="2">
        <v>102.980132450331</v>
      </c>
      <c r="AG325" s="2">
        <v>13.2284664605549</v>
      </c>
      <c r="AH325" s="2">
        <v>116.666666666666</v>
      </c>
      <c r="AI325" s="2">
        <v>36.6542959960491</v>
      </c>
      <c r="AJ325" s="2">
        <v>54.545454545454497</v>
      </c>
      <c r="AK325" s="2">
        <v>54.545454545454497</v>
      </c>
      <c r="AL325" s="2">
        <v>138.271604938271</v>
      </c>
      <c r="AM325" s="2">
        <v>17.106674642655602</v>
      </c>
      <c r="AN325"/>
      <c r="AO325"/>
    </row>
    <row r="326" spans="1:41" ht="15.75" hidden="1" customHeight="1" x14ac:dyDescent="0.45">
      <c r="A326" s="2" t="s">
        <v>130</v>
      </c>
      <c r="B326" s="2" t="s">
        <v>131</v>
      </c>
      <c r="C326" s="2">
        <v>0.3</v>
      </c>
      <c r="D326" s="2"/>
      <c r="E326" s="2" t="s">
        <v>109</v>
      </c>
      <c r="F326" s="2" t="s">
        <v>84</v>
      </c>
      <c r="H326" s="2">
        <v>2.7</v>
      </c>
      <c r="J326" s="2">
        <v>2.7</v>
      </c>
      <c r="K326" s="2">
        <v>33.2777777777777</v>
      </c>
      <c r="L326" s="2"/>
      <c r="M326" s="2">
        <v>2.3114048958571898</v>
      </c>
      <c r="N326" s="2">
        <v>138.222222222222</v>
      </c>
      <c r="O326" s="2">
        <v>5.0396575427453003</v>
      </c>
      <c r="P326" s="2">
        <v>18.6111111111111</v>
      </c>
      <c r="Q326" s="2">
        <v>2.3589859717291399</v>
      </c>
      <c r="R326" s="2">
        <v>1.7777777777777699</v>
      </c>
      <c r="S326" s="2">
        <v>0.69388866648871095</v>
      </c>
      <c r="T326" s="2">
        <v>3.3333333333333299</v>
      </c>
      <c r="U326" s="2">
        <v>1.42400062421958</v>
      </c>
      <c r="V326" s="2">
        <v>0.5</v>
      </c>
      <c r="W326" s="2">
        <v>0.28867513459481198</v>
      </c>
      <c r="X326" s="2">
        <v>3.05555555555555</v>
      </c>
      <c r="Y326" s="2">
        <v>1.1824331474329299</v>
      </c>
      <c r="Z326" s="7">
        <v>96.275515139789107</v>
      </c>
      <c r="AA326" s="2">
        <v>3.51025774477761</v>
      </c>
      <c r="AB326" s="7">
        <v>93.59375</v>
      </c>
      <c r="AC326" s="2">
        <v>6.5008262695983596</v>
      </c>
      <c r="AD326" s="2">
        <v>68.181818181818102</v>
      </c>
      <c r="AE326" s="2">
        <v>29.127285495400599</v>
      </c>
      <c r="AF326" s="2">
        <v>110.92715231788</v>
      </c>
      <c r="AG326" s="2">
        <v>14.060181288451799</v>
      </c>
      <c r="AH326" s="2">
        <v>76.190476190476105</v>
      </c>
      <c r="AI326" s="2">
        <v>29.738085706659</v>
      </c>
      <c r="AJ326" s="2">
        <v>81.818181818181799</v>
      </c>
      <c r="AK326" s="2">
        <v>47.237749297332897</v>
      </c>
      <c r="AL326" s="2">
        <v>135.802469135802</v>
      </c>
      <c r="AM326" s="2">
        <v>52.552584330352502</v>
      </c>
      <c r="AN326"/>
      <c r="AO326"/>
    </row>
    <row r="327" spans="1:41" ht="15.75" hidden="1" customHeight="1" x14ac:dyDescent="0.45">
      <c r="A327" s="2" t="s">
        <v>130</v>
      </c>
      <c r="B327" s="2" t="s">
        <v>131</v>
      </c>
      <c r="C327" s="2">
        <v>1</v>
      </c>
      <c r="D327" s="2"/>
      <c r="E327" s="2" t="s">
        <v>109</v>
      </c>
      <c r="F327" s="2" t="s">
        <v>84</v>
      </c>
      <c r="H327" s="2">
        <v>2.7</v>
      </c>
      <c r="J327" s="2">
        <v>2.7</v>
      </c>
      <c r="K327" s="2">
        <v>23.1666666666666</v>
      </c>
      <c r="L327" s="2"/>
      <c r="M327" s="2">
        <v>3.98260104844951</v>
      </c>
      <c r="N327" s="2">
        <v>165.166666666666</v>
      </c>
      <c r="O327" s="2">
        <v>110.162884453481</v>
      </c>
      <c r="P327" s="2">
        <v>17.6111111111111</v>
      </c>
      <c r="Q327" s="2">
        <v>5.4780707607020798</v>
      </c>
      <c r="R327" s="2">
        <v>0.77777777777777701</v>
      </c>
      <c r="S327" s="2">
        <v>9.6225044864937798E-2</v>
      </c>
      <c r="T327" s="2">
        <v>15.3333333333333</v>
      </c>
      <c r="U327" s="2">
        <v>16.810215148335601</v>
      </c>
      <c r="V327" s="2">
        <v>0.72222222222222199</v>
      </c>
      <c r="W327" s="2">
        <v>0.53575837561071904</v>
      </c>
      <c r="X327" s="2">
        <v>3.4444444444444402</v>
      </c>
      <c r="Y327" s="2">
        <v>1.6694421334796301</v>
      </c>
      <c r="Z327" s="7">
        <v>115.043049240592</v>
      </c>
      <c r="AA327" s="2">
        <v>76.7314276932442</v>
      </c>
      <c r="AB327" s="7">
        <v>65.15625</v>
      </c>
      <c r="AC327" s="2">
        <v>11.201065448764201</v>
      </c>
      <c r="AD327" s="2">
        <v>313.636363636363</v>
      </c>
      <c r="AE327" s="2">
        <v>343.84530985231999</v>
      </c>
      <c r="AF327" s="2">
        <v>104.966887417218</v>
      </c>
      <c r="AG327" s="2">
        <v>32.650752878356798</v>
      </c>
      <c r="AH327" s="2">
        <v>33.3333333333333</v>
      </c>
      <c r="AI327" s="2">
        <v>4.1239304942116197</v>
      </c>
      <c r="AJ327" s="2">
        <v>118.181818181818</v>
      </c>
      <c r="AK327" s="2">
        <v>87.669552372663205</v>
      </c>
      <c r="AL327" s="2">
        <v>153.08641975308601</v>
      </c>
      <c r="AM327" s="2">
        <v>74.197428154650297</v>
      </c>
      <c r="AN327"/>
      <c r="AO327"/>
    </row>
    <row r="328" spans="1:41" ht="15.75" hidden="1" customHeight="1" x14ac:dyDescent="0.45">
      <c r="A328" s="2" t="s">
        <v>130</v>
      </c>
      <c r="B328" s="2" t="s">
        <v>131</v>
      </c>
      <c r="C328" s="2">
        <v>3</v>
      </c>
      <c r="D328" s="2"/>
      <c r="E328" s="2" t="s">
        <v>109</v>
      </c>
      <c r="F328" s="2" t="s">
        <v>84</v>
      </c>
      <c r="H328" s="2">
        <v>2.7</v>
      </c>
      <c r="J328" s="2">
        <v>2.7</v>
      </c>
      <c r="K328" s="2">
        <v>6.4444444444444402</v>
      </c>
      <c r="L328" s="2"/>
      <c r="M328" s="2">
        <v>1.3574213025411701</v>
      </c>
      <c r="N328" s="2">
        <v>31.5</v>
      </c>
      <c r="O328" s="2">
        <v>8.1103500403976394</v>
      </c>
      <c r="P328" s="2">
        <v>15.6111111111111</v>
      </c>
      <c r="Q328" s="2">
        <v>6.0835235891101096</v>
      </c>
      <c r="R328" s="2">
        <v>0.55555555555555503</v>
      </c>
      <c r="S328" s="2">
        <v>0.48112522432468802</v>
      </c>
      <c r="T328" s="2">
        <v>19.6111111111111</v>
      </c>
      <c r="U328" s="2">
        <v>5.9868683460213603</v>
      </c>
      <c r="V328" s="2">
        <v>0.83333333333333304</v>
      </c>
      <c r="W328" s="2">
        <v>0.92796072713833699</v>
      </c>
      <c r="X328" s="2">
        <v>6.9444444444444402</v>
      </c>
      <c r="Y328" s="2">
        <v>0.67357531405456705</v>
      </c>
      <c r="Z328" s="7">
        <v>21.9406017219696</v>
      </c>
      <c r="AA328" s="2">
        <v>5.6490780972103103</v>
      </c>
      <c r="AB328" s="7">
        <v>18.125</v>
      </c>
      <c r="AC328" s="2">
        <v>3.8177474133970399</v>
      </c>
      <c r="AD328" s="2">
        <v>401.136363636363</v>
      </c>
      <c r="AE328" s="2">
        <v>122.45867071407299</v>
      </c>
      <c r="AF328" s="2">
        <v>93.046357615893996</v>
      </c>
      <c r="AG328" s="2">
        <v>36.259412120523798</v>
      </c>
      <c r="AH328" s="2">
        <v>23.8095238095238</v>
      </c>
      <c r="AI328" s="2">
        <v>20.619652471058</v>
      </c>
      <c r="AJ328" s="2">
        <v>136.363636363636</v>
      </c>
      <c r="AK328" s="2">
        <v>151.84811898627299</v>
      </c>
      <c r="AL328" s="2">
        <v>308.64197530864197</v>
      </c>
      <c r="AM328" s="2">
        <v>29.936680624647401</v>
      </c>
      <c r="AN328"/>
      <c r="AO328"/>
    </row>
    <row r="329" spans="1:41" ht="15.75" hidden="1" customHeight="1" x14ac:dyDescent="0.45">
      <c r="A329" s="2" t="s">
        <v>130</v>
      </c>
      <c r="B329" s="2" t="s">
        <v>131</v>
      </c>
      <c r="C329" s="2">
        <v>10</v>
      </c>
      <c r="D329" s="2"/>
      <c r="E329" s="2" t="s">
        <v>109</v>
      </c>
      <c r="F329" s="2" t="s">
        <v>84</v>
      </c>
      <c r="H329" s="2">
        <v>2.7</v>
      </c>
      <c r="J329" s="2">
        <v>2.7</v>
      </c>
      <c r="K329" s="2">
        <v>0.94444444444444398</v>
      </c>
      <c r="L329" s="2"/>
      <c r="M329" s="2">
        <v>1.6358257627039301</v>
      </c>
      <c r="N329" s="2">
        <v>4.6111111111111098</v>
      </c>
      <c r="O329" s="2">
        <v>0.91792842454768697</v>
      </c>
      <c r="P329" s="2">
        <v>4.1666666666666599</v>
      </c>
      <c r="Q329" s="2">
        <v>7.2168783648703201</v>
      </c>
      <c r="R329" s="2">
        <v>0</v>
      </c>
      <c r="S329" s="2">
        <v>0</v>
      </c>
      <c r="T329" s="2">
        <v>57.3333333333333</v>
      </c>
      <c r="U329" s="2">
        <v>8.6216781042516892</v>
      </c>
      <c r="V329" s="2">
        <v>0</v>
      </c>
      <c r="W329" s="2">
        <v>0</v>
      </c>
      <c r="X329" s="2">
        <v>3.4444444444444402</v>
      </c>
      <c r="Y329" s="2">
        <v>3.33888426695927</v>
      </c>
      <c r="Z329" s="7">
        <v>3.2117635677662699</v>
      </c>
      <c r="AA329" s="2">
        <v>0.63936196737383599</v>
      </c>
      <c r="AB329" s="7">
        <v>2.65625</v>
      </c>
      <c r="AC329" s="2">
        <v>4.6007599576048301</v>
      </c>
      <c r="AD329" s="2">
        <v>1172.72727272727</v>
      </c>
      <c r="AE329" s="2">
        <v>176.352506677875</v>
      </c>
      <c r="AF329" s="2">
        <v>24.834437086092699</v>
      </c>
      <c r="AG329" s="2">
        <v>43.014506810485301</v>
      </c>
      <c r="AH329" s="2">
        <v>0</v>
      </c>
      <c r="AI329" s="2">
        <v>0</v>
      </c>
      <c r="AJ329" s="2">
        <v>0</v>
      </c>
      <c r="AK329" s="2">
        <v>0</v>
      </c>
      <c r="AL329" s="2">
        <v>153.08641975308601</v>
      </c>
      <c r="AM329" s="2">
        <v>148.3948563093</v>
      </c>
      <c r="AN329"/>
      <c r="AO329"/>
    </row>
    <row r="330" spans="1:41" ht="15.75" hidden="1" customHeight="1" x14ac:dyDescent="0.45">
      <c r="A330" s="2" t="s">
        <v>130</v>
      </c>
      <c r="B330" s="2" t="s">
        <v>131</v>
      </c>
      <c r="C330" s="2">
        <v>3.0000000000000001E-3</v>
      </c>
      <c r="D330" s="2"/>
      <c r="E330" s="2" t="s">
        <v>109</v>
      </c>
      <c r="F330" s="2" t="s">
        <v>84</v>
      </c>
      <c r="H330" s="2">
        <v>0.9</v>
      </c>
      <c r="J330" s="2">
        <v>0.9</v>
      </c>
      <c r="K330" s="2">
        <v>33.2777777777777</v>
      </c>
      <c r="L330" s="2"/>
      <c r="M330" s="2">
        <v>1.5396007178390201</v>
      </c>
      <c r="N330" s="2">
        <v>247.611111111111</v>
      </c>
      <c r="O330" s="2">
        <v>25.9937670591607</v>
      </c>
      <c r="P330" s="2">
        <v>13.1111111111111</v>
      </c>
      <c r="Q330" s="2">
        <v>1.1824331474329299</v>
      </c>
      <c r="R330" s="2">
        <v>1.88888888888888</v>
      </c>
      <c r="S330" s="2">
        <v>0.75154162547048298</v>
      </c>
      <c r="T330" s="2">
        <v>9.4444444444444393</v>
      </c>
      <c r="U330" s="2">
        <v>1.4174834246858801</v>
      </c>
      <c r="V330" s="2">
        <v>0.38888888888888801</v>
      </c>
      <c r="W330" s="2">
        <v>0.34694433324435497</v>
      </c>
      <c r="X330" s="2">
        <v>3.9444444444444402</v>
      </c>
      <c r="Y330" s="2">
        <v>0.53575837561072703</v>
      </c>
      <c r="Z330" s="7">
        <v>104.483385102268</v>
      </c>
      <c r="AA330" s="2">
        <v>10.968476986811</v>
      </c>
      <c r="AB330" s="7">
        <v>95.003965107057894</v>
      </c>
      <c r="AC330" s="2">
        <v>4.39537080429856</v>
      </c>
      <c r="AD330" s="2">
        <v>118.466898954703</v>
      </c>
      <c r="AE330" s="2">
        <v>17.780279891530299</v>
      </c>
      <c r="AF330" s="2">
        <v>94.399999999999906</v>
      </c>
      <c r="AG330" s="2">
        <v>8.5135186615171108</v>
      </c>
      <c r="AH330" s="2">
        <v>103.816793893129</v>
      </c>
      <c r="AI330" s="2">
        <v>41.306104606011203</v>
      </c>
      <c r="AJ330" s="2">
        <v>59.574468085106297</v>
      </c>
      <c r="AK330" s="2">
        <v>53.148919135305498</v>
      </c>
      <c r="AL330" s="2">
        <v>103.272727272727</v>
      </c>
      <c r="AM330" s="2">
        <v>14.0271283796263</v>
      </c>
      <c r="AN330"/>
      <c r="AO330"/>
    </row>
    <row r="331" spans="1:41" ht="15.75" hidden="1" customHeight="1" x14ac:dyDescent="0.45">
      <c r="A331" s="2" t="s">
        <v>130</v>
      </c>
      <c r="B331" s="2" t="s">
        <v>131</v>
      </c>
      <c r="C331" s="2">
        <v>0.01</v>
      </c>
      <c r="D331" s="2"/>
      <c r="E331" s="2" t="s">
        <v>109</v>
      </c>
      <c r="F331" s="2" t="s">
        <v>84</v>
      </c>
      <c r="H331" s="2">
        <v>0.9</v>
      </c>
      <c r="J331" s="2">
        <v>0.9</v>
      </c>
      <c r="K331" s="2">
        <v>33.3333333333333</v>
      </c>
      <c r="L331" s="2"/>
      <c r="M331" s="2">
        <v>1.45296631451362</v>
      </c>
      <c r="N331" s="2">
        <v>223</v>
      </c>
      <c r="O331" s="2">
        <v>20.897235330168701</v>
      </c>
      <c r="P331" s="2">
        <v>13.1111111111111</v>
      </c>
      <c r="Q331" s="2">
        <v>0.63098981619998795</v>
      </c>
      <c r="R331" s="2">
        <v>2</v>
      </c>
      <c r="S331" s="2">
        <v>0.16666666666666299</v>
      </c>
      <c r="T331" s="2">
        <v>7.3888888888888804</v>
      </c>
      <c r="U331" s="2">
        <v>1.29457557752567</v>
      </c>
      <c r="V331" s="2">
        <v>0.55555555555555503</v>
      </c>
      <c r="W331" s="2">
        <v>0.25458753860865702</v>
      </c>
      <c r="X331" s="2">
        <v>3.7777777777777701</v>
      </c>
      <c r="Y331" s="2">
        <v>0.83887049280786197</v>
      </c>
      <c r="Z331" s="7">
        <v>94.098341440543805</v>
      </c>
      <c r="AA331" s="2">
        <v>8.8179156289758396</v>
      </c>
      <c r="AB331" s="7">
        <v>95.162569389373502</v>
      </c>
      <c r="AC331" s="2">
        <v>4.1480402317597598</v>
      </c>
      <c r="AD331" s="2">
        <v>92.682926829268297</v>
      </c>
      <c r="AE331" s="2">
        <v>16.2385786727958</v>
      </c>
      <c r="AF331" s="2">
        <v>94.399999999999906</v>
      </c>
      <c r="AG331" s="2">
        <v>4.5431266766399103</v>
      </c>
      <c r="AH331" s="2">
        <v>109.923664122137</v>
      </c>
      <c r="AI331" s="2">
        <v>9.1603053435112898</v>
      </c>
      <c r="AJ331" s="2">
        <v>85.106382978723303</v>
      </c>
      <c r="AK331" s="2">
        <v>39.0006442123901</v>
      </c>
      <c r="AL331" s="2">
        <v>98.909090909090907</v>
      </c>
      <c r="AM331" s="2">
        <v>21.9631547207876</v>
      </c>
      <c r="AN331"/>
      <c r="AO331"/>
    </row>
    <row r="332" spans="1:41" ht="15.75" hidden="1" customHeight="1" x14ac:dyDescent="0.45">
      <c r="A332" s="2" t="s">
        <v>130</v>
      </c>
      <c r="B332" s="2" t="s">
        <v>131</v>
      </c>
      <c r="C332" s="2">
        <v>0.03</v>
      </c>
      <c r="D332" s="2"/>
      <c r="E332" s="2" t="s">
        <v>109</v>
      </c>
      <c r="F332" s="2" t="s">
        <v>84</v>
      </c>
      <c r="H332" s="2">
        <v>0.9</v>
      </c>
      <c r="J332" s="2">
        <v>0.9</v>
      </c>
      <c r="K332" s="2">
        <v>33.6111111111111</v>
      </c>
      <c r="L332" s="2"/>
      <c r="M332" s="2">
        <v>3.1725092300598599</v>
      </c>
      <c r="N332" s="2">
        <v>247.555555555555</v>
      </c>
      <c r="O332" s="2">
        <v>29.237691300658401</v>
      </c>
      <c r="P332" s="2">
        <v>12.1111111111111</v>
      </c>
      <c r="Q332" s="2">
        <v>0.41943524640399499</v>
      </c>
      <c r="R332" s="2">
        <v>2.2222222222222201</v>
      </c>
      <c r="S332" s="2">
        <v>0.58531409738070805</v>
      </c>
      <c r="T332" s="2">
        <v>9.3888888888888893</v>
      </c>
      <c r="U332" s="2">
        <v>2.8398617598071199</v>
      </c>
      <c r="V332" s="2">
        <v>0.55555555555555503</v>
      </c>
      <c r="W332" s="2">
        <v>0.53575837561071904</v>
      </c>
      <c r="X332" s="2">
        <v>3.2222222222222201</v>
      </c>
      <c r="Y332" s="2">
        <v>0.48112522432468502</v>
      </c>
      <c r="Z332" s="7">
        <v>104.459942565785</v>
      </c>
      <c r="AA332" s="2">
        <v>12.3373016096079</v>
      </c>
      <c r="AB332" s="7">
        <v>95.955590800951597</v>
      </c>
      <c r="AC332" s="2">
        <v>9.0571238923199804</v>
      </c>
      <c r="AD332" s="2">
        <v>117.770034843205</v>
      </c>
      <c r="AE332" s="2">
        <v>35.621959356465602</v>
      </c>
      <c r="AF332" s="2">
        <v>87.2</v>
      </c>
      <c r="AG332" s="2">
        <v>3.0199337741087602</v>
      </c>
      <c r="AH332" s="2">
        <v>122.13740458015199</v>
      </c>
      <c r="AI332" s="2">
        <v>32.169935123214501</v>
      </c>
      <c r="AJ332" s="2">
        <v>85.106382978723403</v>
      </c>
      <c r="AK332" s="2">
        <v>82.073623497812306</v>
      </c>
      <c r="AL332" s="2">
        <v>84.363636363636303</v>
      </c>
      <c r="AM332" s="2">
        <v>12.596733145955399</v>
      </c>
      <c r="AN332"/>
      <c r="AO332"/>
    </row>
    <row r="333" spans="1:41" ht="15.75" hidden="1" customHeight="1" x14ac:dyDescent="0.45">
      <c r="A333" s="2" t="s">
        <v>130</v>
      </c>
      <c r="B333" s="2" t="s">
        <v>131</v>
      </c>
      <c r="C333" s="2">
        <v>0.1</v>
      </c>
      <c r="D333" s="2"/>
      <c r="E333" s="2" t="s">
        <v>109</v>
      </c>
      <c r="F333" s="2" t="s">
        <v>84</v>
      </c>
      <c r="H333" s="2">
        <v>0.9</v>
      </c>
      <c r="J333" s="2">
        <v>0.9</v>
      </c>
      <c r="K333" s="2">
        <v>31.4444444444444</v>
      </c>
      <c r="L333" s="2"/>
      <c r="M333" s="2">
        <v>2.50185116648839</v>
      </c>
      <c r="N333" s="2">
        <v>263.27777777777698</v>
      </c>
      <c r="O333" s="2">
        <v>18.0133695204836</v>
      </c>
      <c r="P333" s="2">
        <v>12.9444444444444</v>
      </c>
      <c r="Q333" s="2">
        <v>1.2509255832441799</v>
      </c>
      <c r="R333" s="2">
        <v>1.88888888888888</v>
      </c>
      <c r="S333" s="2">
        <v>0.58531409738070705</v>
      </c>
      <c r="T333" s="2">
        <v>8.2777777777777697</v>
      </c>
      <c r="U333" s="2">
        <v>1.5485955405295899</v>
      </c>
      <c r="V333" s="2">
        <v>0.33333333333333298</v>
      </c>
      <c r="W333" s="2">
        <v>0.16666666666666599</v>
      </c>
      <c r="X333" s="2">
        <v>4.55555555555555</v>
      </c>
      <c r="Y333" s="2">
        <v>0.53575837561072004</v>
      </c>
      <c r="Z333" s="7">
        <v>111.094180390318</v>
      </c>
      <c r="AA333" s="2">
        <v>7.6010232988033799</v>
      </c>
      <c r="AB333" s="7">
        <v>89.770023790642298</v>
      </c>
      <c r="AC333" s="2">
        <v>7.14247755698511</v>
      </c>
      <c r="AD333" s="2">
        <v>103.83275261324</v>
      </c>
      <c r="AE333" s="2">
        <v>19.424891797583701</v>
      </c>
      <c r="AF333" s="2">
        <v>93.199999999999903</v>
      </c>
      <c r="AG333" s="2">
        <v>9.0066641993581396</v>
      </c>
      <c r="AH333" s="2">
        <v>103.816793893129</v>
      </c>
      <c r="AI333" s="2">
        <v>32.169935123214401</v>
      </c>
      <c r="AJ333" s="2">
        <v>51.063829787233999</v>
      </c>
      <c r="AK333" s="2">
        <v>25.531914893617</v>
      </c>
      <c r="AL333" s="2">
        <v>119.272727272727</v>
      </c>
      <c r="AM333" s="2">
        <v>14.027128379626101</v>
      </c>
      <c r="AN333"/>
      <c r="AO333"/>
    </row>
    <row r="334" spans="1:41" ht="15.75" hidden="1" customHeight="1" x14ac:dyDescent="0.45">
      <c r="A334" s="2" t="s">
        <v>130</v>
      </c>
      <c r="B334" s="2" t="s">
        <v>131</v>
      </c>
      <c r="C334" s="2">
        <v>0.3</v>
      </c>
      <c r="D334" s="2"/>
      <c r="E334" s="2" t="s">
        <v>109</v>
      </c>
      <c r="F334" s="2" t="s">
        <v>84</v>
      </c>
      <c r="H334" s="2">
        <v>0.9</v>
      </c>
      <c r="J334" s="2">
        <v>0.9</v>
      </c>
      <c r="K334" s="2">
        <v>27.3888888888888</v>
      </c>
      <c r="L334" s="2"/>
      <c r="M334" s="2">
        <v>2.6994512473902801</v>
      </c>
      <c r="N334" s="2">
        <v>232.333333333333</v>
      </c>
      <c r="O334" s="2">
        <v>15.034220225132399</v>
      </c>
      <c r="P334" s="2">
        <v>13.5</v>
      </c>
      <c r="Q334" s="2">
        <v>2.8915585954829202</v>
      </c>
      <c r="R334" s="2">
        <v>1.7222222222222201</v>
      </c>
      <c r="S334" s="2">
        <v>0.58531409738070606</v>
      </c>
      <c r="T334" s="2">
        <v>8.2222222222222197</v>
      </c>
      <c r="U334" s="2">
        <v>0.69388866648872005</v>
      </c>
      <c r="V334" s="2">
        <v>0.33333333333333298</v>
      </c>
      <c r="W334" s="2">
        <v>0.16666666666666599</v>
      </c>
      <c r="X334" s="2">
        <v>4</v>
      </c>
      <c r="Y334" s="2">
        <v>0.44095855184409599</v>
      </c>
      <c r="Z334" s="7">
        <v>98.036687569595003</v>
      </c>
      <c r="AA334" s="2">
        <v>6.3439246100306796</v>
      </c>
      <c r="AB334" s="7">
        <v>78.191911181601895</v>
      </c>
      <c r="AC334" s="2">
        <v>7.7066014992902598</v>
      </c>
      <c r="AD334" s="2">
        <v>103.135888501742</v>
      </c>
      <c r="AE334" s="2">
        <v>8.7038299629247202</v>
      </c>
      <c r="AF334" s="2">
        <v>97.2</v>
      </c>
      <c r="AG334" s="2">
        <v>20.819221887476999</v>
      </c>
      <c r="AH334" s="2">
        <v>94.656488549618302</v>
      </c>
      <c r="AI334" s="2">
        <v>32.169935123214401</v>
      </c>
      <c r="AJ334" s="2">
        <v>51.063829787233999</v>
      </c>
      <c r="AK334" s="2">
        <v>25.531914893617</v>
      </c>
      <c r="AL334" s="2">
        <v>104.72727272727199</v>
      </c>
      <c r="AM334" s="2">
        <v>11.5450966300999</v>
      </c>
      <c r="AN334"/>
      <c r="AO334"/>
    </row>
    <row r="335" spans="1:41" ht="15.75" hidden="1" customHeight="1" x14ac:dyDescent="0.45">
      <c r="A335" s="2" t="s">
        <v>130</v>
      </c>
      <c r="B335" s="2" t="s">
        <v>131</v>
      </c>
      <c r="C335" s="2">
        <v>1</v>
      </c>
      <c r="D335" s="2"/>
      <c r="E335" s="2" t="s">
        <v>109</v>
      </c>
      <c r="F335" s="2" t="s">
        <v>84</v>
      </c>
      <c r="H335" s="2">
        <v>0.9</v>
      </c>
      <c r="J335" s="2">
        <v>0.9</v>
      </c>
      <c r="K335" s="2">
        <v>13.5555555555555</v>
      </c>
      <c r="L335" s="2"/>
      <c r="M335" s="2">
        <v>0.82214714371937303</v>
      </c>
      <c r="N335" s="2">
        <v>100.777777777777</v>
      </c>
      <c r="O335" s="2">
        <v>17.245235520228299</v>
      </c>
      <c r="P335" s="2">
        <v>12.8333333333333</v>
      </c>
      <c r="Q335" s="2">
        <v>1.4529663145135701</v>
      </c>
      <c r="R335" s="2">
        <v>1.3333333333333299</v>
      </c>
      <c r="S335" s="2">
        <v>0.44095855184409899</v>
      </c>
      <c r="T335" s="2">
        <v>16.7777777777777</v>
      </c>
      <c r="U335" s="2">
        <v>5.9168622815863401</v>
      </c>
      <c r="V335" s="2">
        <v>0.77777777777777701</v>
      </c>
      <c r="W335" s="2">
        <v>0.19245008972987401</v>
      </c>
      <c r="X335" s="2">
        <v>10.5</v>
      </c>
      <c r="Y335" s="2">
        <v>1.8027756377319899</v>
      </c>
      <c r="Z335" s="7">
        <v>42.524761179159498</v>
      </c>
      <c r="AA335" s="2">
        <v>7.2768971309643202</v>
      </c>
      <c r="AB335" s="7">
        <v>38.6994448850119</v>
      </c>
      <c r="AC335" s="2">
        <v>2.3471290383741001</v>
      </c>
      <c r="AD335" s="2">
        <v>210.45296167247301</v>
      </c>
      <c r="AE335" s="2">
        <v>74.218481580873998</v>
      </c>
      <c r="AF335" s="2">
        <v>92.4</v>
      </c>
      <c r="AG335" s="2">
        <v>10.4613574644977</v>
      </c>
      <c r="AH335" s="2">
        <v>73.282442748091597</v>
      </c>
      <c r="AI335" s="2">
        <v>24.2358898723474</v>
      </c>
      <c r="AJ335" s="2">
        <v>119.148936170212</v>
      </c>
      <c r="AK335" s="2">
        <v>29.481715873512702</v>
      </c>
      <c r="AL335" s="2">
        <v>274.90909090909003</v>
      </c>
      <c r="AM335" s="2">
        <v>47.199943969710397</v>
      </c>
      <c r="AN335"/>
      <c r="AO335"/>
    </row>
    <row r="336" spans="1:41" ht="15.75" hidden="1" customHeight="1" x14ac:dyDescent="0.45">
      <c r="A336" s="2" t="s">
        <v>130</v>
      </c>
      <c r="B336" s="2" t="s">
        <v>131</v>
      </c>
      <c r="C336" s="2">
        <v>3</v>
      </c>
      <c r="D336" s="2"/>
      <c r="E336" s="2" t="s">
        <v>109</v>
      </c>
      <c r="F336" s="2" t="s">
        <v>84</v>
      </c>
      <c r="H336" s="2">
        <v>0.9</v>
      </c>
      <c r="J336" s="2">
        <v>0.9</v>
      </c>
      <c r="K336" s="2">
        <v>3.4166666666666599</v>
      </c>
      <c r="L336" s="2"/>
      <c r="M336" s="2">
        <v>3.0855847635956</v>
      </c>
      <c r="N336" s="2">
        <v>17.6944444444444</v>
      </c>
      <c r="O336" s="2">
        <v>3.5749255366500399</v>
      </c>
      <c r="P336" s="2">
        <v>6.0444444444444398</v>
      </c>
      <c r="Q336" s="2">
        <v>1.9164009477644799</v>
      </c>
      <c r="R336" s="2">
        <v>1.75</v>
      </c>
      <c r="S336" s="2">
        <v>2.0463381929681099</v>
      </c>
      <c r="T336" s="2">
        <v>43.172222222222203</v>
      </c>
      <c r="U336" s="2">
        <v>5.21829935401838</v>
      </c>
      <c r="V336" s="2">
        <v>0</v>
      </c>
      <c r="W336" s="2">
        <v>0</v>
      </c>
      <c r="X336" s="2">
        <v>12.2666666666666</v>
      </c>
      <c r="Y336" s="2">
        <v>1.5695009822658199</v>
      </c>
      <c r="Z336" s="7">
        <v>7.4664478696594898</v>
      </c>
      <c r="AA336" s="2">
        <v>1.5084958016691199</v>
      </c>
      <c r="AB336" s="7">
        <v>9.7541633624107806</v>
      </c>
      <c r="AC336" s="2">
        <v>8.8089652251738002</v>
      </c>
      <c r="AD336" s="2">
        <v>541.53310104529601</v>
      </c>
      <c r="AE336" s="2">
        <v>65.4560197716592</v>
      </c>
      <c r="AF336" s="2">
        <v>43.519999999999897</v>
      </c>
      <c r="AG336" s="2">
        <v>13.7980868239042</v>
      </c>
      <c r="AH336" s="2">
        <v>96.183206106870202</v>
      </c>
      <c r="AI336" s="2">
        <v>112.470496102064</v>
      </c>
      <c r="AJ336" s="2">
        <v>0</v>
      </c>
      <c r="AK336" s="2">
        <v>0</v>
      </c>
      <c r="AL336" s="2">
        <v>321.16363636363599</v>
      </c>
      <c r="AM336" s="2">
        <v>41.092389353868903</v>
      </c>
      <c r="AN336"/>
      <c r="AO336"/>
    </row>
    <row r="337" spans="1:41" ht="15.75" hidden="1" customHeight="1" x14ac:dyDescent="0.45">
      <c r="A337" s="2" t="s">
        <v>130</v>
      </c>
      <c r="B337" s="2" t="s">
        <v>131</v>
      </c>
      <c r="C337" s="2">
        <v>10</v>
      </c>
      <c r="D337" s="2"/>
      <c r="E337" s="2" t="s">
        <v>109</v>
      </c>
      <c r="F337" s="2" t="s">
        <v>84</v>
      </c>
      <c r="H337" s="2">
        <v>0.9</v>
      </c>
      <c r="J337" s="2">
        <v>0.9</v>
      </c>
      <c r="K337" s="2">
        <v>0</v>
      </c>
      <c r="L337" s="2"/>
      <c r="M337" s="2">
        <v>0</v>
      </c>
      <c r="N337" s="2">
        <v>8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75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7">
        <v>3.37572525347242</v>
      </c>
      <c r="AA337" s="2">
        <v>0</v>
      </c>
      <c r="AB337" s="7">
        <v>0</v>
      </c>
      <c r="AC337" s="2">
        <v>0</v>
      </c>
      <c r="AD337" s="2">
        <v>940.766550522648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/>
      <c r="AO337"/>
    </row>
    <row r="338" spans="1:41" ht="15.75" hidden="1" customHeight="1" x14ac:dyDescent="0.45">
      <c r="A338" s="2" t="s">
        <v>132</v>
      </c>
      <c r="B338" s="2" t="s">
        <v>133</v>
      </c>
      <c r="C338" s="2">
        <v>3.0000000000000001E-3</v>
      </c>
      <c r="D338" s="2"/>
      <c r="E338" s="2" t="s">
        <v>109</v>
      </c>
      <c r="F338" s="2" t="s">
        <v>84</v>
      </c>
      <c r="H338" s="2">
        <v>0.6</v>
      </c>
      <c r="J338" s="2">
        <v>0.6</v>
      </c>
      <c r="K338" s="2">
        <v>32.1666666666666</v>
      </c>
      <c r="L338" s="2"/>
      <c r="M338" s="2">
        <v>2.5221243250701999</v>
      </c>
      <c r="N338" s="2">
        <v>98.6111111111111</v>
      </c>
      <c r="O338" s="2">
        <v>12.9318011692681</v>
      </c>
      <c r="P338" s="2">
        <v>20.8333333333333</v>
      </c>
      <c r="Q338" s="2">
        <v>0.86602540378437298</v>
      </c>
      <c r="R338" s="2">
        <v>1</v>
      </c>
      <c r="S338" s="2">
        <v>0.16666666666666499</v>
      </c>
      <c r="T338" s="2">
        <v>3.7777777777777701</v>
      </c>
      <c r="U338" s="2">
        <v>0.41943524640393598</v>
      </c>
      <c r="V338" s="2">
        <v>0.88888888888888795</v>
      </c>
      <c r="W338" s="2">
        <v>0.19245008972987501</v>
      </c>
      <c r="X338" s="2">
        <v>2.1111111111111098</v>
      </c>
      <c r="Y338" s="2">
        <v>0.41943524640392998</v>
      </c>
      <c r="Z338" s="7">
        <v>68.685305214278699</v>
      </c>
      <c r="AA338" s="2">
        <v>9.0073491746861496</v>
      </c>
      <c r="AB338" s="7">
        <v>90.46875</v>
      </c>
      <c r="AC338" s="2">
        <v>7.0934746642599604</v>
      </c>
      <c r="AD338" s="2">
        <v>77.272727272727195</v>
      </c>
      <c r="AE338" s="2">
        <v>8.5793573128077902</v>
      </c>
      <c r="AF338" s="2">
        <v>124.172185430463</v>
      </c>
      <c r="AG338" s="2">
        <v>5.1617408172578498</v>
      </c>
      <c r="AH338" s="2">
        <v>42.857142857142797</v>
      </c>
      <c r="AI338" s="2">
        <v>7.1428571428570997</v>
      </c>
      <c r="AJ338" s="2">
        <v>145.45454545454501</v>
      </c>
      <c r="AK338" s="2">
        <v>31.4918328648886</v>
      </c>
      <c r="AL338" s="2">
        <v>93.827160493827094</v>
      </c>
      <c r="AM338" s="2">
        <v>18.641566506841301</v>
      </c>
      <c r="AN338"/>
      <c r="AO338"/>
    </row>
    <row r="339" spans="1:41" ht="15.75" hidden="1" customHeight="1" x14ac:dyDescent="0.45">
      <c r="A339" s="2" t="s">
        <v>132</v>
      </c>
      <c r="B339" s="2" t="s">
        <v>133</v>
      </c>
      <c r="C339" s="2">
        <v>0.01</v>
      </c>
      <c r="D339" s="2"/>
      <c r="E339" s="2" t="s">
        <v>109</v>
      </c>
      <c r="F339" s="2" t="s">
        <v>84</v>
      </c>
      <c r="H339" s="2">
        <v>0.6</v>
      </c>
      <c r="J339" s="2">
        <v>0.6</v>
      </c>
      <c r="K339" s="2">
        <v>35.2222222222222</v>
      </c>
      <c r="L339" s="2"/>
      <c r="M339" s="2">
        <v>4.8657913976994598</v>
      </c>
      <c r="N339" s="2">
        <v>112.277777777777</v>
      </c>
      <c r="O339" s="2">
        <v>6.7501714655864404</v>
      </c>
      <c r="P339" s="2">
        <v>21.5</v>
      </c>
      <c r="Q339" s="2">
        <v>4.4938229209042602</v>
      </c>
      <c r="R339" s="2">
        <v>1.88888888888888</v>
      </c>
      <c r="S339" s="2">
        <v>0.50917507721731403</v>
      </c>
      <c r="T339" s="2">
        <v>4.7222222222222197</v>
      </c>
      <c r="U339" s="2">
        <v>1.8733017000097001</v>
      </c>
      <c r="V339" s="2">
        <v>0.38888888888888801</v>
      </c>
      <c r="W339" s="2">
        <v>0.38490017945975002</v>
      </c>
      <c r="X339" s="2">
        <v>2.2222222222222201</v>
      </c>
      <c r="Y339" s="2">
        <v>0.85526690657448101</v>
      </c>
      <c r="Z339" s="7">
        <v>78.204508077778797</v>
      </c>
      <c r="AA339" s="2">
        <v>4.7016769422678104</v>
      </c>
      <c r="AB339" s="7">
        <v>99.0625</v>
      </c>
      <c r="AC339" s="2">
        <v>13.6850383060297</v>
      </c>
      <c r="AD339" s="2">
        <v>96.590909090909093</v>
      </c>
      <c r="AE339" s="2">
        <v>38.317534772925796</v>
      </c>
      <c r="AF339" s="2">
        <v>128.14569536423801</v>
      </c>
      <c r="AG339" s="2">
        <v>26.784375025257201</v>
      </c>
      <c r="AH339" s="2">
        <v>80.952380952380906</v>
      </c>
      <c r="AI339" s="2">
        <v>21.821789023599202</v>
      </c>
      <c r="AJ339" s="2">
        <v>63.636363636363598</v>
      </c>
      <c r="AK339" s="2">
        <v>62.9836657297773</v>
      </c>
      <c r="AL339" s="2">
        <v>98.765432098765402</v>
      </c>
      <c r="AM339" s="2">
        <v>38.011862514421303</v>
      </c>
      <c r="AN339"/>
      <c r="AO339"/>
    </row>
    <row r="340" spans="1:41" ht="15.75" hidden="1" customHeight="1" x14ac:dyDescent="0.45">
      <c r="A340" s="2" t="s">
        <v>132</v>
      </c>
      <c r="B340" s="2" t="s">
        <v>133</v>
      </c>
      <c r="C340" s="2">
        <v>0.03</v>
      </c>
      <c r="D340" s="2"/>
      <c r="E340" s="2" t="s">
        <v>109</v>
      </c>
      <c r="F340" s="2" t="s">
        <v>84</v>
      </c>
      <c r="H340" s="2">
        <v>0.6</v>
      </c>
      <c r="J340" s="2">
        <v>0.6</v>
      </c>
      <c r="K340" s="2">
        <v>32.2222222222222</v>
      </c>
      <c r="L340" s="2"/>
      <c r="M340" s="2">
        <v>2.8690558519278202</v>
      </c>
      <c r="N340" s="2">
        <v>130.333333333333</v>
      </c>
      <c r="O340" s="2">
        <v>4.2064764880405496</v>
      </c>
      <c r="P340" s="2">
        <v>16.7222222222222</v>
      </c>
      <c r="Q340" s="2">
        <v>3.3678765702728102</v>
      </c>
      <c r="R340" s="2">
        <v>1.7777777777777699</v>
      </c>
      <c r="S340" s="2">
        <v>0.58531409738070705</v>
      </c>
      <c r="T340" s="2">
        <v>3.9999999999999898</v>
      </c>
      <c r="U340" s="2">
        <v>1.1547005383792399</v>
      </c>
      <c r="V340" s="2">
        <v>0.83333333333333304</v>
      </c>
      <c r="W340" s="2">
        <v>0.28867513459481198</v>
      </c>
      <c r="X340" s="2">
        <v>2.1666666666666599</v>
      </c>
      <c r="Y340" s="2">
        <v>0.5</v>
      </c>
      <c r="Z340" s="7">
        <v>90.780690722646796</v>
      </c>
      <c r="AA340" s="2">
        <v>2.9299246119659399</v>
      </c>
      <c r="AB340" s="7">
        <v>90.625</v>
      </c>
      <c r="AC340" s="2">
        <v>8.0692195835469995</v>
      </c>
      <c r="AD340" s="2">
        <v>81.818181818181799</v>
      </c>
      <c r="AE340" s="2">
        <v>23.618874648666399</v>
      </c>
      <c r="AF340" s="2">
        <v>99.668874172185397</v>
      </c>
      <c r="AG340" s="2">
        <v>20.073436511559802</v>
      </c>
      <c r="AH340" s="2">
        <v>76.190476190476105</v>
      </c>
      <c r="AI340" s="2">
        <v>25.084889887744598</v>
      </c>
      <c r="AJ340" s="2">
        <v>136.363636363636</v>
      </c>
      <c r="AK340" s="2">
        <v>47.237749297332897</v>
      </c>
      <c r="AL340" s="2">
        <v>96.296296296296205</v>
      </c>
      <c r="AM340" s="2">
        <v>22.2222222222222</v>
      </c>
      <c r="AN340"/>
      <c r="AO340"/>
    </row>
    <row r="341" spans="1:41" ht="15.75" hidden="1" customHeight="1" x14ac:dyDescent="0.45">
      <c r="A341" s="2" t="s">
        <v>132</v>
      </c>
      <c r="B341" s="2" t="s">
        <v>133</v>
      </c>
      <c r="C341" s="2">
        <v>0.1</v>
      </c>
      <c r="D341" s="2"/>
      <c r="E341" s="2" t="s">
        <v>109</v>
      </c>
      <c r="F341" s="2" t="s">
        <v>84</v>
      </c>
      <c r="H341" s="2">
        <v>0.6</v>
      </c>
      <c r="J341" s="2">
        <v>0.6</v>
      </c>
      <c r="K341" s="2">
        <v>29.2777777777777</v>
      </c>
      <c r="L341" s="2"/>
      <c r="M341" s="2">
        <v>3.27165152540787</v>
      </c>
      <c r="N341" s="2">
        <v>102.055555555555</v>
      </c>
      <c r="O341" s="2">
        <v>11.834898175092601</v>
      </c>
      <c r="P341" s="2">
        <v>17.5</v>
      </c>
      <c r="Q341" s="2">
        <v>3.0595932917809798</v>
      </c>
      <c r="R341" s="2">
        <v>1.6666666666666601</v>
      </c>
      <c r="S341" s="2">
        <v>0.33333333333333398</v>
      </c>
      <c r="T341" s="2">
        <v>3.7777777777777701</v>
      </c>
      <c r="U341" s="2">
        <v>1.22851913263866</v>
      </c>
      <c r="V341" s="2">
        <v>0.55555555555555503</v>
      </c>
      <c r="W341" s="2">
        <v>0.38490017945975002</v>
      </c>
      <c r="X341" s="2">
        <v>2.05555555555555</v>
      </c>
      <c r="Y341" s="2">
        <v>0.58531409738070905</v>
      </c>
      <c r="Z341" s="7">
        <v>71.084453903453607</v>
      </c>
      <c r="AA341" s="2">
        <v>8.2433265803102707</v>
      </c>
      <c r="AB341" s="7">
        <v>82.34375</v>
      </c>
      <c r="AC341" s="2">
        <v>9.2015199152096496</v>
      </c>
      <c r="AD341" s="2">
        <v>77.272727272727295</v>
      </c>
      <c r="AE341" s="2">
        <v>25.128800440336299</v>
      </c>
      <c r="AF341" s="2">
        <v>104.304635761589</v>
      </c>
      <c r="AG341" s="2">
        <v>18.235986507303799</v>
      </c>
      <c r="AH341" s="2">
        <v>71.428571428571402</v>
      </c>
      <c r="AI341" s="2">
        <v>14.285714285714301</v>
      </c>
      <c r="AJ341" s="2">
        <v>90.909090909090907</v>
      </c>
      <c r="AK341" s="2">
        <v>62.9836657297773</v>
      </c>
      <c r="AL341" s="2">
        <v>91.358024691357997</v>
      </c>
      <c r="AM341" s="2">
        <v>26.013959883586999</v>
      </c>
      <c r="AN341"/>
      <c r="AO341"/>
    </row>
    <row r="342" spans="1:41" ht="15.75" hidden="1" customHeight="1" x14ac:dyDescent="0.45">
      <c r="A342" s="2" t="s">
        <v>132</v>
      </c>
      <c r="B342" s="2" t="s">
        <v>133</v>
      </c>
      <c r="C342" s="2">
        <v>0.3</v>
      </c>
      <c r="D342" s="2"/>
      <c r="E342" s="2" t="s">
        <v>109</v>
      </c>
      <c r="F342" s="2" t="s">
        <v>84</v>
      </c>
      <c r="H342" s="2">
        <v>0.6</v>
      </c>
      <c r="J342" s="2">
        <v>0.6</v>
      </c>
      <c r="K342" s="2">
        <v>22</v>
      </c>
      <c r="L342" s="2"/>
      <c r="M342" s="2">
        <v>1.48136573621926</v>
      </c>
      <c r="N342" s="2">
        <v>76.6111111111111</v>
      </c>
      <c r="O342" s="2">
        <v>4.5531836643693504</v>
      </c>
      <c r="P342" s="2">
        <v>16.2222222222222</v>
      </c>
      <c r="Q342" s="2">
        <v>1.5122952876462299</v>
      </c>
      <c r="R342" s="2">
        <v>1</v>
      </c>
      <c r="S342" s="2">
        <v>0.44095855184409799</v>
      </c>
      <c r="T342" s="2">
        <v>4.3888888888888804</v>
      </c>
      <c r="U342" s="2">
        <v>2.86905585192785</v>
      </c>
      <c r="V342" s="2">
        <v>0.88888888888888895</v>
      </c>
      <c r="W342" s="2">
        <v>0.41943524640392998</v>
      </c>
      <c r="X342" s="2">
        <v>2.6666666666666599</v>
      </c>
      <c r="Y342" s="2">
        <v>0.83333333333333404</v>
      </c>
      <c r="Z342" s="7">
        <v>53.361710360839602</v>
      </c>
      <c r="AA342" s="2">
        <v>3.17141553482241</v>
      </c>
      <c r="AB342" s="7">
        <v>61.875</v>
      </c>
      <c r="AC342" s="2">
        <v>4.1663411331166902</v>
      </c>
      <c r="AD342" s="2">
        <v>89.772727272727195</v>
      </c>
      <c r="AE342" s="2">
        <v>58.685233334887997</v>
      </c>
      <c r="AF342" s="2">
        <v>96.688741721854299</v>
      </c>
      <c r="AG342" s="2">
        <v>9.0136805223947807</v>
      </c>
      <c r="AH342" s="2">
        <v>42.857142857142797</v>
      </c>
      <c r="AI342" s="2">
        <v>18.898223650461301</v>
      </c>
      <c r="AJ342" s="2">
        <v>145.45454545454501</v>
      </c>
      <c r="AK342" s="2">
        <v>68.634858502461299</v>
      </c>
      <c r="AL342" s="2">
        <v>118.51851851851799</v>
      </c>
      <c r="AM342" s="2">
        <v>37.037037037037003</v>
      </c>
      <c r="AN342"/>
      <c r="AO342"/>
    </row>
    <row r="343" spans="1:41" ht="15.75" hidden="1" customHeight="1" x14ac:dyDescent="0.45">
      <c r="A343" s="2" t="s">
        <v>132</v>
      </c>
      <c r="B343" s="2" t="s">
        <v>133</v>
      </c>
      <c r="C343" s="2">
        <v>1</v>
      </c>
      <c r="D343" s="2"/>
      <c r="E343" s="2" t="s">
        <v>109</v>
      </c>
      <c r="F343" s="2" t="s">
        <v>84</v>
      </c>
      <c r="H343" s="2">
        <v>0.6</v>
      </c>
      <c r="J343" s="2">
        <v>0.6</v>
      </c>
      <c r="K343" s="2">
        <v>10.7777777777777</v>
      </c>
      <c r="L343" s="2"/>
      <c r="M343" s="2">
        <v>9.1989331104411391</v>
      </c>
      <c r="N343" s="2">
        <v>46.3888888888888</v>
      </c>
      <c r="O343" s="2">
        <v>17.8701592772026</v>
      </c>
      <c r="P343" s="2">
        <v>18.4444444444444</v>
      </c>
      <c r="Q343" s="2">
        <v>5.7983075436173799</v>
      </c>
      <c r="R343" s="2">
        <v>0.94444444444444398</v>
      </c>
      <c r="S343" s="2">
        <v>1.0046189622236099</v>
      </c>
      <c r="T343" s="2">
        <v>5.6666666666666599</v>
      </c>
      <c r="U343" s="2">
        <v>1.4529663145135501</v>
      </c>
      <c r="V343" s="2">
        <v>0.5</v>
      </c>
      <c r="W343" s="2">
        <v>0</v>
      </c>
      <c r="X343" s="2">
        <v>3.5</v>
      </c>
      <c r="Y343" s="2">
        <v>0.600925212577334</v>
      </c>
      <c r="Z343" s="7">
        <v>32.311115410660697</v>
      </c>
      <c r="AA343" s="2">
        <v>12.4470491241036</v>
      </c>
      <c r="AB343" s="7">
        <v>30.3125</v>
      </c>
      <c r="AC343" s="2">
        <v>25.871999373115699</v>
      </c>
      <c r="AD343" s="2">
        <v>115.90909090909</v>
      </c>
      <c r="AE343" s="2">
        <v>29.7197655241409</v>
      </c>
      <c r="AF343" s="2">
        <v>109.933774834437</v>
      </c>
      <c r="AG343" s="2">
        <v>34.559448935467799</v>
      </c>
      <c r="AH343" s="2">
        <v>40.476190476190403</v>
      </c>
      <c r="AI343" s="2">
        <v>43.055098381012201</v>
      </c>
      <c r="AJ343" s="2">
        <v>81.818181818181799</v>
      </c>
      <c r="AK343" s="2">
        <v>0</v>
      </c>
      <c r="AL343" s="2">
        <v>155.555555555555</v>
      </c>
      <c r="AM343" s="2">
        <v>26.707787225659199</v>
      </c>
      <c r="AN343"/>
      <c r="AO343"/>
    </row>
    <row r="344" spans="1:41" ht="15.75" hidden="1" customHeight="1" x14ac:dyDescent="0.45">
      <c r="A344" s="2" t="s">
        <v>132</v>
      </c>
      <c r="B344" s="2" t="s">
        <v>133</v>
      </c>
      <c r="C344" s="2">
        <v>3</v>
      </c>
      <c r="D344" s="2"/>
      <c r="E344" s="2" t="s">
        <v>109</v>
      </c>
      <c r="F344" s="2" t="s">
        <v>84</v>
      </c>
      <c r="H344" s="2">
        <v>0.6</v>
      </c>
      <c r="J344" s="2">
        <v>0.6</v>
      </c>
      <c r="K344" s="2">
        <v>1.2777777777777699</v>
      </c>
      <c r="L344" s="2"/>
      <c r="M344" s="2">
        <v>2.21317603189356</v>
      </c>
      <c r="N344" s="2">
        <v>13.5</v>
      </c>
      <c r="O344" s="2">
        <v>2.5221243250702599</v>
      </c>
      <c r="P344" s="2">
        <v>7.2777777777777697</v>
      </c>
      <c r="Q344" s="2">
        <v>11.4701706532559</v>
      </c>
      <c r="R344" s="2">
        <v>0</v>
      </c>
      <c r="S344" s="2">
        <v>0</v>
      </c>
      <c r="T344" s="2">
        <v>58.7777777777777</v>
      </c>
      <c r="U344" s="2">
        <v>28.4826132800215</v>
      </c>
      <c r="V344" s="2">
        <v>0.33333333333333298</v>
      </c>
      <c r="W344" s="2">
        <v>0.57735026918962495</v>
      </c>
      <c r="X344" s="2">
        <v>4.6666666666666599</v>
      </c>
      <c r="Y344" s="2">
        <v>2.40370085030932</v>
      </c>
      <c r="Z344" s="7">
        <v>9.4031150237012593</v>
      </c>
      <c r="AA344" s="2">
        <v>1.7567277876081899</v>
      </c>
      <c r="AB344" s="7">
        <v>3.59375</v>
      </c>
      <c r="AC344" s="2">
        <v>6.22455758970065</v>
      </c>
      <c r="AD344" s="2">
        <v>1202.27272727272</v>
      </c>
      <c r="AE344" s="2">
        <v>582.59890800044002</v>
      </c>
      <c r="AF344" s="2">
        <v>43.377483443708599</v>
      </c>
      <c r="AG344" s="2">
        <v>68.365255549207802</v>
      </c>
      <c r="AH344" s="2">
        <v>0</v>
      </c>
      <c r="AI344" s="2">
        <v>0</v>
      </c>
      <c r="AJ344" s="2">
        <v>54.545454545454497</v>
      </c>
      <c r="AK344" s="2">
        <v>94.475498594666007</v>
      </c>
      <c r="AL344" s="2">
        <v>207.40740740740699</v>
      </c>
      <c r="AM344" s="2">
        <v>106.831148902636</v>
      </c>
      <c r="AN344"/>
      <c r="AO344"/>
    </row>
    <row r="345" spans="1:41" ht="15.75" hidden="1" customHeight="1" x14ac:dyDescent="0.45">
      <c r="A345" s="2" t="s">
        <v>132</v>
      </c>
      <c r="B345" s="2" t="s">
        <v>133</v>
      </c>
      <c r="C345" s="2">
        <v>10</v>
      </c>
      <c r="D345" s="2"/>
      <c r="E345" s="2" t="s">
        <v>109</v>
      </c>
      <c r="F345" s="2" t="s">
        <v>84</v>
      </c>
      <c r="H345" s="2">
        <v>0.6</v>
      </c>
      <c r="J345" s="2">
        <v>0.6</v>
      </c>
      <c r="K345" s="2">
        <v>0</v>
      </c>
      <c r="L345" s="2"/>
      <c r="M345" s="2">
        <v>0</v>
      </c>
      <c r="N345" s="2">
        <v>11.0555555555555</v>
      </c>
      <c r="O345" s="2">
        <v>2.4113927126900698</v>
      </c>
      <c r="P345" s="2">
        <v>0</v>
      </c>
      <c r="Q345" s="2">
        <v>0</v>
      </c>
      <c r="R345" s="2">
        <v>0</v>
      </c>
      <c r="S345" s="2">
        <v>0</v>
      </c>
      <c r="T345" s="2">
        <v>89.6666666666666</v>
      </c>
      <c r="U345" s="2">
        <v>9.3674969975976907</v>
      </c>
      <c r="V345" s="2">
        <v>0</v>
      </c>
      <c r="W345" s="2">
        <v>0</v>
      </c>
      <c r="X345" s="2">
        <v>1.38888888888888</v>
      </c>
      <c r="Y345" s="2">
        <v>2.40562612162344</v>
      </c>
      <c r="Z345" s="7">
        <v>7.7004933733191399</v>
      </c>
      <c r="AA345" s="2">
        <v>1.6796002255362801</v>
      </c>
      <c r="AB345" s="7">
        <v>0</v>
      </c>
      <c r="AC345" s="2">
        <v>0</v>
      </c>
      <c r="AD345" s="2">
        <v>1834.0909090908999</v>
      </c>
      <c r="AE345" s="2">
        <v>191.60789313268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61.7283950617283</v>
      </c>
      <c r="AM345" s="2">
        <v>106.91671651659701</v>
      </c>
      <c r="AN345"/>
      <c r="AO345"/>
    </row>
    <row r="346" spans="1:41" ht="15.75" hidden="1" customHeight="1" x14ac:dyDescent="0.45">
      <c r="A346" s="2" t="s">
        <v>132</v>
      </c>
      <c r="B346" s="2" t="s">
        <v>133</v>
      </c>
      <c r="C346" s="2">
        <v>3.0000000000000001E-3</v>
      </c>
      <c r="D346" s="2"/>
      <c r="E346" s="2" t="s">
        <v>109</v>
      </c>
      <c r="F346" s="2" t="s">
        <v>84</v>
      </c>
      <c r="H346" s="2">
        <v>0.3</v>
      </c>
      <c r="J346" s="2">
        <v>0.3</v>
      </c>
      <c r="K346" s="2">
        <v>33.2777777777777</v>
      </c>
      <c r="L346" s="2"/>
      <c r="M346" s="2">
        <v>2.2381374531647702</v>
      </c>
      <c r="N346" s="2">
        <v>228.388888888888</v>
      </c>
      <c r="O346" s="2">
        <v>20.752732974862401</v>
      </c>
      <c r="P346" s="2">
        <v>13.9444444444444</v>
      </c>
      <c r="Q346" s="2">
        <v>1.7023948273382601</v>
      </c>
      <c r="R346" s="2">
        <v>2.55555555555555</v>
      </c>
      <c r="S346" s="2">
        <v>0.48112522432468502</v>
      </c>
      <c r="T346" s="2">
        <v>10.2777777777777</v>
      </c>
      <c r="U346" s="2">
        <v>2.2628235393795801</v>
      </c>
      <c r="V346" s="2">
        <v>0.77777777777777701</v>
      </c>
      <c r="W346" s="2">
        <v>9.6225044864937798E-2</v>
      </c>
      <c r="X346" s="2">
        <v>3</v>
      </c>
      <c r="Y346" s="2">
        <v>0.16666666666666299</v>
      </c>
      <c r="Z346" s="7">
        <v>96.372267479341204</v>
      </c>
      <c r="AA346" s="2">
        <v>8.7569405977266204</v>
      </c>
      <c r="AB346" s="7">
        <v>95.003965107057894</v>
      </c>
      <c r="AC346" s="2">
        <v>6.3896073206924502</v>
      </c>
      <c r="AD346" s="2">
        <v>128.919860627177</v>
      </c>
      <c r="AE346" s="2">
        <v>28.383849274447702</v>
      </c>
      <c r="AF346" s="2">
        <v>100.4</v>
      </c>
      <c r="AG346" s="2">
        <v>12.257242756835501</v>
      </c>
      <c r="AH346" s="2">
        <v>140.458015267175</v>
      </c>
      <c r="AI346" s="2">
        <v>26.4435237796773</v>
      </c>
      <c r="AJ346" s="2">
        <v>119.148936170212</v>
      </c>
      <c r="AK346" s="2">
        <v>14.740857936756401</v>
      </c>
      <c r="AL346" s="2">
        <v>78.545454545454504</v>
      </c>
      <c r="AM346" s="2">
        <v>4.3636363636362798</v>
      </c>
      <c r="AN346"/>
      <c r="AO346"/>
    </row>
    <row r="347" spans="1:41" ht="15.75" hidden="1" customHeight="1" x14ac:dyDescent="0.45">
      <c r="A347" s="2" t="s">
        <v>132</v>
      </c>
      <c r="B347" s="2" t="s">
        <v>133</v>
      </c>
      <c r="C347" s="2">
        <v>0.01</v>
      </c>
      <c r="D347" s="2"/>
      <c r="E347" s="2" t="s">
        <v>109</v>
      </c>
      <c r="F347" s="2" t="s">
        <v>84</v>
      </c>
      <c r="H347" s="2">
        <v>0.3</v>
      </c>
      <c r="J347" s="2">
        <v>0.3</v>
      </c>
      <c r="K347" s="2">
        <v>33.1111111111111</v>
      </c>
      <c r="L347" s="2"/>
      <c r="M347" s="2">
        <v>5.5934816560919298</v>
      </c>
      <c r="N347" s="2">
        <v>196.277777777777</v>
      </c>
      <c r="O347" s="2">
        <v>9.8380403047064799</v>
      </c>
      <c r="P347" s="2">
        <v>12.5</v>
      </c>
      <c r="Q347" s="2">
        <v>3.05505046330389</v>
      </c>
      <c r="R347" s="2">
        <v>1.7777777777777699</v>
      </c>
      <c r="S347" s="2">
        <v>0.48112522432468802</v>
      </c>
      <c r="T347" s="2">
        <v>8.8333333333333304</v>
      </c>
      <c r="U347" s="2">
        <v>3.9405301391789598</v>
      </c>
      <c r="V347" s="2">
        <v>0.61111111111111105</v>
      </c>
      <c r="W347" s="2">
        <v>0.19245008972987501</v>
      </c>
      <c r="X347" s="2">
        <v>3.1111111111111098</v>
      </c>
      <c r="Y347" s="2">
        <v>0.97657754618038695</v>
      </c>
      <c r="Z347" s="7">
        <v>82.822481392486594</v>
      </c>
      <c r="AA347" s="2">
        <v>4.1513151376596502</v>
      </c>
      <c r="AB347" s="7">
        <v>94.528152260111</v>
      </c>
      <c r="AC347" s="2">
        <v>15.968702586780999</v>
      </c>
      <c r="AD347" s="2">
        <v>110.801393728222</v>
      </c>
      <c r="AE347" s="2">
        <v>49.428252616879</v>
      </c>
      <c r="AF347" s="2">
        <v>90</v>
      </c>
      <c r="AG347" s="2">
        <v>21.996363335788001</v>
      </c>
      <c r="AH347" s="2">
        <v>97.709923664122101</v>
      </c>
      <c r="AI347" s="2">
        <v>26.443523779677498</v>
      </c>
      <c r="AJ347" s="2">
        <v>93.617021276595693</v>
      </c>
      <c r="AK347" s="2">
        <v>29.481715873512801</v>
      </c>
      <c r="AL347" s="2">
        <v>81.454545454545396</v>
      </c>
      <c r="AM347" s="2">
        <v>25.568575754541001</v>
      </c>
      <c r="AN347"/>
      <c r="AO347"/>
    </row>
    <row r="348" spans="1:41" ht="15.75" hidden="1" customHeight="1" x14ac:dyDescent="0.45">
      <c r="A348" s="2" t="s">
        <v>132</v>
      </c>
      <c r="B348" s="2" t="s">
        <v>133</v>
      </c>
      <c r="C348" s="2">
        <v>0.03</v>
      </c>
      <c r="D348" s="2"/>
      <c r="E348" s="2" t="s">
        <v>109</v>
      </c>
      <c r="F348" s="2" t="s">
        <v>84</v>
      </c>
      <c r="H348" s="2">
        <v>0.3</v>
      </c>
      <c r="J348" s="2">
        <v>0.3</v>
      </c>
      <c r="K348" s="2">
        <v>36</v>
      </c>
      <c r="L348" s="2"/>
      <c r="M348" s="2">
        <v>4.40958551844097</v>
      </c>
      <c r="N348" s="2">
        <v>215</v>
      </c>
      <c r="O348" s="2">
        <v>41.414906065865303</v>
      </c>
      <c r="P348" s="2">
        <v>13.4444444444444</v>
      </c>
      <c r="Q348" s="2">
        <v>1.9172704363041599</v>
      </c>
      <c r="R348" s="2">
        <v>2.1111111111111098</v>
      </c>
      <c r="S348" s="2">
        <v>0.41943524640393098</v>
      </c>
      <c r="T348" s="2">
        <v>11.499999999999901</v>
      </c>
      <c r="U348" s="2">
        <v>3.3829638550307402</v>
      </c>
      <c r="V348" s="2">
        <v>0.61111111111111105</v>
      </c>
      <c r="W348" s="2">
        <v>0.25458753860865702</v>
      </c>
      <c r="X348" s="2">
        <v>3.8333333333333299</v>
      </c>
      <c r="Y348" s="2">
        <v>0.28867513459481697</v>
      </c>
      <c r="Z348" s="7">
        <v>90.722616187071395</v>
      </c>
      <c r="AA348" s="2">
        <v>17.475668034591202</v>
      </c>
      <c r="AB348" s="7">
        <v>102.775574940523</v>
      </c>
      <c r="AC348" s="2">
        <v>12.588824636310401</v>
      </c>
      <c r="AD348" s="2">
        <v>144.25087108013901</v>
      </c>
      <c r="AE348" s="2">
        <v>42.434389819200902</v>
      </c>
      <c r="AF348" s="2">
        <v>96.8</v>
      </c>
      <c r="AG348" s="2">
        <v>13.80434714139</v>
      </c>
      <c r="AH348" s="2">
        <v>116.03053435114499</v>
      </c>
      <c r="AI348" s="2">
        <v>23.0529295733458</v>
      </c>
      <c r="AJ348" s="2">
        <v>93.617021276595693</v>
      </c>
      <c r="AK348" s="2">
        <v>39.0006442123901</v>
      </c>
      <c r="AL348" s="2">
        <v>100.363636363636</v>
      </c>
      <c r="AM348" s="2">
        <v>7.5580398875733898</v>
      </c>
      <c r="AN348"/>
      <c r="AO348"/>
    </row>
    <row r="349" spans="1:41" ht="15.75" hidden="1" customHeight="1" x14ac:dyDescent="0.45">
      <c r="A349" s="2" t="s">
        <v>132</v>
      </c>
      <c r="B349" s="2" t="s">
        <v>133</v>
      </c>
      <c r="C349" s="2">
        <v>0.1</v>
      </c>
      <c r="D349" s="2"/>
      <c r="E349" s="2" t="s">
        <v>109</v>
      </c>
      <c r="F349" s="2" t="s">
        <v>84</v>
      </c>
      <c r="H349" s="2">
        <v>0.3</v>
      </c>
      <c r="J349" s="2">
        <v>0.3</v>
      </c>
      <c r="K349" s="2">
        <v>31.7222222222222</v>
      </c>
      <c r="L349" s="2"/>
      <c r="M349" s="2">
        <v>1.70239482733831</v>
      </c>
      <c r="N349" s="2">
        <v>198.222222222222</v>
      </c>
      <c r="O349" s="2">
        <v>25.1850558275544</v>
      </c>
      <c r="P349" s="2">
        <v>10.8888888888888</v>
      </c>
      <c r="Q349" s="2">
        <v>3.5329140212410302</v>
      </c>
      <c r="R349" s="2">
        <v>1.88888888888888</v>
      </c>
      <c r="S349" s="2">
        <v>0.38490017945975102</v>
      </c>
      <c r="T349" s="2">
        <v>8.5</v>
      </c>
      <c r="U349" s="2">
        <v>2.4551533104427001</v>
      </c>
      <c r="V349" s="2">
        <v>0.5</v>
      </c>
      <c r="W349" s="2">
        <v>0.28867513459481198</v>
      </c>
      <c r="X349" s="2">
        <v>3.3333333333333299</v>
      </c>
      <c r="Y349" s="2">
        <v>1.36422546197874</v>
      </c>
      <c r="Z349" s="7">
        <v>83.642970169372305</v>
      </c>
      <c r="AA349" s="2">
        <v>10.627228620898499</v>
      </c>
      <c r="AB349" s="7">
        <v>90.563045202220394</v>
      </c>
      <c r="AC349" s="2">
        <v>4.8601279765407996</v>
      </c>
      <c r="AD349" s="2">
        <v>106.62020905923301</v>
      </c>
      <c r="AE349" s="2">
        <v>30.796348144925901</v>
      </c>
      <c r="AF349" s="2">
        <v>78.400000000000006</v>
      </c>
      <c r="AG349" s="2">
        <v>25.4369809529354</v>
      </c>
      <c r="AH349" s="2">
        <v>103.816793893129</v>
      </c>
      <c r="AI349" s="2">
        <v>21.154819023742</v>
      </c>
      <c r="AJ349" s="2">
        <v>76.595744680850999</v>
      </c>
      <c r="AK349" s="2">
        <v>44.222573810269097</v>
      </c>
      <c r="AL349" s="2">
        <v>87.272727272727295</v>
      </c>
      <c r="AM349" s="2">
        <v>35.7179030045343</v>
      </c>
      <c r="AN349"/>
      <c r="AO349"/>
    </row>
    <row r="350" spans="1:41" ht="15.75" hidden="1" customHeight="1" x14ac:dyDescent="0.45">
      <c r="A350" s="2" t="s">
        <v>132</v>
      </c>
      <c r="B350" s="2" t="s">
        <v>133</v>
      </c>
      <c r="C350" s="2">
        <v>0.3</v>
      </c>
      <c r="D350" s="2"/>
      <c r="E350" s="2" t="s">
        <v>109</v>
      </c>
      <c r="F350" s="2" t="s">
        <v>84</v>
      </c>
      <c r="H350" s="2">
        <v>0.3</v>
      </c>
      <c r="J350" s="2">
        <v>0.3</v>
      </c>
      <c r="K350" s="2">
        <v>31.155555555555502</v>
      </c>
      <c r="L350" s="2"/>
      <c r="M350" s="2">
        <v>3.1816022052721098</v>
      </c>
      <c r="N350" s="2">
        <v>197.544444444444</v>
      </c>
      <c r="O350" s="2">
        <v>40.5083027611945</v>
      </c>
      <c r="P350" s="2">
        <v>11.5555555555555</v>
      </c>
      <c r="Q350" s="2">
        <v>2.9876288132775</v>
      </c>
      <c r="R350" s="2">
        <v>2.0444444444444398</v>
      </c>
      <c r="S350" s="2">
        <v>0.394874569864819</v>
      </c>
      <c r="T350" s="2">
        <v>10.1222222222222</v>
      </c>
      <c r="U350" s="2">
        <v>1.19737366920427</v>
      </c>
      <c r="V350" s="2">
        <v>1</v>
      </c>
      <c r="W350" s="2">
        <v>0.5</v>
      </c>
      <c r="X350" s="2">
        <v>3.7222222222222201</v>
      </c>
      <c r="Y350" s="2">
        <v>0.25458753860865402</v>
      </c>
      <c r="Z350" s="7">
        <v>83.356971224286397</v>
      </c>
      <c r="AA350" s="2">
        <v>17.093112575783898</v>
      </c>
      <c r="AB350" s="7">
        <v>88.945281522601107</v>
      </c>
      <c r="AC350" s="2">
        <v>9.0830832188577304</v>
      </c>
      <c r="AD350" s="2">
        <v>126.96864111498201</v>
      </c>
      <c r="AE350" s="2">
        <v>15.019321286186001</v>
      </c>
      <c r="AF350" s="2">
        <v>83.199999999999903</v>
      </c>
      <c r="AG350" s="2">
        <v>21.510927455598001</v>
      </c>
      <c r="AH350" s="2">
        <v>112.36641221374001</v>
      </c>
      <c r="AI350" s="2">
        <v>21.703029794096899</v>
      </c>
      <c r="AJ350" s="2">
        <v>153.191489361702</v>
      </c>
      <c r="AK350" s="2">
        <v>76.595744680851098</v>
      </c>
      <c r="AL350" s="2">
        <v>97.454545454545396</v>
      </c>
      <c r="AM350" s="2">
        <v>6.6655646472083996</v>
      </c>
      <c r="AN350"/>
      <c r="AO350"/>
    </row>
    <row r="351" spans="1:41" ht="15.75" hidden="1" customHeight="1" x14ac:dyDescent="0.45">
      <c r="A351" s="2" t="s">
        <v>132</v>
      </c>
      <c r="B351" s="2" t="s">
        <v>133</v>
      </c>
      <c r="C351" s="2">
        <v>1</v>
      </c>
      <c r="D351" s="2"/>
      <c r="E351" s="2" t="s">
        <v>109</v>
      </c>
      <c r="F351" s="2" t="s">
        <v>84</v>
      </c>
      <c r="H351" s="2">
        <v>0.3</v>
      </c>
      <c r="J351" s="2">
        <v>0.3</v>
      </c>
      <c r="K351" s="2">
        <v>32.1666666666666</v>
      </c>
      <c r="L351" s="2"/>
      <c r="M351" s="2">
        <v>4.2426406871192297</v>
      </c>
      <c r="N351" s="2">
        <v>160.75</v>
      </c>
      <c r="O351" s="2">
        <v>48.201112250883</v>
      </c>
      <c r="P351" s="2">
        <v>11.9166666666666</v>
      </c>
      <c r="Q351" s="2">
        <v>2.23917147375739</v>
      </c>
      <c r="R351" s="2">
        <v>1.9166666666666601</v>
      </c>
      <c r="S351" s="2">
        <v>1.0606601717798201</v>
      </c>
      <c r="T351" s="2">
        <v>11.3333333333333</v>
      </c>
      <c r="U351" s="2">
        <v>1.1785113019775899</v>
      </c>
      <c r="V351" s="2">
        <v>1.0833333333333299</v>
      </c>
      <c r="W351" s="2">
        <v>0.117851130197757</v>
      </c>
      <c r="X351" s="2">
        <v>2.75</v>
      </c>
      <c r="Y351" s="2">
        <v>1.29636243217533</v>
      </c>
      <c r="Z351" s="7">
        <v>67.830979311961499</v>
      </c>
      <c r="AA351" s="2">
        <v>20.3392139838456</v>
      </c>
      <c r="AB351" s="7">
        <v>91.831879460745398</v>
      </c>
      <c r="AC351" s="2">
        <v>12.112217663464801</v>
      </c>
      <c r="AD351" s="2">
        <v>142.16027874564401</v>
      </c>
      <c r="AE351" s="2">
        <v>14.7827201641788</v>
      </c>
      <c r="AF351" s="2">
        <v>85.8</v>
      </c>
      <c r="AG351" s="2">
        <v>16.122034611053198</v>
      </c>
      <c r="AH351" s="2">
        <v>105.343511450381</v>
      </c>
      <c r="AI351" s="2">
        <v>58.295826235226798</v>
      </c>
      <c r="AJ351" s="2">
        <v>165.95744680851001</v>
      </c>
      <c r="AK351" s="2">
        <v>18.0537901579543</v>
      </c>
      <c r="AL351" s="2">
        <v>72</v>
      </c>
      <c r="AM351" s="2">
        <v>33.9411254969542</v>
      </c>
      <c r="AN351"/>
      <c r="AO351"/>
    </row>
    <row r="352" spans="1:41" ht="15.75" hidden="1" customHeight="1" x14ac:dyDescent="0.45">
      <c r="A352" s="2" t="s">
        <v>132</v>
      </c>
      <c r="B352" s="2" t="s">
        <v>133</v>
      </c>
      <c r="C352" s="2">
        <v>3</v>
      </c>
      <c r="D352" s="2"/>
      <c r="E352" s="2" t="s">
        <v>109</v>
      </c>
      <c r="F352" s="2" t="s">
        <v>84</v>
      </c>
      <c r="H352" s="2">
        <v>0.3</v>
      </c>
      <c r="J352" s="2">
        <v>0.3</v>
      </c>
      <c r="K352" s="2">
        <v>14.9444444444444</v>
      </c>
      <c r="L352" s="2"/>
      <c r="M352" s="2">
        <v>3.3347219329908802</v>
      </c>
      <c r="N352" s="2">
        <v>90.2222222222222</v>
      </c>
      <c r="O352" s="2">
        <v>29.059963549211201</v>
      </c>
      <c r="P352" s="2">
        <v>14</v>
      </c>
      <c r="Q352" s="2">
        <v>6.7144123594945597</v>
      </c>
      <c r="R352" s="2">
        <v>1.5</v>
      </c>
      <c r="S352" s="2">
        <v>1.0137937550497</v>
      </c>
      <c r="T352" s="2">
        <v>13.2777777777777</v>
      </c>
      <c r="U352" s="2">
        <v>9.07428193261552</v>
      </c>
      <c r="V352" s="2">
        <v>0.88888888888888795</v>
      </c>
      <c r="W352" s="2">
        <v>0.25458753860865801</v>
      </c>
      <c r="X352" s="2">
        <v>3.88888888888888</v>
      </c>
      <c r="Y352" s="2">
        <v>0.75154162547048098</v>
      </c>
      <c r="Z352" s="7">
        <v>38.070679247494503</v>
      </c>
      <c r="AA352" s="2">
        <v>12.2623066022575</v>
      </c>
      <c r="AB352" s="7">
        <v>42.664551942902399</v>
      </c>
      <c r="AC352" s="2">
        <v>9.5202212202753103</v>
      </c>
      <c r="AD352" s="2">
        <v>166.55052264808299</v>
      </c>
      <c r="AE352" s="2">
        <v>113.823745496222</v>
      </c>
      <c r="AF352" s="2">
        <v>100.8</v>
      </c>
      <c r="AG352" s="2">
        <v>48.3437689883608</v>
      </c>
      <c r="AH352" s="2">
        <v>82.442748091602994</v>
      </c>
      <c r="AI352" s="2">
        <v>55.719962109602001</v>
      </c>
      <c r="AJ352" s="2">
        <v>136.17021276595699</v>
      </c>
      <c r="AK352" s="2">
        <v>39.000644212390199</v>
      </c>
      <c r="AL352" s="2">
        <v>101.818181818181</v>
      </c>
      <c r="AM352" s="2">
        <v>19.676726194136201</v>
      </c>
      <c r="AN352"/>
      <c r="AO352"/>
    </row>
    <row r="353" spans="1:41" ht="15.75" hidden="1" customHeight="1" x14ac:dyDescent="0.45">
      <c r="A353" s="2" t="s">
        <v>132</v>
      </c>
      <c r="B353" s="2" t="s">
        <v>133</v>
      </c>
      <c r="C353" s="2">
        <v>10</v>
      </c>
      <c r="D353" s="2"/>
      <c r="E353" s="2" t="s">
        <v>109</v>
      </c>
      <c r="F353" s="2" t="s">
        <v>84</v>
      </c>
      <c r="H353" s="2">
        <v>0.3</v>
      </c>
      <c r="J353" s="2">
        <v>0.3</v>
      </c>
      <c r="K353" s="2">
        <v>0</v>
      </c>
      <c r="L353" s="2"/>
      <c r="M353" s="2">
        <v>0</v>
      </c>
      <c r="N353" s="2">
        <v>11.4722222222222</v>
      </c>
      <c r="O353" s="2">
        <v>5.2798972352513402</v>
      </c>
      <c r="P353" s="2">
        <v>5.1111111111111098</v>
      </c>
      <c r="Q353" s="2">
        <v>7.7268171780949801</v>
      </c>
      <c r="R353" s="2">
        <v>0</v>
      </c>
      <c r="S353" s="2">
        <v>0</v>
      </c>
      <c r="T353" s="2">
        <v>59.25</v>
      </c>
      <c r="U353" s="2">
        <v>23.567721569977799</v>
      </c>
      <c r="V353" s="2">
        <v>0.77777777777777701</v>
      </c>
      <c r="W353" s="2">
        <v>0.69388866648870995</v>
      </c>
      <c r="X353" s="2">
        <v>5</v>
      </c>
      <c r="Y353" s="2">
        <v>2.1278575558006101</v>
      </c>
      <c r="Z353" s="7">
        <v>4.8408837836253804</v>
      </c>
      <c r="AA353" s="2">
        <v>2.2279353040971399</v>
      </c>
      <c r="AB353" s="7">
        <v>0</v>
      </c>
      <c r="AC353" s="2">
        <v>0</v>
      </c>
      <c r="AD353" s="2">
        <v>743.20557491289196</v>
      </c>
      <c r="AE353" s="2">
        <v>295.62298833421698</v>
      </c>
      <c r="AF353" s="2">
        <v>36.799999999999997</v>
      </c>
      <c r="AG353" s="2">
        <v>55.633083682283797</v>
      </c>
      <c r="AH353" s="2">
        <v>0</v>
      </c>
      <c r="AI353" s="2">
        <v>0</v>
      </c>
      <c r="AJ353" s="2">
        <v>119.148936170212</v>
      </c>
      <c r="AK353" s="2">
        <v>106.297838270611</v>
      </c>
      <c r="AL353" s="2">
        <v>130.90909090909</v>
      </c>
      <c r="AM353" s="2">
        <v>55.711179642779797</v>
      </c>
      <c r="AN353"/>
      <c r="AO353"/>
    </row>
    <row r="354" spans="1:41" ht="15.75" hidden="1" customHeight="1" x14ac:dyDescent="0.45">
      <c r="A354" s="2" t="s">
        <v>134</v>
      </c>
      <c r="B354" s="2" t="s">
        <v>98</v>
      </c>
      <c r="C354" s="2">
        <v>3.0000000000000001E-3</v>
      </c>
      <c r="D354" s="2"/>
      <c r="E354" s="2" t="s">
        <v>83</v>
      </c>
      <c r="F354" s="2" t="s">
        <v>84</v>
      </c>
      <c r="H354" s="2">
        <v>0.1</v>
      </c>
      <c r="J354" s="2">
        <v>0.1</v>
      </c>
      <c r="K354" s="2">
        <v>22.456092935433301</v>
      </c>
      <c r="L354" s="2"/>
      <c r="M354" s="2">
        <v>6.6402035679332299</v>
      </c>
      <c r="N354" s="2">
        <v>152.166666666666</v>
      </c>
      <c r="O354" s="2">
        <v>42.772979528877599</v>
      </c>
      <c r="P354" s="2">
        <v>16.340664007366598</v>
      </c>
      <c r="Q354" s="2">
        <v>2.1052427640490099</v>
      </c>
      <c r="R354" s="2">
        <v>1.0215760684427699</v>
      </c>
      <c r="S354" s="2">
        <v>0.332223596381583</v>
      </c>
      <c r="T354" s="2">
        <v>4.68216385466277</v>
      </c>
      <c r="U354" s="2">
        <v>2.59619530558995</v>
      </c>
      <c r="V354" s="2">
        <v>0.58853286810944405</v>
      </c>
      <c r="W354" s="2">
        <v>0.21012537726623801</v>
      </c>
      <c r="X354" s="2">
        <v>4.2336337015555499</v>
      </c>
      <c r="Y354" s="2">
        <v>0.58938126382630596</v>
      </c>
      <c r="Z354" s="7">
        <v>57.653624775476402</v>
      </c>
      <c r="AA354" s="2">
        <v>17.1873540640219</v>
      </c>
      <c r="AB354" s="7">
        <v>65.762625172167006</v>
      </c>
      <c r="AC354" s="2">
        <v>16.2167581087974</v>
      </c>
      <c r="AD354" s="2">
        <v>80.030714357380305</v>
      </c>
      <c r="AE354" s="2">
        <v>43.812654061031203</v>
      </c>
      <c r="AF354" s="2">
        <v>120.71171164520899</v>
      </c>
      <c r="AG354" s="2">
        <v>19.451468265436201</v>
      </c>
      <c r="AH354" s="2">
        <v>55.475644027812201</v>
      </c>
      <c r="AI354" s="2">
        <v>19.665479197315001</v>
      </c>
      <c r="AJ354" s="2">
        <v>105.351061597385</v>
      </c>
      <c r="AK354" s="2">
        <v>71.805392191472507</v>
      </c>
      <c r="AL354" s="2">
        <v>115.69339684662999</v>
      </c>
      <c r="AM354" s="2">
        <v>3.0274969275574701</v>
      </c>
      <c r="AN354"/>
      <c r="AO354"/>
    </row>
    <row r="355" spans="1:41" ht="15.75" hidden="1" customHeight="1" x14ac:dyDescent="0.45">
      <c r="A355" s="2" t="s">
        <v>134</v>
      </c>
      <c r="B355" s="2" t="s">
        <v>98</v>
      </c>
      <c r="C355" s="2">
        <v>0.01</v>
      </c>
      <c r="D355" s="2"/>
      <c r="E355" s="2" t="s">
        <v>83</v>
      </c>
      <c r="F355" s="2" t="s">
        <v>84</v>
      </c>
      <c r="H355" s="2">
        <v>0.1</v>
      </c>
      <c r="J355" s="2">
        <v>0.1</v>
      </c>
      <c r="K355" s="2">
        <v>26.422676219555498</v>
      </c>
      <c r="L355" s="2"/>
      <c r="M355" s="2">
        <v>2.7064739505000999</v>
      </c>
      <c r="N355" s="2">
        <v>178.166666666666</v>
      </c>
      <c r="O355" s="2">
        <v>7.6539750021373196</v>
      </c>
      <c r="P355" s="2">
        <v>15.088349918827699</v>
      </c>
      <c r="Q355" s="2">
        <v>1.5019042197522301</v>
      </c>
      <c r="R355" s="2">
        <v>1.2381041579794401</v>
      </c>
      <c r="S355" s="2">
        <v>0.169856796155884</v>
      </c>
      <c r="T355" s="2">
        <v>5.27066120620555</v>
      </c>
      <c r="U355" s="2">
        <v>1.3752952232926501</v>
      </c>
      <c r="V355" s="2">
        <v>0.44190237342611099</v>
      </c>
      <c r="W355" s="2">
        <v>0.55260913719608096</v>
      </c>
      <c r="X355" s="2">
        <v>4.0330673900722198</v>
      </c>
      <c r="Y355" s="2">
        <v>0.94801989881166304</v>
      </c>
      <c r="Z355" s="7">
        <v>67.437486377610995</v>
      </c>
      <c r="AA355" s="2">
        <v>4.86650374933041</v>
      </c>
      <c r="AB355" s="7">
        <v>78.159479810195805</v>
      </c>
      <c r="AC355" s="2">
        <v>8.2398123827231409</v>
      </c>
      <c r="AD355" s="2">
        <v>90.956676222298597</v>
      </c>
      <c r="AE355" s="2">
        <v>21.922322888254001</v>
      </c>
      <c r="AF355" s="2">
        <v>111.202760830896</v>
      </c>
      <c r="AG355" s="2">
        <v>11.6264521256607</v>
      </c>
      <c r="AH355" s="2">
        <v>68.781371220920406</v>
      </c>
      <c r="AI355" s="2">
        <v>23.684068258920799</v>
      </c>
      <c r="AJ355" s="2">
        <v>80.6607869315812</v>
      </c>
      <c r="AK355" s="2">
        <v>111.35105689265001</v>
      </c>
      <c r="AL355" s="2">
        <v>109.66487460043599</v>
      </c>
      <c r="AM355" s="2">
        <v>15.646249267354699</v>
      </c>
      <c r="AN355"/>
      <c r="AO355"/>
    </row>
    <row r="356" spans="1:41" ht="15.75" hidden="1" customHeight="1" x14ac:dyDescent="0.45">
      <c r="A356" s="2" t="s">
        <v>134</v>
      </c>
      <c r="B356" s="2" t="s">
        <v>98</v>
      </c>
      <c r="C356" s="2">
        <v>0.03</v>
      </c>
      <c r="D356" s="2"/>
      <c r="E356" s="2" t="s">
        <v>83</v>
      </c>
      <c r="F356" s="2" t="s">
        <v>84</v>
      </c>
      <c r="H356" s="2">
        <v>0.1</v>
      </c>
      <c r="J356" s="2">
        <v>0.1</v>
      </c>
      <c r="K356" s="2">
        <v>23.8677995137555</v>
      </c>
      <c r="L356" s="2"/>
      <c r="M356" s="2">
        <v>1.9005527624105301</v>
      </c>
      <c r="N356" s="2">
        <v>161.52222222222201</v>
      </c>
      <c r="O356" s="2">
        <v>9.3050961743993597</v>
      </c>
      <c r="P356" s="2">
        <v>15.036873610511099</v>
      </c>
      <c r="Q356" s="2">
        <v>1.03276819868273</v>
      </c>
      <c r="R356" s="2">
        <v>1.35698691738133</v>
      </c>
      <c r="S356" s="2">
        <v>1.1906840766375799</v>
      </c>
      <c r="T356" s="2">
        <v>5.2455456077785501</v>
      </c>
      <c r="U356" s="2">
        <v>1.30852259156423</v>
      </c>
      <c r="V356" s="2">
        <v>0.371491912657888</v>
      </c>
      <c r="W356" s="2">
        <v>0.17353147911675801</v>
      </c>
      <c r="X356" s="2">
        <v>5.3739423230077703</v>
      </c>
      <c r="Y356" s="2">
        <v>0.18592947073559701</v>
      </c>
      <c r="Z356" s="7">
        <v>61.002143853179298</v>
      </c>
      <c r="AA356" s="2">
        <v>0.82438012818950701</v>
      </c>
      <c r="AB356" s="7">
        <v>70.519687080200896</v>
      </c>
      <c r="AC356" s="2">
        <v>4.0473302329241898</v>
      </c>
      <c r="AD356" s="2">
        <v>90.012926444537598</v>
      </c>
      <c r="AE356" s="2">
        <v>16.4042221138732</v>
      </c>
      <c r="AF356" s="2">
        <v>110.908045182302</v>
      </c>
      <c r="AG356" s="2">
        <v>9.5979378382250804</v>
      </c>
      <c r="AH356" s="2">
        <v>64.080330981394496</v>
      </c>
      <c r="AI356" s="2">
        <v>43.282022781444702</v>
      </c>
      <c r="AJ356" s="2">
        <v>55.672476436123503</v>
      </c>
      <c r="AK356" s="2">
        <v>8.2927786408021191</v>
      </c>
      <c r="AL356" s="2">
        <v>148.57952512081101</v>
      </c>
      <c r="AM356" s="2">
        <v>19.354601149234199</v>
      </c>
      <c r="AN356"/>
      <c r="AO356"/>
    </row>
    <row r="357" spans="1:41" ht="15.75" hidden="1" customHeight="1" x14ac:dyDescent="0.45">
      <c r="A357" s="2" t="s">
        <v>134</v>
      </c>
      <c r="B357" s="2" t="s">
        <v>98</v>
      </c>
      <c r="C357" s="2">
        <v>0.1</v>
      </c>
      <c r="D357" s="2"/>
      <c r="E357" s="2" t="s">
        <v>83</v>
      </c>
      <c r="F357" s="2" t="s">
        <v>84</v>
      </c>
      <c r="H357" s="2">
        <v>0.1</v>
      </c>
      <c r="J357" s="2">
        <v>0.1</v>
      </c>
      <c r="K357" s="2">
        <v>21.4723669085</v>
      </c>
      <c r="L357" s="2"/>
      <c r="M357" s="2">
        <v>1.7904342320360001</v>
      </c>
      <c r="N357" s="2">
        <v>121.5</v>
      </c>
      <c r="O357" s="2">
        <v>9.1757530723339098</v>
      </c>
      <c r="P357" s="2">
        <v>14.3462013401166</v>
      </c>
      <c r="Q357" s="2">
        <v>1.1279758685599599</v>
      </c>
      <c r="R357" s="2">
        <v>0.77512289682888902</v>
      </c>
      <c r="S357" s="2">
        <v>0.37657475787702899</v>
      </c>
      <c r="T357" s="2">
        <v>5.70445968226666</v>
      </c>
      <c r="U357" s="2">
        <v>1.5748789071575</v>
      </c>
      <c r="V357" s="2">
        <v>0.75516837564944395</v>
      </c>
      <c r="W357" s="2">
        <v>0.47585812141108802</v>
      </c>
      <c r="X357" s="2">
        <v>4.7624627604222196</v>
      </c>
      <c r="Y357" s="2">
        <v>0.82024707527582696</v>
      </c>
      <c r="Z357" s="7">
        <v>46.066419922756097</v>
      </c>
      <c r="AA357" s="2">
        <v>5.5076821268083602</v>
      </c>
      <c r="AB357" s="7">
        <v>63.619743206051297</v>
      </c>
      <c r="AC357" s="2">
        <v>7.1433146305314796</v>
      </c>
      <c r="AD357" s="2">
        <v>98.234298669562193</v>
      </c>
      <c r="AE357" s="2">
        <v>25.360862364372199</v>
      </c>
      <c r="AF357" s="2">
        <v>106.552160306373</v>
      </c>
      <c r="AG357" s="2">
        <v>18.296783140809499</v>
      </c>
      <c r="AH357" s="2">
        <v>46.562160590220799</v>
      </c>
      <c r="AI357" s="2">
        <v>33.015850137039202</v>
      </c>
      <c r="AJ357" s="2">
        <v>132.023756629985</v>
      </c>
      <c r="AK357" s="2">
        <v>121.77649522008301</v>
      </c>
      <c r="AL357" s="2">
        <v>131.971993760685</v>
      </c>
      <c r="AM357" s="2">
        <v>29.612285677278699</v>
      </c>
      <c r="AN357"/>
      <c r="AO357"/>
    </row>
    <row r="358" spans="1:41" ht="15.75" hidden="1" customHeight="1" x14ac:dyDescent="0.45">
      <c r="A358" s="2" t="s">
        <v>134</v>
      </c>
      <c r="B358" s="2" t="s">
        <v>98</v>
      </c>
      <c r="C358" s="2">
        <v>0.3</v>
      </c>
      <c r="D358" s="2"/>
      <c r="E358" s="2" t="s">
        <v>83</v>
      </c>
      <c r="F358" s="2" t="s">
        <v>84</v>
      </c>
      <c r="H358" s="2">
        <v>0.1</v>
      </c>
      <c r="J358" s="2">
        <v>0.1</v>
      </c>
      <c r="K358" s="2">
        <v>5.7222496846133302</v>
      </c>
      <c r="L358" s="2"/>
      <c r="M358" s="2">
        <v>0.97975859546766397</v>
      </c>
      <c r="N358" s="2">
        <v>60</v>
      </c>
      <c r="O358" s="2">
        <v>6.2070748165121303</v>
      </c>
      <c r="P358" s="2">
        <v>9.0598726698177696</v>
      </c>
      <c r="Q358" s="2">
        <v>1.0792162770239799</v>
      </c>
      <c r="R358" s="2">
        <v>0.97278384251888805</v>
      </c>
      <c r="S358" s="2">
        <v>1.0314632728750299</v>
      </c>
      <c r="T358" s="2">
        <v>11.1423739202055</v>
      </c>
      <c r="U358" s="2">
        <v>2.77922552411958</v>
      </c>
      <c r="V358" s="2">
        <v>0.313300722108666</v>
      </c>
      <c r="W358" s="2">
        <v>0.54265276874022805</v>
      </c>
      <c r="X358" s="2">
        <v>11.061542041797701</v>
      </c>
      <c r="Y358" s="2">
        <v>1.27886786129521</v>
      </c>
      <c r="Z358" s="7">
        <v>22.745339213597099</v>
      </c>
      <c r="AA358" s="2">
        <v>3.1675150236589902</v>
      </c>
      <c r="AB358" s="7">
        <v>16.898291896923201</v>
      </c>
      <c r="AC358" s="2">
        <v>2.7424484849662498</v>
      </c>
      <c r="AD358" s="2">
        <v>196.177213424706</v>
      </c>
      <c r="AE358" s="2">
        <v>63.950685524254602</v>
      </c>
      <c r="AF358" s="2">
        <v>66.938328838492595</v>
      </c>
      <c r="AG358" s="2">
        <v>10.3294484832705</v>
      </c>
      <c r="AH358" s="2">
        <v>63.862251846915299</v>
      </c>
      <c r="AI358" s="2">
        <v>78.352960119727598</v>
      </c>
      <c r="AJ358" s="2">
        <v>60.844275929762603</v>
      </c>
      <c r="AK358" s="2">
        <v>105.38537726008801</v>
      </c>
      <c r="AL358" s="2">
        <v>305.95208886209201</v>
      </c>
      <c r="AM358" s="2">
        <v>50.995833355025702</v>
      </c>
      <c r="AN358"/>
      <c r="AO358"/>
    </row>
    <row r="359" spans="1:41" ht="15.75" hidden="1" customHeight="1" x14ac:dyDescent="0.45">
      <c r="A359" s="2" t="s">
        <v>134</v>
      </c>
      <c r="B359" s="2" t="s">
        <v>98</v>
      </c>
      <c r="C359" s="2">
        <v>1</v>
      </c>
      <c r="D359" s="2"/>
      <c r="E359" s="2" t="s">
        <v>83</v>
      </c>
      <c r="F359" s="2" t="s">
        <v>84</v>
      </c>
      <c r="H359" s="2">
        <v>0.1</v>
      </c>
      <c r="J359" s="2">
        <v>0.1</v>
      </c>
      <c r="K359" s="2">
        <v>2.4430571686388798</v>
      </c>
      <c r="L359" s="2"/>
      <c r="M359" s="2">
        <v>1.81009263777712</v>
      </c>
      <c r="N359" s="2">
        <v>31.2222222222222</v>
      </c>
      <c r="O359" s="2">
        <v>4.6228097917143103</v>
      </c>
      <c r="P359" s="2">
        <v>4.4240233005611103</v>
      </c>
      <c r="Q359" s="2">
        <v>0.76139127628798697</v>
      </c>
      <c r="R359" s="2">
        <v>0</v>
      </c>
      <c r="S359" s="2">
        <v>0</v>
      </c>
      <c r="T359" s="2">
        <v>18.9063159921111</v>
      </c>
      <c r="U359" s="2">
        <v>4.1210152261001296</v>
      </c>
      <c r="V359" s="2">
        <v>0.13550135501111099</v>
      </c>
      <c r="W359" s="2">
        <v>0.23469523137367199</v>
      </c>
      <c r="X359" s="2">
        <v>8.4689067216722194</v>
      </c>
      <c r="Y359" s="2">
        <v>2.7418418686939998</v>
      </c>
      <c r="Z359" s="7">
        <v>11.862320843902401</v>
      </c>
      <c r="AA359" s="2">
        <v>2.2736819489875</v>
      </c>
      <c r="AB359" s="7">
        <v>7.0302053777691897</v>
      </c>
      <c r="AC359" s="2">
        <v>4.7540250683969898</v>
      </c>
      <c r="AD359" s="2">
        <v>332.25487719292101</v>
      </c>
      <c r="AE359" s="2">
        <v>103.63876948800301</v>
      </c>
      <c r="AF359" s="2">
        <v>33.114742568760597</v>
      </c>
      <c r="AG359" s="2">
        <v>8.7566477491920693</v>
      </c>
      <c r="AH359" s="2">
        <v>0</v>
      </c>
      <c r="AI359" s="2">
        <v>0</v>
      </c>
      <c r="AJ359" s="2">
        <v>26.314914876874099</v>
      </c>
      <c r="AK359" s="2">
        <v>45.578769563596097</v>
      </c>
      <c r="AL359" s="2">
        <v>230.684936215335</v>
      </c>
      <c r="AM359" s="2">
        <v>62.500191539460197</v>
      </c>
      <c r="AN359"/>
      <c r="AO359"/>
    </row>
    <row r="360" spans="1:41" ht="15.75" hidden="1" customHeight="1" x14ac:dyDescent="0.45">
      <c r="A360" s="2" t="s">
        <v>134</v>
      </c>
      <c r="B360" s="2" t="s">
        <v>98</v>
      </c>
      <c r="C360" s="2">
        <v>3</v>
      </c>
      <c r="D360" s="2"/>
      <c r="E360" s="2" t="s">
        <v>83</v>
      </c>
      <c r="F360" s="2" t="s">
        <v>84</v>
      </c>
      <c r="H360" s="2">
        <v>0.1</v>
      </c>
      <c r="J360" s="2">
        <v>0.1</v>
      </c>
      <c r="K360" s="2">
        <v>0</v>
      </c>
      <c r="L360" s="2"/>
      <c r="M360" s="2">
        <v>0</v>
      </c>
      <c r="N360" s="2">
        <v>26.3333333333333</v>
      </c>
      <c r="O360" s="2">
        <v>3.6170890690350999</v>
      </c>
      <c r="P360" s="2">
        <v>1.0914494002722199</v>
      </c>
      <c r="Q360" s="2">
        <v>1.1333172948007899</v>
      </c>
      <c r="R360" s="2">
        <v>0.13888888888888801</v>
      </c>
      <c r="S360" s="2">
        <v>0.24056261216234401</v>
      </c>
      <c r="T360" s="2">
        <v>26.280367773111099</v>
      </c>
      <c r="U360" s="2">
        <v>8.4449754264811503</v>
      </c>
      <c r="V360" s="2">
        <v>0</v>
      </c>
      <c r="W360" s="2">
        <v>0</v>
      </c>
      <c r="X360" s="2">
        <v>4.38457876928888</v>
      </c>
      <c r="Y360" s="2">
        <v>0.689443073526951</v>
      </c>
      <c r="Z360" s="7">
        <v>10.003046519228</v>
      </c>
      <c r="AA360" s="2">
        <v>1.7823232711714201</v>
      </c>
      <c r="AB360" s="7">
        <v>0</v>
      </c>
      <c r="AC360" s="2">
        <v>0</v>
      </c>
      <c r="AD360" s="2">
        <v>465.38935797213497</v>
      </c>
      <c r="AE360" s="2">
        <v>191.40195988303299</v>
      </c>
      <c r="AF360" s="2">
        <v>7.5027294478852298</v>
      </c>
      <c r="AG360" s="2">
        <v>7.3909601724462703</v>
      </c>
      <c r="AH360" s="2">
        <v>5.7901218568730499</v>
      </c>
      <c r="AI360" s="2">
        <v>10.0287852381191</v>
      </c>
      <c r="AJ360" s="2">
        <v>0</v>
      </c>
      <c r="AK360" s="2">
        <v>0</v>
      </c>
      <c r="AL360" s="2">
        <v>121.402066602857</v>
      </c>
      <c r="AM360" s="2">
        <v>24.4495928267987</v>
      </c>
      <c r="AN360"/>
      <c r="AO360"/>
    </row>
    <row r="361" spans="1:41" ht="15.75" hidden="1" customHeight="1" x14ac:dyDescent="0.45">
      <c r="A361" s="2" t="s">
        <v>134</v>
      </c>
      <c r="B361" s="2" t="s">
        <v>98</v>
      </c>
      <c r="C361" s="2">
        <v>10</v>
      </c>
      <c r="D361" s="2"/>
      <c r="E361" s="2" t="s">
        <v>83</v>
      </c>
      <c r="F361" s="2" t="s">
        <v>84</v>
      </c>
      <c r="H361" s="2">
        <v>0.1</v>
      </c>
      <c r="J361" s="2">
        <v>0.1</v>
      </c>
      <c r="K361" s="2">
        <v>0.16835016835</v>
      </c>
      <c r="L361" s="2"/>
      <c r="M361" s="2">
        <v>0.29159104504497302</v>
      </c>
      <c r="N361" s="2">
        <v>23.6666666666666</v>
      </c>
      <c r="O361" s="2">
        <v>6.1441028637222601</v>
      </c>
      <c r="P361" s="2">
        <v>0.66448801742777697</v>
      </c>
      <c r="Q361" s="2">
        <v>0.29244866576843898</v>
      </c>
      <c r="R361" s="2">
        <v>0.65060325477222203</v>
      </c>
      <c r="S361" s="2">
        <v>0.73428011738180199</v>
      </c>
      <c r="T361" s="2">
        <v>32.160042200555502</v>
      </c>
      <c r="U361" s="2">
        <v>4.9243616659849101</v>
      </c>
      <c r="V361" s="2">
        <v>0.108932461872222</v>
      </c>
      <c r="W361" s="2">
        <v>0.18867655855624799</v>
      </c>
      <c r="X361" s="2">
        <v>3.5798661215333301</v>
      </c>
      <c r="Y361" s="2">
        <v>1.08094446311699</v>
      </c>
      <c r="Z361" s="7">
        <v>8.9533008207362101</v>
      </c>
      <c r="AA361" s="2">
        <v>2.37663097542521</v>
      </c>
      <c r="AB361" s="7">
        <v>0.46417839681755102</v>
      </c>
      <c r="AC361" s="2">
        <v>0.803980567063867</v>
      </c>
      <c r="AD361" s="2">
        <v>558.48069277022705</v>
      </c>
      <c r="AE361" s="2">
        <v>105.827133683765</v>
      </c>
      <c r="AF361" s="2">
        <v>4.81017229830326</v>
      </c>
      <c r="AG361" s="2">
        <v>1.95173886266987</v>
      </c>
      <c r="AH361" s="2">
        <v>32.420251291092697</v>
      </c>
      <c r="AI361" s="2">
        <v>39.353609286578198</v>
      </c>
      <c r="AJ361" s="2">
        <v>24.4306150622781</v>
      </c>
      <c r="AK361" s="2">
        <v>42.315066548023097</v>
      </c>
      <c r="AL361" s="2">
        <v>101.45070456980601</v>
      </c>
      <c r="AM361" s="2">
        <v>44.0749445028884</v>
      </c>
      <c r="AN361"/>
      <c r="AO361"/>
    </row>
    <row r="362" spans="1:41" ht="15.75" hidden="1" customHeight="1" x14ac:dyDescent="0.45">
      <c r="A362" s="2" t="s">
        <v>134</v>
      </c>
      <c r="B362" s="2" t="s">
        <v>98</v>
      </c>
      <c r="C362" s="2">
        <v>3.0000000000000001E-3</v>
      </c>
      <c r="D362" s="2"/>
      <c r="E362" s="2" t="s">
        <v>83</v>
      </c>
      <c r="F362" s="2" t="s">
        <v>84</v>
      </c>
      <c r="H362" s="2">
        <v>1</v>
      </c>
      <c r="J362" s="2">
        <v>0.98</v>
      </c>
      <c r="K362" s="2">
        <v>32.428408060000002</v>
      </c>
      <c r="L362" s="2"/>
      <c r="M362" s="2">
        <v>11.3919677254924</v>
      </c>
      <c r="N362" s="2">
        <v>253.5</v>
      </c>
      <c r="O362" s="2">
        <v>26.206445348001601</v>
      </c>
      <c r="P362" s="2">
        <v>37.605555347777702</v>
      </c>
      <c r="Q362" s="2">
        <v>2.8320436561637901</v>
      </c>
      <c r="R362" s="2">
        <v>4.2601939332777699</v>
      </c>
      <c r="S362" s="2">
        <v>1.0106795606709</v>
      </c>
      <c r="T362" s="2">
        <v>3.8894748186111099</v>
      </c>
      <c r="U362" s="2">
        <v>1.44730298336159</v>
      </c>
      <c r="V362" s="2">
        <v>0.45672009349999998</v>
      </c>
      <c r="W362" s="2">
        <v>0.20606937331660599</v>
      </c>
      <c r="X362" s="2">
        <v>3.1158642169444399</v>
      </c>
      <c r="Y362" s="2">
        <v>0.30598621184388902</v>
      </c>
      <c r="Z362" s="7">
        <v>90.896414342629498</v>
      </c>
      <c r="AA362" s="2">
        <v>9.3967333917137292</v>
      </c>
      <c r="AB362" s="7">
        <v>81.233044596354105</v>
      </c>
      <c r="AC362" s="2">
        <v>28.5368378420841</v>
      </c>
      <c r="AD362" s="2">
        <v>87.849867959738901</v>
      </c>
      <c r="AE362" s="2">
        <v>32.689599988580198</v>
      </c>
      <c r="AF362" s="2">
        <v>111.206609005658</v>
      </c>
      <c r="AG362" s="2">
        <v>8.3748788881155107</v>
      </c>
      <c r="AH362" s="2">
        <v>114.05207648375701</v>
      </c>
      <c r="AI362" s="2">
        <v>27.0574777485586</v>
      </c>
      <c r="AJ362" s="2">
        <v>97.112765999527099</v>
      </c>
      <c r="AK362" s="2">
        <v>43.816698926483298</v>
      </c>
      <c r="AL362" s="2">
        <v>92.542498310581493</v>
      </c>
      <c r="AM362" s="2">
        <v>9.0879212061406793</v>
      </c>
      <c r="AN362"/>
      <c r="AO362"/>
    </row>
    <row r="363" spans="1:41" ht="15.75" hidden="1" customHeight="1" x14ac:dyDescent="0.45">
      <c r="A363" s="2" t="s">
        <v>134</v>
      </c>
      <c r="B363" s="2" t="s">
        <v>98</v>
      </c>
      <c r="C363" s="2">
        <v>0.01</v>
      </c>
      <c r="D363" s="2"/>
      <c r="E363" s="2" t="s">
        <v>83</v>
      </c>
      <c r="F363" s="2" t="s">
        <v>84</v>
      </c>
      <c r="H363" s="2">
        <v>1</v>
      </c>
      <c r="J363" s="2">
        <v>0.98</v>
      </c>
      <c r="K363" s="2">
        <v>37.1635590548888</v>
      </c>
      <c r="L363" s="2"/>
      <c r="M363" s="2">
        <v>9.6552580824202696</v>
      </c>
      <c r="N363" s="2">
        <v>259.06666666666598</v>
      </c>
      <c r="O363" s="2">
        <v>13.1836177803279</v>
      </c>
      <c r="P363" s="2">
        <v>35.3032592803333</v>
      </c>
      <c r="Q363" s="2">
        <v>1.34003911813167</v>
      </c>
      <c r="R363" s="2">
        <v>3.8654925663555502</v>
      </c>
      <c r="S363" s="2">
        <v>0.76274656626044302</v>
      </c>
      <c r="T363" s="2">
        <v>3.9579744227777698</v>
      </c>
      <c r="U363" s="2">
        <v>0.88130030484395705</v>
      </c>
      <c r="V363" s="2">
        <v>0.31495076222222201</v>
      </c>
      <c r="W363" s="2">
        <v>0.118468123075701</v>
      </c>
      <c r="X363" s="2">
        <v>3.8595528717111098</v>
      </c>
      <c r="Y363" s="2">
        <v>0.85426814751201796</v>
      </c>
      <c r="Z363" s="7">
        <v>92.892430278884504</v>
      </c>
      <c r="AA363" s="2">
        <v>4.7271936264124204</v>
      </c>
      <c r="AB363" s="7">
        <v>93.094580667646596</v>
      </c>
      <c r="AC363" s="2">
        <v>24.186386483954799</v>
      </c>
      <c r="AD363" s="2">
        <v>89.397038583531497</v>
      </c>
      <c r="AE363" s="2">
        <v>19.905544841929501</v>
      </c>
      <c r="AF363" s="2">
        <v>104.398292090251</v>
      </c>
      <c r="AG363" s="2">
        <v>3.9627444637953801</v>
      </c>
      <c r="AH363" s="2">
        <v>103.485301544987</v>
      </c>
      <c r="AI363" s="2">
        <v>20.419922443748199</v>
      </c>
      <c r="AJ363" s="2">
        <v>66.968237457368105</v>
      </c>
      <c r="AK363" s="2">
        <v>25.189973636782302</v>
      </c>
      <c r="AL363" s="2">
        <v>114.63036905381701</v>
      </c>
      <c r="AM363" s="2">
        <v>25.372128916272299</v>
      </c>
      <c r="AN363"/>
      <c r="AO363"/>
    </row>
    <row r="364" spans="1:41" ht="15.75" hidden="1" customHeight="1" x14ac:dyDescent="0.45">
      <c r="A364" s="2" t="s">
        <v>134</v>
      </c>
      <c r="B364" s="2" t="s">
        <v>98</v>
      </c>
      <c r="C364" s="2">
        <v>0.03</v>
      </c>
      <c r="D364" s="2"/>
      <c r="E364" s="2" t="s">
        <v>83</v>
      </c>
      <c r="F364" s="2" t="s">
        <v>84</v>
      </c>
      <c r="H364" s="2">
        <v>1</v>
      </c>
      <c r="J364" s="2">
        <v>0.98</v>
      </c>
      <c r="K364" s="2">
        <v>37.210527735555502</v>
      </c>
      <c r="L364" s="2"/>
      <c r="M364" s="2">
        <v>7.0620900362213597</v>
      </c>
      <c r="N364" s="2">
        <v>228.277777777777</v>
      </c>
      <c r="O364" s="2">
        <v>38.168607422757297</v>
      </c>
      <c r="P364" s="2">
        <v>42.207041385555499</v>
      </c>
      <c r="Q364" s="2">
        <v>2.5774554414233402</v>
      </c>
      <c r="R364" s="2">
        <v>4.6026695073333297</v>
      </c>
      <c r="S364" s="2">
        <v>0.83699390464371404</v>
      </c>
      <c r="T364" s="2">
        <v>3.2500398202777698</v>
      </c>
      <c r="U364" s="2">
        <v>1.4222731964247599</v>
      </c>
      <c r="V364" s="2">
        <v>0.364930007</v>
      </c>
      <c r="W364" s="2">
        <v>9.7907919089519596E-2</v>
      </c>
      <c r="X364" s="2">
        <v>3.5265767907222201</v>
      </c>
      <c r="Y364" s="2">
        <v>0.191989948255681</v>
      </c>
      <c r="Z364" s="7">
        <v>81.852589641434307</v>
      </c>
      <c r="AA364" s="2">
        <v>13.685954852781499</v>
      </c>
      <c r="AB364" s="7">
        <v>93.212237042395799</v>
      </c>
      <c r="AC364" s="2">
        <v>17.690509931736599</v>
      </c>
      <c r="AD364" s="2">
        <v>73.407229096613804</v>
      </c>
      <c r="AE364" s="2">
        <v>32.124263129490799</v>
      </c>
      <c r="AF364" s="2">
        <v>124.814057530638</v>
      </c>
      <c r="AG364" s="2">
        <v>7.6220142703147502</v>
      </c>
      <c r="AH364" s="2">
        <v>123.22068499730101</v>
      </c>
      <c r="AI364" s="2">
        <v>22.4076401975945</v>
      </c>
      <c r="AJ364" s="2">
        <v>77.5953650394775</v>
      </c>
      <c r="AK364" s="2">
        <v>20.818240693500702</v>
      </c>
      <c r="AL364" s="2">
        <v>104.740837204256</v>
      </c>
      <c r="AM364" s="2">
        <v>5.7021834794596398</v>
      </c>
      <c r="AN364"/>
      <c r="AO364"/>
    </row>
    <row r="365" spans="1:41" ht="15.75" hidden="1" customHeight="1" x14ac:dyDescent="0.45">
      <c r="A365" s="2" t="s">
        <v>134</v>
      </c>
      <c r="B365" s="2" t="s">
        <v>98</v>
      </c>
      <c r="C365" s="2">
        <v>0.1</v>
      </c>
      <c r="D365" s="2"/>
      <c r="E365" s="2" t="s">
        <v>83</v>
      </c>
      <c r="F365" s="2" t="s">
        <v>84</v>
      </c>
      <c r="H365" s="2">
        <v>1</v>
      </c>
      <c r="J365" s="2">
        <v>0.98</v>
      </c>
      <c r="K365" s="2">
        <v>37.612720345888803</v>
      </c>
      <c r="L365" s="2"/>
      <c r="M365" s="2">
        <v>3.6109988288004899</v>
      </c>
      <c r="N365" s="2">
        <v>249.988888888888</v>
      </c>
      <c r="O365" s="2">
        <v>61.969081298959402</v>
      </c>
      <c r="P365" s="2">
        <v>40.3000365258888</v>
      </c>
      <c r="Q365" s="2">
        <v>4.3442021120967</v>
      </c>
      <c r="R365" s="2">
        <v>7.3519562882222198</v>
      </c>
      <c r="S365" s="2">
        <v>6.9742099532733004</v>
      </c>
      <c r="T365" s="2">
        <v>6.3984206599555504</v>
      </c>
      <c r="U365" s="2">
        <v>6.1942998501883704</v>
      </c>
      <c r="V365" s="2">
        <v>0.40556098675555502</v>
      </c>
      <c r="W365" s="2">
        <v>0.111590194728731</v>
      </c>
      <c r="X365" s="2">
        <v>3.4563282053444402</v>
      </c>
      <c r="Y365" s="2">
        <v>0.391189337592104</v>
      </c>
      <c r="Z365" s="7">
        <v>89.637450199203201</v>
      </c>
      <c r="AA365" s="2">
        <v>22.219989310383799</v>
      </c>
      <c r="AB365" s="7">
        <v>94.219728072824495</v>
      </c>
      <c r="AC365" s="2">
        <v>9.0455389717127197</v>
      </c>
      <c r="AD365" s="2">
        <v>144.51833122516001</v>
      </c>
      <c r="AE365" s="2">
        <v>139.90794369929699</v>
      </c>
      <c r="AF365" s="2">
        <v>119.174690106341</v>
      </c>
      <c r="AG365" s="2">
        <v>12.846612189441901</v>
      </c>
      <c r="AH365" s="2">
        <v>196.82340616930901</v>
      </c>
      <c r="AI365" s="2">
        <v>186.71054404148001</v>
      </c>
      <c r="AJ365" s="2">
        <v>86.234763405104204</v>
      </c>
      <c r="AK365" s="2">
        <v>23.727514122460899</v>
      </c>
      <c r="AL365" s="2">
        <v>102.654424209014</v>
      </c>
      <c r="AM365" s="2">
        <v>11.6184904388214</v>
      </c>
      <c r="AN365"/>
      <c r="AO365"/>
    </row>
    <row r="366" spans="1:41" ht="15.75" hidden="1" customHeight="1" x14ac:dyDescent="0.45">
      <c r="A366" s="2" t="s">
        <v>134</v>
      </c>
      <c r="B366" s="2" t="s">
        <v>98</v>
      </c>
      <c r="C366" s="2">
        <v>0.3</v>
      </c>
      <c r="D366" s="2"/>
      <c r="E366" s="2" t="s">
        <v>83</v>
      </c>
      <c r="F366" s="2" t="s">
        <v>84</v>
      </c>
      <c r="H366" s="2">
        <v>1</v>
      </c>
      <c r="J366" s="2">
        <v>0.98</v>
      </c>
      <c r="K366" s="2">
        <v>31.839148788333301</v>
      </c>
      <c r="L366" s="2"/>
      <c r="M366" s="2">
        <v>2.1831665791000598</v>
      </c>
      <c r="N366" s="2">
        <v>214.166666666666</v>
      </c>
      <c r="O366" s="2">
        <v>25.9845039291584</v>
      </c>
      <c r="P366" s="2">
        <v>44.005433476666603</v>
      </c>
      <c r="Q366" s="2">
        <v>1.2230902500552201</v>
      </c>
      <c r="R366" s="2">
        <v>2.40755921161111</v>
      </c>
      <c r="S366" s="2">
        <v>0.68569742951482404</v>
      </c>
      <c r="T366" s="2">
        <v>2.5464351227222202</v>
      </c>
      <c r="U366" s="2">
        <v>1.1255188141344099</v>
      </c>
      <c r="V366" s="2">
        <v>0.28262479605555502</v>
      </c>
      <c r="W366" s="2">
        <v>0.21952472282590399</v>
      </c>
      <c r="X366" s="2">
        <v>2.8342258419999999</v>
      </c>
      <c r="Y366" s="2">
        <v>0.50106331200230103</v>
      </c>
      <c r="Z366" s="7">
        <v>76.792828685258897</v>
      </c>
      <c r="AA366" s="2">
        <v>9.3171528032839195</v>
      </c>
      <c r="AB366" s="7">
        <v>79.756952257638403</v>
      </c>
      <c r="AC366" s="2">
        <v>5.4688243639088201</v>
      </c>
      <c r="AD366" s="2">
        <v>57.515217280432502</v>
      </c>
      <c r="AE366" s="2">
        <v>25.421601583531501</v>
      </c>
      <c r="AF366" s="2">
        <v>130.132236833284</v>
      </c>
      <c r="AG366" s="2">
        <v>3.6169049481824098</v>
      </c>
      <c r="AH366" s="2">
        <v>64.4541379200964</v>
      </c>
      <c r="AI366" s="2">
        <v>18.3571961512957</v>
      </c>
      <c r="AJ366" s="2">
        <v>60.094740905038002</v>
      </c>
      <c r="AK366" s="2">
        <v>46.677720867350203</v>
      </c>
      <c r="AL366" s="2">
        <v>84.177718261516901</v>
      </c>
      <c r="AM366" s="2">
        <v>14.881794415913101</v>
      </c>
      <c r="AN366"/>
      <c r="AO366"/>
    </row>
    <row r="367" spans="1:41" ht="15.75" hidden="1" customHeight="1" x14ac:dyDescent="0.45">
      <c r="A367" s="2" t="s">
        <v>134</v>
      </c>
      <c r="B367" s="2" t="s">
        <v>98</v>
      </c>
      <c r="C367" s="2">
        <v>1</v>
      </c>
      <c r="D367" s="2"/>
      <c r="E367" s="2" t="s">
        <v>83</v>
      </c>
      <c r="F367" s="2" t="s">
        <v>84</v>
      </c>
      <c r="H367" s="2">
        <v>1</v>
      </c>
      <c r="J367" s="2">
        <v>0.98</v>
      </c>
      <c r="K367" s="2">
        <v>14.293775810722201</v>
      </c>
      <c r="L367" s="2"/>
      <c r="M367" s="2">
        <v>6.7670876667077398</v>
      </c>
      <c r="N367" s="2">
        <v>115.611111111111</v>
      </c>
      <c r="O367" s="2">
        <v>9.0405465255966693</v>
      </c>
      <c r="P367" s="2">
        <v>46.283490180000001</v>
      </c>
      <c r="Q367" s="2">
        <v>2.7207521883040302</v>
      </c>
      <c r="R367" s="2">
        <v>3.40745561811111</v>
      </c>
      <c r="S367" s="2">
        <v>1.4264717937146301</v>
      </c>
      <c r="T367" s="2">
        <v>2.4369289645555501</v>
      </c>
      <c r="U367" s="2">
        <v>0.60651344468874402</v>
      </c>
      <c r="V367" s="2">
        <v>0.471376649944444</v>
      </c>
      <c r="W367" s="2">
        <v>0.32970200210547801</v>
      </c>
      <c r="X367" s="2">
        <v>2.8483677786666601</v>
      </c>
      <c r="Y367" s="2">
        <v>0.56931458256444401</v>
      </c>
      <c r="Z367" s="7">
        <v>41.454183266932198</v>
      </c>
      <c r="AA367" s="2">
        <v>3.2416302283015899</v>
      </c>
      <c r="AB367" s="7">
        <v>35.805856572864599</v>
      </c>
      <c r="AC367" s="2">
        <v>16.951530065861199</v>
      </c>
      <c r="AD367" s="2">
        <v>55.041849542020103</v>
      </c>
      <c r="AE367" s="2">
        <v>13.699054118247</v>
      </c>
      <c r="AF367" s="2">
        <v>136.86887344873699</v>
      </c>
      <c r="AG367" s="2">
        <v>8.0457693552954304</v>
      </c>
      <c r="AH367" s="2">
        <v>91.2229337110969</v>
      </c>
      <c r="AI367" s="2">
        <v>38.188888268165996</v>
      </c>
      <c r="AJ367" s="2">
        <v>100.229201550765</v>
      </c>
      <c r="AK367" s="2">
        <v>70.104805625428298</v>
      </c>
      <c r="AL367" s="2">
        <v>84.597739821816702</v>
      </c>
      <c r="AM367" s="2">
        <v>16.908886307897401</v>
      </c>
      <c r="AN367"/>
      <c r="AO367"/>
    </row>
    <row r="368" spans="1:41" ht="15.75" hidden="1" customHeight="1" x14ac:dyDescent="0.45">
      <c r="A368" s="2" t="s">
        <v>134</v>
      </c>
      <c r="B368" s="2" t="s">
        <v>98</v>
      </c>
      <c r="C368" s="2">
        <v>3</v>
      </c>
      <c r="D368" s="2"/>
      <c r="E368" s="2" t="s">
        <v>83</v>
      </c>
      <c r="F368" s="2" t="s">
        <v>84</v>
      </c>
      <c r="H368" s="2">
        <v>1</v>
      </c>
      <c r="J368" s="2">
        <v>0.98</v>
      </c>
      <c r="K368" s="2">
        <v>7.5368067331666602</v>
      </c>
      <c r="L368" s="2"/>
      <c r="M368" s="2">
        <v>1.17599849490111</v>
      </c>
      <c r="N368" s="2">
        <v>80.1111111111111</v>
      </c>
      <c r="O368" s="2">
        <v>8.8574095368625905</v>
      </c>
      <c r="P368" s="2">
        <v>52.186613208333299</v>
      </c>
      <c r="Q368" s="2">
        <v>4.8912450532614402</v>
      </c>
      <c r="R368" s="2">
        <v>2.2434573882777702</v>
      </c>
      <c r="S368" s="2">
        <v>0.48850744833189003</v>
      </c>
      <c r="T368" s="2">
        <v>2.5568011836666602</v>
      </c>
      <c r="U368" s="2">
        <v>1.4155373976444601</v>
      </c>
      <c r="V368" s="2">
        <v>0.274380719055555</v>
      </c>
      <c r="W368" s="2">
        <v>0.34914357305846</v>
      </c>
      <c r="X368" s="2">
        <v>3.1573953162222201</v>
      </c>
      <c r="Y368" s="2">
        <v>1.1848649056466101</v>
      </c>
      <c r="Z368" s="7">
        <v>28.725099601593602</v>
      </c>
      <c r="AA368" s="2">
        <v>3.1759635789547098</v>
      </c>
      <c r="AB368" s="7">
        <v>18.879673536136799</v>
      </c>
      <c r="AC368" s="2">
        <v>2.9458719652471101</v>
      </c>
      <c r="AD368" s="2">
        <v>57.7493509688355</v>
      </c>
      <c r="AE368" s="2">
        <v>31.972124586101401</v>
      </c>
      <c r="AF368" s="2">
        <v>154.32550421653599</v>
      </c>
      <c r="AG368" s="2">
        <v>14.464319730383901</v>
      </c>
      <c r="AH368" s="2">
        <v>60.060874608832798</v>
      </c>
      <c r="AI368" s="2">
        <v>13.0781109340641</v>
      </c>
      <c r="AJ368" s="2">
        <v>58.341796088339002</v>
      </c>
      <c r="AK368" s="2">
        <v>74.238682714460197</v>
      </c>
      <c r="AL368" s="2">
        <v>93.775989700818997</v>
      </c>
      <c r="AM368" s="2">
        <v>35.190993860636397</v>
      </c>
      <c r="AN368"/>
      <c r="AO368"/>
    </row>
    <row r="369" spans="1:41" ht="15.75" hidden="1" customHeight="1" x14ac:dyDescent="0.45">
      <c r="A369" s="2" t="s">
        <v>134</v>
      </c>
      <c r="B369" s="2" t="s">
        <v>98</v>
      </c>
      <c r="C369" s="2">
        <v>10</v>
      </c>
      <c r="D369" s="2"/>
      <c r="E369" s="2" t="s">
        <v>83</v>
      </c>
      <c r="F369" s="2" t="s">
        <v>84</v>
      </c>
      <c r="H369" s="2">
        <v>1</v>
      </c>
      <c r="J369" s="2">
        <v>0.98</v>
      </c>
      <c r="K369" s="2">
        <v>3.83246639516666</v>
      </c>
      <c r="L369" s="2"/>
      <c r="M369" s="2">
        <v>1.9916978672016901</v>
      </c>
      <c r="N369" s="2">
        <v>70.6666666666666</v>
      </c>
      <c r="O369" s="2">
        <v>2.0275875100996799</v>
      </c>
      <c r="P369" s="2">
        <v>43.503509162777704</v>
      </c>
      <c r="Q369" s="2">
        <v>11.290928646061699</v>
      </c>
      <c r="R369" s="2">
        <v>7.1850706556111099</v>
      </c>
      <c r="S369" s="2">
        <v>8.7107401821770694</v>
      </c>
      <c r="T369" s="2">
        <v>2.83296287449999</v>
      </c>
      <c r="U369" s="2">
        <v>1.3898082472356299</v>
      </c>
      <c r="V369" s="2">
        <v>0.40050962516666599</v>
      </c>
      <c r="W369" s="2">
        <v>0.36620544448405901</v>
      </c>
      <c r="X369" s="2">
        <v>4.5585482905555503</v>
      </c>
      <c r="Y369" s="2">
        <v>0.90171201949082103</v>
      </c>
      <c r="Z369" s="7">
        <v>25.338645418326699</v>
      </c>
      <c r="AA369" s="2">
        <v>0.72702340999590098</v>
      </c>
      <c r="AB369" s="7">
        <v>9.6003144223602792</v>
      </c>
      <c r="AC369" s="2">
        <v>4.9891959349193797</v>
      </c>
      <c r="AD369" s="2">
        <v>63.986894392219803</v>
      </c>
      <c r="AE369" s="2">
        <v>31.390991509904001</v>
      </c>
      <c r="AF369" s="2">
        <v>128.64795344991501</v>
      </c>
      <c r="AG369" s="2">
        <v>33.389372278678003</v>
      </c>
      <c r="AH369" s="2">
        <v>192.35561591545999</v>
      </c>
      <c r="AI369" s="2">
        <v>233.200183148333</v>
      </c>
      <c r="AJ369" s="2">
        <v>85.160688270372304</v>
      </c>
      <c r="AK369" s="2">
        <v>77.866562352009296</v>
      </c>
      <c r="AL369" s="2">
        <v>135.39083159764101</v>
      </c>
      <c r="AM369" s="2">
        <v>26.7812321816102</v>
      </c>
      <c r="AN369"/>
      <c r="AO369"/>
    </row>
    <row r="370" spans="1:41" ht="15.75" hidden="1" customHeight="1" x14ac:dyDescent="0.45">
      <c r="A370" s="2" t="s">
        <v>134</v>
      </c>
      <c r="B370" s="2" t="s">
        <v>98</v>
      </c>
      <c r="C370" s="2">
        <v>3.0000000000000001E-3</v>
      </c>
      <c r="D370" s="2"/>
      <c r="E370" s="2" t="s">
        <v>85</v>
      </c>
      <c r="F370" s="2" t="s">
        <v>84</v>
      </c>
      <c r="G370" s="2" t="s">
        <v>86</v>
      </c>
      <c r="H370" s="2">
        <v>1.2</v>
      </c>
      <c r="I370" s="2">
        <v>3539</v>
      </c>
      <c r="J370" s="2">
        <v>1.2</v>
      </c>
      <c r="K370" s="2">
        <v>4.1695746795722197</v>
      </c>
      <c r="L370" s="2"/>
      <c r="M370" s="2">
        <v>0.65281557933760004</v>
      </c>
      <c r="N370" s="2">
        <v>141.611111111111</v>
      </c>
      <c r="O370" s="2">
        <v>6.8014159745787799</v>
      </c>
      <c r="P370" s="2">
        <v>0.33391273338166599</v>
      </c>
      <c r="Q370" s="2">
        <v>0.236231956481602</v>
      </c>
      <c r="R370" s="2">
        <v>0.28162295665888798</v>
      </c>
      <c r="S370" s="2">
        <v>0.28966135681455601</v>
      </c>
      <c r="T370" s="2">
        <v>6.5087069405777704</v>
      </c>
      <c r="U370" s="2">
        <v>0.25688089420944799</v>
      </c>
      <c r="V370" s="2">
        <v>0</v>
      </c>
      <c r="W370" s="2">
        <v>0</v>
      </c>
      <c r="X370" s="2">
        <v>0.41094434880666603</v>
      </c>
      <c r="Y370" s="2">
        <v>0.39303188911227799</v>
      </c>
      <c r="Z370" s="7">
        <v>89.098400192712504</v>
      </c>
      <c r="AA370" s="2">
        <v>3.83793590628032</v>
      </c>
      <c r="AB370" s="7">
        <v>92.753831576123602</v>
      </c>
      <c r="AC370" s="2">
        <v>11.3842079599544</v>
      </c>
      <c r="AD370" s="2">
        <v>61.723771271762601</v>
      </c>
      <c r="AE370" s="2">
        <v>33.078701663192099</v>
      </c>
      <c r="AF370" s="2">
        <v>185.78751483252901</v>
      </c>
      <c r="AG370" s="2">
        <v>192.26637384969899</v>
      </c>
      <c r="AH370" s="2">
        <v>105.580794520442</v>
      </c>
      <c r="AI370" s="2">
        <v>107.328705249964</v>
      </c>
      <c r="AJ370" s="2">
        <v>0</v>
      </c>
      <c r="AK370" s="2">
        <v>0</v>
      </c>
      <c r="AL370" s="2">
        <v>111.294528108585</v>
      </c>
      <c r="AM370" s="2">
        <v>110.573578884187</v>
      </c>
      <c r="AN370"/>
      <c r="AO370"/>
    </row>
    <row r="371" spans="1:41" ht="15.75" hidden="1" customHeight="1" x14ac:dyDescent="0.45">
      <c r="A371" s="2" t="s">
        <v>134</v>
      </c>
      <c r="B371" s="2" t="s">
        <v>98</v>
      </c>
      <c r="C371" s="2">
        <v>0.01</v>
      </c>
      <c r="D371" s="2"/>
      <c r="E371" s="2" t="s">
        <v>85</v>
      </c>
      <c r="F371" s="2" t="s">
        <v>84</v>
      </c>
      <c r="G371" s="2" t="s">
        <v>86</v>
      </c>
      <c r="H371" s="2">
        <v>1.2</v>
      </c>
      <c r="I371" s="2">
        <v>3539</v>
      </c>
      <c r="J371" s="2">
        <v>1.2</v>
      </c>
      <c r="K371" s="2">
        <v>3.51194014106333</v>
      </c>
      <c r="L371" s="2"/>
      <c r="M371" s="2">
        <v>0.35467381948628202</v>
      </c>
      <c r="N371" s="2">
        <v>139.944444444444</v>
      </c>
      <c r="O371" s="2">
        <v>11.018082780055201</v>
      </c>
      <c r="P371" s="2">
        <v>0.255675861586666</v>
      </c>
      <c r="Q371" s="2">
        <v>5.0515221316375501E-2</v>
      </c>
      <c r="R371" s="2">
        <v>0.105961710137222</v>
      </c>
      <c r="S371" s="2">
        <v>9.9724202645248797E-2</v>
      </c>
      <c r="T371" s="2">
        <v>7.2260359091722197</v>
      </c>
      <c r="U371" s="2">
        <v>1.1122561204138399</v>
      </c>
      <c r="V371" s="2">
        <v>3.2679738562222199E-2</v>
      </c>
      <c r="W371" s="2">
        <v>5.6602967567836698E-2</v>
      </c>
      <c r="X371" s="2">
        <v>0.47040524977222198</v>
      </c>
      <c r="Y371" s="2">
        <v>0.22246638215693099</v>
      </c>
      <c r="Z371" s="7">
        <v>88.044836133187601</v>
      </c>
      <c r="AA371" s="2">
        <v>6.5513302371328797</v>
      </c>
      <c r="AB371" s="7">
        <v>78.284851072540107</v>
      </c>
      <c r="AC371" s="2">
        <v>7.1015521122087897</v>
      </c>
      <c r="AD371" s="2">
        <v>64.569114308037101</v>
      </c>
      <c r="AE371" s="2">
        <v>22.230390460251598</v>
      </c>
      <c r="AF371" s="2">
        <v>124.323615440751</v>
      </c>
      <c r="AG371" s="2">
        <v>33.862975649427099</v>
      </c>
      <c r="AH371" s="2">
        <v>39.293675230036797</v>
      </c>
      <c r="AI371" s="2">
        <v>36.977388402057798</v>
      </c>
      <c r="AJ371" s="2">
        <v>0</v>
      </c>
      <c r="AK371" s="2">
        <v>0</v>
      </c>
      <c r="AL371" s="2">
        <v>113.098850206218</v>
      </c>
      <c r="AM371" s="2">
        <v>38.320580264761801</v>
      </c>
      <c r="AN371"/>
      <c r="AO371"/>
    </row>
    <row r="372" spans="1:41" ht="15.75" hidden="1" customHeight="1" x14ac:dyDescent="0.45">
      <c r="A372" s="2" t="s">
        <v>134</v>
      </c>
      <c r="B372" s="2" t="s">
        <v>98</v>
      </c>
      <c r="C372" s="2">
        <v>0.03</v>
      </c>
      <c r="D372" s="2"/>
      <c r="E372" s="2" t="s">
        <v>85</v>
      </c>
      <c r="F372" s="2" t="s">
        <v>84</v>
      </c>
      <c r="G372" s="2" t="s">
        <v>86</v>
      </c>
      <c r="H372" s="2">
        <v>1.2</v>
      </c>
      <c r="I372" s="2">
        <v>3539</v>
      </c>
      <c r="J372" s="2">
        <v>1.2</v>
      </c>
      <c r="K372" s="2">
        <v>2.59713781284777</v>
      </c>
      <c r="L372" s="2"/>
      <c r="M372" s="2">
        <v>0.31554857425212102</v>
      </c>
      <c r="N372" s="2">
        <v>138.777777777777</v>
      </c>
      <c r="O372" s="2">
        <v>7.3074036530180999</v>
      </c>
      <c r="P372" s="2">
        <v>0.375151830419444</v>
      </c>
      <c r="Q372" s="2">
        <v>0.215369065033895</v>
      </c>
      <c r="R372" s="2">
        <v>0.12738564385277701</v>
      </c>
      <c r="S372" s="2">
        <v>0.14318523713346401</v>
      </c>
      <c r="T372" s="2">
        <v>7.7699442677277704</v>
      </c>
      <c r="U372" s="2">
        <v>3.2187058579758698</v>
      </c>
      <c r="V372" s="2">
        <v>2.8935185185E-2</v>
      </c>
      <c r="W372" s="2">
        <v>5.0117210866834197E-2</v>
      </c>
      <c r="X372" s="2">
        <v>0.42962510134444398</v>
      </c>
      <c r="Y372" s="2">
        <v>0.25261233103345299</v>
      </c>
      <c r="Z372" s="7">
        <v>87.347867652753493</v>
      </c>
      <c r="AA372" s="2">
        <v>5.10201308556152</v>
      </c>
      <c r="AB372" s="7">
        <v>57.766185907412698</v>
      </c>
      <c r="AC372" s="2">
        <v>4.3219050295558699</v>
      </c>
      <c r="AD372" s="2">
        <v>63.974184868771999</v>
      </c>
      <c r="AE372" s="2">
        <v>9.2692471467459701</v>
      </c>
      <c r="AF372" s="2">
        <v>203.083628913041</v>
      </c>
      <c r="AG372" s="2">
        <v>182.65577992338601</v>
      </c>
      <c r="AH372" s="2">
        <v>48.465737541009197</v>
      </c>
      <c r="AI372" s="2">
        <v>55.090477022595799</v>
      </c>
      <c r="AJ372" s="2">
        <v>443.74999999254499</v>
      </c>
      <c r="AK372" s="2">
        <v>627.55726829251796</v>
      </c>
      <c r="AL372" s="2">
        <v>110.648047715152</v>
      </c>
      <c r="AM372" s="2">
        <v>77.163800669446005</v>
      </c>
      <c r="AN372"/>
      <c r="AO372"/>
    </row>
    <row r="373" spans="1:41" ht="15.75" hidden="1" customHeight="1" x14ac:dyDescent="0.45">
      <c r="A373" s="2" t="s">
        <v>134</v>
      </c>
      <c r="B373" s="2" t="s">
        <v>98</v>
      </c>
      <c r="C373" s="2">
        <v>0.1</v>
      </c>
      <c r="D373" s="2"/>
      <c r="E373" s="2" t="s">
        <v>85</v>
      </c>
      <c r="F373" s="2" t="s">
        <v>84</v>
      </c>
      <c r="G373" s="2" t="s">
        <v>86</v>
      </c>
      <c r="H373" s="2">
        <v>1.2</v>
      </c>
      <c r="I373" s="2">
        <v>3539</v>
      </c>
      <c r="J373" s="2">
        <v>1.2</v>
      </c>
      <c r="K373" s="2">
        <v>0.713137284215555</v>
      </c>
      <c r="L373" s="2"/>
      <c r="M373" s="2">
        <v>0.418996481247354</v>
      </c>
      <c r="N373" s="2">
        <v>131.444444444444</v>
      </c>
      <c r="O373" s="2">
        <v>18.946073569573802</v>
      </c>
      <c r="P373" s="2">
        <v>0.36727033790444402</v>
      </c>
      <c r="Q373" s="2">
        <v>0.23030040960853301</v>
      </c>
      <c r="R373" s="2">
        <v>0</v>
      </c>
      <c r="S373" s="2">
        <v>0</v>
      </c>
      <c r="T373" s="2">
        <v>11.8679908135222</v>
      </c>
      <c r="U373" s="2">
        <v>3.40510477230701</v>
      </c>
      <c r="V373" s="2">
        <v>4.7892720306666602E-2</v>
      </c>
      <c r="W373" s="2">
        <v>8.2952624883832302E-2</v>
      </c>
      <c r="X373" s="2">
        <v>0.35558688897500002</v>
      </c>
      <c r="Y373" s="2">
        <v>0.23414411670693999</v>
      </c>
      <c r="Z373" s="7">
        <v>82.677491815153701</v>
      </c>
      <c r="AA373" s="2">
        <v>11.507396478536</v>
      </c>
      <c r="AB373" s="7">
        <v>15.504426562540599</v>
      </c>
      <c r="AC373" s="2">
        <v>8.0506607815585198</v>
      </c>
      <c r="AD373" s="2">
        <v>122.699778682054</v>
      </c>
      <c r="AE373" s="2">
        <v>99.153516573419793</v>
      </c>
      <c r="AF373" s="2">
        <v>160.98765083485799</v>
      </c>
      <c r="AG373" s="2">
        <v>51.221409449628403</v>
      </c>
      <c r="AH373" s="2">
        <v>0</v>
      </c>
      <c r="AI373" s="2">
        <v>0</v>
      </c>
      <c r="AJ373" s="2">
        <v>734.48275861540105</v>
      </c>
      <c r="AK373" s="2">
        <v>1038.7154785631001</v>
      </c>
      <c r="AL373" s="2">
        <v>84.224579502594594</v>
      </c>
      <c r="AM373" s="2">
        <v>51.772585850781198</v>
      </c>
      <c r="AN373"/>
      <c r="AO373"/>
    </row>
    <row r="374" spans="1:41" ht="15.75" hidden="1" customHeight="1" x14ac:dyDescent="0.45">
      <c r="A374" s="2" t="s">
        <v>134</v>
      </c>
      <c r="B374" s="2" t="s">
        <v>98</v>
      </c>
      <c r="C374" s="2">
        <v>0.3</v>
      </c>
      <c r="D374" s="2"/>
      <c r="E374" s="2" t="s">
        <v>85</v>
      </c>
      <c r="F374" s="2" t="s">
        <v>84</v>
      </c>
      <c r="G374" s="2" t="s">
        <v>86</v>
      </c>
      <c r="H374" s="2">
        <v>1.2</v>
      </c>
      <c r="I374" s="2">
        <v>3539</v>
      </c>
      <c r="J374" s="2">
        <v>1.2</v>
      </c>
      <c r="K374" s="2">
        <v>0.136749555355555</v>
      </c>
      <c r="L374" s="2"/>
      <c r="M374" s="2">
        <v>0.236857177788274</v>
      </c>
      <c r="N374" s="2">
        <v>88.1666666666666</v>
      </c>
      <c r="O374" s="2">
        <v>8.5293610546159897</v>
      </c>
      <c r="P374" s="2">
        <v>0.136749555355555</v>
      </c>
      <c r="Q374" s="2">
        <v>0.236857177788274</v>
      </c>
      <c r="R374" s="2">
        <v>0</v>
      </c>
      <c r="S374" s="2">
        <v>0</v>
      </c>
      <c r="T374" s="2">
        <v>18.191662373177699</v>
      </c>
      <c r="U374" s="2">
        <v>6.2855730878700804</v>
      </c>
      <c r="V374" s="2">
        <v>0</v>
      </c>
      <c r="W374" s="2">
        <v>0</v>
      </c>
      <c r="X374" s="2">
        <v>0.49204241726055498</v>
      </c>
      <c r="Y374" s="2">
        <v>6.6463473851316096E-2</v>
      </c>
      <c r="Z374" s="7">
        <v>55.459507152703402</v>
      </c>
      <c r="AA374" s="2">
        <v>5.0367298242980603</v>
      </c>
      <c r="AB374" s="7">
        <v>3.3179112844146301</v>
      </c>
      <c r="AC374" s="2">
        <v>5.7467909196122502</v>
      </c>
      <c r="AD374" s="2">
        <v>187.28497109409901</v>
      </c>
      <c r="AE374" s="2">
        <v>153.515557662074</v>
      </c>
      <c r="AF374" s="2">
        <v>95.281452285569998</v>
      </c>
      <c r="AG374" s="2">
        <v>165.03231637755701</v>
      </c>
      <c r="AH374" s="2">
        <v>0</v>
      </c>
      <c r="AI374" s="2">
        <v>0</v>
      </c>
      <c r="AJ374" s="2">
        <v>0</v>
      </c>
      <c r="AK374" s="2">
        <v>0</v>
      </c>
      <c r="AL374" s="2">
        <v>123.140267997797</v>
      </c>
      <c r="AM374" s="2">
        <v>25.5510044963758</v>
      </c>
      <c r="AN374"/>
      <c r="AO374"/>
    </row>
    <row r="375" spans="1:41" ht="15.75" hidden="1" customHeight="1" x14ac:dyDescent="0.45">
      <c r="A375" s="2" t="s">
        <v>134</v>
      </c>
      <c r="B375" s="2" t="s">
        <v>98</v>
      </c>
      <c r="C375" s="2">
        <v>1</v>
      </c>
      <c r="D375" s="2"/>
      <c r="E375" s="2" t="s">
        <v>85</v>
      </c>
      <c r="F375" s="2" t="s">
        <v>84</v>
      </c>
      <c r="G375" s="2" t="s">
        <v>86</v>
      </c>
      <c r="H375" s="2">
        <v>1.2</v>
      </c>
      <c r="I375" s="2">
        <v>3539</v>
      </c>
      <c r="J375" s="2">
        <v>1.2</v>
      </c>
      <c r="K375" s="2">
        <v>6.6934404283333304E-2</v>
      </c>
      <c r="L375" s="2"/>
      <c r="M375" s="2">
        <v>0.115933788993089</v>
      </c>
      <c r="N375" s="2">
        <v>86.7777777777777</v>
      </c>
      <c r="O375" s="2">
        <v>14.0972153804033</v>
      </c>
      <c r="P375" s="2">
        <v>0.246171527972222</v>
      </c>
      <c r="Q375" s="2">
        <v>0.42638159382475199</v>
      </c>
      <c r="R375" s="2">
        <v>6.6934404283333304E-2</v>
      </c>
      <c r="S375" s="2">
        <v>0.115933788993089</v>
      </c>
      <c r="T375" s="2">
        <v>21.2921129072888</v>
      </c>
      <c r="U375" s="2">
        <v>7.4612253929200296</v>
      </c>
      <c r="V375" s="2">
        <v>0</v>
      </c>
      <c r="W375" s="2">
        <v>0</v>
      </c>
      <c r="X375" s="2">
        <v>0.60081399140166603</v>
      </c>
      <c r="Y375" s="2">
        <v>0.106382146668957</v>
      </c>
      <c r="Z375" s="7">
        <v>54.580179558855001</v>
      </c>
      <c r="AA375" s="2">
        <v>8.6012202637222703</v>
      </c>
      <c r="AB375" s="7">
        <v>1.4740252803655001</v>
      </c>
      <c r="AC375" s="2">
        <v>2.5530866772340102</v>
      </c>
      <c r="AD375" s="2">
        <v>187.51412413094801</v>
      </c>
      <c r="AE375" s="2">
        <v>70.717999136716003</v>
      </c>
      <c r="AF375" s="2">
        <v>171.52217157536899</v>
      </c>
      <c r="AG375" s="2">
        <v>297.08511579308703</v>
      </c>
      <c r="AH375" s="2">
        <v>24.8258371016972</v>
      </c>
      <c r="AI375" s="2">
        <v>42.999611200567998</v>
      </c>
      <c r="AJ375" s="2">
        <v>0</v>
      </c>
      <c r="AK375" s="2">
        <v>0</v>
      </c>
      <c r="AL375" s="2">
        <v>152.151278390112</v>
      </c>
      <c r="AM375" s="2">
        <v>46.116188099540601</v>
      </c>
      <c r="AN375"/>
      <c r="AO375"/>
    </row>
    <row r="376" spans="1:41" ht="15.75" hidden="1" customHeight="1" x14ac:dyDescent="0.45">
      <c r="A376" s="2" t="s">
        <v>134</v>
      </c>
      <c r="B376" s="2" t="s">
        <v>98</v>
      </c>
      <c r="C376" s="2">
        <v>3</v>
      </c>
      <c r="D376" s="2"/>
      <c r="E376" s="2" t="s">
        <v>85</v>
      </c>
      <c r="F376" s="2" t="s">
        <v>84</v>
      </c>
      <c r="G376" s="2" t="s">
        <v>86</v>
      </c>
      <c r="H376" s="2">
        <v>1.2</v>
      </c>
      <c r="I376" s="2">
        <v>3539</v>
      </c>
      <c r="J376" s="2">
        <v>1.2</v>
      </c>
      <c r="K376" s="2">
        <v>0</v>
      </c>
      <c r="L376" s="2"/>
      <c r="M376" s="2">
        <v>0</v>
      </c>
      <c r="N376" s="2">
        <v>60.8888888888889</v>
      </c>
      <c r="O376" s="2">
        <v>7.5135679742519299</v>
      </c>
      <c r="P376" s="2">
        <v>0.18981481481111101</v>
      </c>
      <c r="Q376" s="2">
        <v>0.32876890328212099</v>
      </c>
      <c r="R376" s="2">
        <v>0</v>
      </c>
      <c r="S376" s="2">
        <v>0</v>
      </c>
      <c r="T376" s="2">
        <v>23.500576216399999</v>
      </c>
      <c r="U376" s="2">
        <v>2.7306849268215401</v>
      </c>
      <c r="V376" s="2">
        <v>0</v>
      </c>
      <c r="W376" s="2">
        <v>0</v>
      </c>
      <c r="X376" s="2">
        <v>1.20783884832</v>
      </c>
      <c r="Y376" s="2">
        <v>0.92778998274384095</v>
      </c>
      <c r="Z376" s="7">
        <v>38.301121614923503</v>
      </c>
      <c r="AA376" s="2">
        <v>4.5372839956749997</v>
      </c>
      <c r="AB376" s="7">
        <v>0</v>
      </c>
      <c r="AC376" s="2">
        <v>0</v>
      </c>
      <c r="AD376" s="2">
        <v>228.95354044181599</v>
      </c>
      <c r="AE376" s="2">
        <v>141.93617743746799</v>
      </c>
      <c r="AF376" s="2">
        <v>53.9000759067467</v>
      </c>
      <c r="AG376" s="2">
        <v>93.357670002304403</v>
      </c>
      <c r="AH376" s="2">
        <v>0</v>
      </c>
      <c r="AI376" s="2">
        <v>0</v>
      </c>
      <c r="AJ376" s="2">
        <v>0</v>
      </c>
      <c r="AK376" s="2">
        <v>0</v>
      </c>
      <c r="AL376" s="2">
        <v>312.87673848316399</v>
      </c>
      <c r="AM376" s="2">
        <v>272.729596674346</v>
      </c>
      <c r="AN376"/>
      <c r="AO376"/>
    </row>
    <row r="377" spans="1:41" ht="15.75" hidden="1" customHeight="1" x14ac:dyDescent="0.45">
      <c r="A377" s="2" t="s">
        <v>134</v>
      </c>
      <c r="B377" s="2" t="s">
        <v>98</v>
      </c>
      <c r="C377" s="2">
        <v>10</v>
      </c>
      <c r="D377" s="2"/>
      <c r="E377" s="2" t="s">
        <v>85</v>
      </c>
      <c r="F377" s="2" t="s">
        <v>84</v>
      </c>
      <c r="G377" s="2" t="s">
        <v>86</v>
      </c>
      <c r="H377" s="2">
        <v>1.2</v>
      </c>
      <c r="I377" s="2">
        <v>3539</v>
      </c>
      <c r="J377" s="2">
        <v>1.2</v>
      </c>
      <c r="K377" s="2">
        <v>0</v>
      </c>
      <c r="L377" s="2"/>
      <c r="M377" s="2">
        <v>0</v>
      </c>
      <c r="N377" s="2">
        <v>45.5555555555555</v>
      </c>
      <c r="O377" s="2">
        <v>13.369049385856901</v>
      </c>
      <c r="P377" s="2">
        <v>6.4599483205555502E-2</v>
      </c>
      <c r="Q377" s="2">
        <v>0.111889587054714</v>
      </c>
      <c r="R377" s="2">
        <v>0</v>
      </c>
      <c r="S377" s="2">
        <v>0</v>
      </c>
      <c r="T377" s="2">
        <v>25.5898536131666</v>
      </c>
      <c r="U377" s="2">
        <v>8.2004335698257407</v>
      </c>
      <c r="V377" s="2">
        <v>6.4599483205555502E-2</v>
      </c>
      <c r="W377" s="2">
        <v>0.111889587054714</v>
      </c>
      <c r="X377" s="2">
        <v>2.41839966278333</v>
      </c>
      <c r="Y377" s="2">
        <v>0.69825614297544403</v>
      </c>
      <c r="Z377" s="7">
        <v>28.6398328377167</v>
      </c>
      <c r="AA377" s="2">
        <v>8.2590597452808794</v>
      </c>
      <c r="AB377" s="7">
        <v>0</v>
      </c>
      <c r="AC377" s="2">
        <v>0</v>
      </c>
      <c r="AD377" s="2">
        <v>225.26936416007399</v>
      </c>
      <c r="AE377" s="2">
        <v>80.778718244726505</v>
      </c>
      <c r="AF377" s="2">
        <v>35.928279556820797</v>
      </c>
      <c r="AG377" s="2">
        <v>62.229605620951901</v>
      </c>
      <c r="AH377" s="2">
        <v>0</v>
      </c>
      <c r="AI377" s="2">
        <v>0</v>
      </c>
      <c r="AJ377" s="2">
        <v>424.80620155930802</v>
      </c>
      <c r="AK377" s="2">
        <v>600.766691625372</v>
      </c>
      <c r="AL377" s="2">
        <v>601.45573736707001</v>
      </c>
      <c r="AM377" s="2">
        <v>177.70141731744999</v>
      </c>
      <c r="AN377"/>
      <c r="AO377"/>
    </row>
    <row r="378" spans="1:41" ht="15.75" hidden="1" customHeight="1" x14ac:dyDescent="0.45">
      <c r="A378" s="2" t="s">
        <v>135</v>
      </c>
      <c r="B378" s="2" t="s">
        <v>106</v>
      </c>
      <c r="C378" s="2">
        <v>3.0000000000000001E-3</v>
      </c>
      <c r="D378" s="2"/>
      <c r="E378" s="2" t="s">
        <v>83</v>
      </c>
      <c r="F378" s="2" t="s">
        <v>84</v>
      </c>
      <c r="H378" s="2" t="s">
        <v>87</v>
      </c>
      <c r="K378" s="2">
        <v>39.841582999444398</v>
      </c>
      <c r="L378" s="2"/>
      <c r="M378" s="2">
        <v>0.85736234188335403</v>
      </c>
      <c r="N378" s="2">
        <v>276.11111111111097</v>
      </c>
      <c r="O378" s="2">
        <v>15.1312162004147</v>
      </c>
      <c r="P378" s="2">
        <v>32.745752036111099</v>
      </c>
      <c r="Q378" s="2">
        <v>4.0268434836233702</v>
      </c>
      <c r="R378" s="2">
        <v>4.2345477402222196</v>
      </c>
      <c r="S378" s="2">
        <v>1.04860864916746</v>
      </c>
      <c r="T378" s="2">
        <v>5.1396881722222201</v>
      </c>
      <c r="U378" s="2">
        <v>1.4114262908911599</v>
      </c>
      <c r="V378" s="2">
        <v>0.24691762983333301</v>
      </c>
      <c r="W378" s="2">
        <v>4.1475966958051599E-2</v>
      </c>
      <c r="X378" s="2">
        <v>4.1161022105555496</v>
      </c>
      <c r="Y378" s="2">
        <v>0.37025018709041602</v>
      </c>
      <c r="Z378" s="7">
        <v>99.003984063744994</v>
      </c>
      <c r="AA378" s="2">
        <v>5.4255356893917401</v>
      </c>
      <c r="AB378" s="7">
        <v>99.803020937538307</v>
      </c>
      <c r="AC378" s="2">
        <v>2.1476895573962098</v>
      </c>
      <c r="AD378" s="2">
        <v>116.087890612745</v>
      </c>
      <c r="AE378" s="2">
        <v>31.879268814489802</v>
      </c>
      <c r="AF378" s="2">
        <v>96.835268342640006</v>
      </c>
      <c r="AG378" s="2">
        <v>11.9081238042865</v>
      </c>
      <c r="AH378" s="2">
        <v>113.36548765289599</v>
      </c>
      <c r="AI378" s="2">
        <v>28.072898964099402</v>
      </c>
      <c r="AJ378" s="2">
        <v>52.502297027057203</v>
      </c>
      <c r="AK378" s="2">
        <v>8.8190686836978092</v>
      </c>
      <c r="AL378" s="2">
        <v>122.24999401291601</v>
      </c>
      <c r="AM378" s="2">
        <v>10.996588723916799</v>
      </c>
      <c r="AN378"/>
      <c r="AO378"/>
    </row>
    <row r="379" spans="1:41" ht="15.75" hidden="1" customHeight="1" x14ac:dyDescent="0.45">
      <c r="A379" s="2" t="s">
        <v>135</v>
      </c>
      <c r="B379" s="2" t="s">
        <v>106</v>
      </c>
      <c r="C379" s="2">
        <v>0.01</v>
      </c>
      <c r="D379" s="2"/>
      <c r="E379" s="2" t="s">
        <v>83</v>
      </c>
      <c r="F379" s="2" t="s">
        <v>84</v>
      </c>
      <c r="H379" s="2" t="s">
        <v>87</v>
      </c>
      <c r="K379" s="2">
        <v>41.041596598888802</v>
      </c>
      <c r="L379" s="2"/>
      <c r="M379" s="2">
        <v>3.2959324128777201</v>
      </c>
      <c r="N379" s="2">
        <v>257.222222222222</v>
      </c>
      <c r="O379" s="2">
        <v>10.387403340015201</v>
      </c>
      <c r="P379" s="2">
        <v>33.817861487222203</v>
      </c>
      <c r="Q379" s="2">
        <v>1.6774947743408599</v>
      </c>
      <c r="R379" s="2">
        <v>3.2219915662777701</v>
      </c>
      <c r="S379" s="2">
        <v>9.9551384541306395E-2</v>
      </c>
      <c r="T379" s="2">
        <v>3.0268552089999998</v>
      </c>
      <c r="U379" s="2">
        <v>1.08940356275983</v>
      </c>
      <c r="V379" s="2">
        <v>0.48788602555555499</v>
      </c>
      <c r="W379" s="2">
        <v>0.14210902705238701</v>
      </c>
      <c r="X379" s="2">
        <v>3.9155994339444402</v>
      </c>
      <c r="Y379" s="2">
        <v>0.16726829875617899</v>
      </c>
      <c r="Z379" s="7">
        <v>92.231075697211097</v>
      </c>
      <c r="AA379" s="2">
        <v>3.72456693466683</v>
      </c>
      <c r="AB379" s="7">
        <v>102.80905065258101</v>
      </c>
      <c r="AC379" s="2">
        <v>8.2562987423399594</v>
      </c>
      <c r="AD379" s="2">
        <v>68.366255817244493</v>
      </c>
      <c r="AE379" s="2">
        <v>24.605882183727701</v>
      </c>
      <c r="AF379" s="2">
        <v>100.00569503727</v>
      </c>
      <c r="AG379" s="2">
        <v>4.96066349117707</v>
      </c>
      <c r="AH379" s="2">
        <v>86.257770022314304</v>
      </c>
      <c r="AI379" s="2">
        <v>2.6651467753800602</v>
      </c>
      <c r="AJ379" s="2">
        <v>103.739603552642</v>
      </c>
      <c r="AK379" s="2">
        <v>30.2167583317832</v>
      </c>
      <c r="AL379" s="2">
        <v>116.294975894701</v>
      </c>
      <c r="AM379" s="2">
        <v>4.9679399284726804</v>
      </c>
      <c r="AN379"/>
      <c r="AO379"/>
    </row>
    <row r="380" spans="1:41" ht="15.75" hidden="1" customHeight="1" x14ac:dyDescent="0.45">
      <c r="A380" s="2" t="s">
        <v>135</v>
      </c>
      <c r="B380" s="2" t="s">
        <v>106</v>
      </c>
      <c r="C380" s="2">
        <v>0.03</v>
      </c>
      <c r="D380" s="2"/>
      <c r="E380" s="2" t="s">
        <v>83</v>
      </c>
      <c r="F380" s="2" t="s">
        <v>84</v>
      </c>
      <c r="H380" s="2" t="s">
        <v>87</v>
      </c>
      <c r="K380" s="2">
        <v>30.150532520555501</v>
      </c>
      <c r="L380" s="2"/>
      <c r="M380" s="2">
        <v>6.7780580817293803</v>
      </c>
      <c r="N380" s="2">
        <v>247.166666666666</v>
      </c>
      <c r="O380" s="2">
        <v>16.615755575156001</v>
      </c>
      <c r="P380" s="2">
        <v>33.906984807777697</v>
      </c>
      <c r="Q380" s="2">
        <v>1.9373844782215</v>
      </c>
      <c r="R380" s="2">
        <v>4.1493452973333298</v>
      </c>
      <c r="S380" s="2">
        <v>0.595974572729563</v>
      </c>
      <c r="T380" s="2">
        <v>4.0344257019444401</v>
      </c>
      <c r="U380" s="2">
        <v>1.4719970698067499</v>
      </c>
      <c r="V380" s="2">
        <v>0.516054927</v>
      </c>
      <c r="W380" s="2">
        <v>6.3781972980374205E-2</v>
      </c>
      <c r="X380" s="2">
        <v>3.4975609279999902</v>
      </c>
      <c r="Y380" s="2">
        <v>0.72825371445945197</v>
      </c>
      <c r="Z380" s="7">
        <v>88.625498007968105</v>
      </c>
      <c r="AA380" s="2">
        <v>5.9578406444782503</v>
      </c>
      <c r="AB380" s="7">
        <v>75.526974630222298</v>
      </c>
      <c r="AC380" s="2">
        <v>16.979010915708798</v>
      </c>
      <c r="AD380" s="2">
        <v>91.123810215528593</v>
      </c>
      <c r="AE380" s="2">
        <v>33.247354527371201</v>
      </c>
      <c r="AF380" s="2">
        <v>100.269249242776</v>
      </c>
      <c r="AG380" s="2">
        <v>5.7292055966391198</v>
      </c>
      <c r="AH380" s="2">
        <v>111.08448456121501</v>
      </c>
      <c r="AI380" s="2">
        <v>15.955174486394499</v>
      </c>
      <c r="AJ380" s="2">
        <v>109.729180042423</v>
      </c>
      <c r="AK380" s="2">
        <v>13.5620129378679</v>
      </c>
      <c r="AL380" s="2">
        <v>103.87905368610799</v>
      </c>
      <c r="AM380" s="2">
        <v>21.629446422453</v>
      </c>
      <c r="AN380"/>
      <c r="AO380"/>
    </row>
    <row r="381" spans="1:41" ht="15.75" hidden="1" customHeight="1" x14ac:dyDescent="0.45">
      <c r="A381" s="2" t="s">
        <v>135</v>
      </c>
      <c r="B381" s="2" t="s">
        <v>106</v>
      </c>
      <c r="C381" s="2">
        <v>0.1</v>
      </c>
      <c r="D381" s="2"/>
      <c r="E381" s="2" t="s">
        <v>83</v>
      </c>
      <c r="F381" s="2" t="s">
        <v>84</v>
      </c>
      <c r="H381" s="2" t="s">
        <v>87</v>
      </c>
      <c r="K381" s="2">
        <v>40.481178000555502</v>
      </c>
      <c r="L381" s="2"/>
      <c r="M381" s="2">
        <v>3.2793744601672099</v>
      </c>
      <c r="N381" s="2">
        <v>260.444444444444</v>
      </c>
      <c r="O381" s="2">
        <v>56.089792429771002</v>
      </c>
      <c r="P381" s="2">
        <v>32.504484709222197</v>
      </c>
      <c r="Q381" s="2">
        <v>3.4907917617772899</v>
      </c>
      <c r="R381" s="2">
        <v>3.7717994685444398</v>
      </c>
      <c r="S381" s="2">
        <v>0.93754541274388603</v>
      </c>
      <c r="T381" s="2">
        <v>4.3913351145222199</v>
      </c>
      <c r="U381" s="2">
        <v>1.58412230662507</v>
      </c>
      <c r="V381" s="2">
        <v>0.44228550376666598</v>
      </c>
      <c r="W381" s="2">
        <v>0.13956856713830099</v>
      </c>
      <c r="X381" s="2">
        <v>4.0819754042777703</v>
      </c>
      <c r="Y381" s="2">
        <v>0.284880738141364</v>
      </c>
      <c r="Z381" s="7">
        <v>93.386454183266906</v>
      </c>
      <c r="AA381" s="2">
        <v>20.1118777636629</v>
      </c>
      <c r="AB381" s="7">
        <v>101.40520409598101</v>
      </c>
      <c r="AC381" s="2">
        <v>8.2148211308436299</v>
      </c>
      <c r="AD381" s="2">
        <v>99.185167141794096</v>
      </c>
      <c r="AE381" s="2">
        <v>35.779878250705401</v>
      </c>
      <c r="AF381" s="2">
        <v>96.121796063370496</v>
      </c>
      <c r="AG381" s="2">
        <v>10.3229193394981</v>
      </c>
      <c r="AH381" s="2">
        <v>100.976990297914</v>
      </c>
      <c r="AI381" s="2">
        <v>25.099561849990799</v>
      </c>
      <c r="AJ381" s="2">
        <v>94.043527411117196</v>
      </c>
      <c r="AK381" s="2">
        <v>29.676578268153399</v>
      </c>
      <c r="AL381" s="2">
        <v>121.23641328782099</v>
      </c>
      <c r="AM381" s="2">
        <v>8.4610796211196</v>
      </c>
      <c r="AN381"/>
      <c r="AO381"/>
    </row>
    <row r="382" spans="1:41" ht="15.75" hidden="1" customHeight="1" x14ac:dyDescent="0.45">
      <c r="A382" s="2" t="s">
        <v>135</v>
      </c>
      <c r="B382" s="2" t="s">
        <v>106</v>
      </c>
      <c r="C382" s="2">
        <v>0.3</v>
      </c>
      <c r="D382" s="2"/>
      <c r="E382" s="2" t="s">
        <v>83</v>
      </c>
      <c r="F382" s="2" t="s">
        <v>84</v>
      </c>
      <c r="H382" s="2" t="s">
        <v>87</v>
      </c>
      <c r="K382" s="2">
        <v>36.462976152777699</v>
      </c>
      <c r="L382" s="2"/>
      <c r="M382" s="2">
        <v>14.106648838931299</v>
      </c>
      <c r="N382" s="2">
        <v>224</v>
      </c>
      <c r="O382" s="2">
        <v>54.107146786107101</v>
      </c>
      <c r="P382" s="2">
        <v>36.174083655555499</v>
      </c>
      <c r="Q382" s="2">
        <v>3.2842647260501301</v>
      </c>
      <c r="R382" s="2">
        <v>3.2888089534999998</v>
      </c>
      <c r="S382" s="2">
        <v>0.89109521811486303</v>
      </c>
      <c r="T382" s="2">
        <v>5.2247953116111097</v>
      </c>
      <c r="U382" s="2">
        <v>2.6084303094333698</v>
      </c>
      <c r="V382" s="2">
        <v>0.72269727322222199</v>
      </c>
      <c r="W382" s="2">
        <v>0.34310974479959</v>
      </c>
      <c r="X382" s="2">
        <v>3.95607607833333</v>
      </c>
      <c r="Y382" s="2">
        <v>0.58736308621626698</v>
      </c>
      <c r="Z382" s="7">
        <v>80.318725099601593</v>
      </c>
      <c r="AA382" s="2">
        <v>19.400968967130002</v>
      </c>
      <c r="AB382" s="7">
        <v>91.339623038356294</v>
      </c>
      <c r="AC382" s="2">
        <v>35.337104187100103</v>
      </c>
      <c r="AD382" s="2">
        <v>118.01016837682</v>
      </c>
      <c r="AE382" s="2">
        <v>58.9154754697011</v>
      </c>
      <c r="AF382" s="2">
        <v>106.97348144491799</v>
      </c>
      <c r="AG382" s="2">
        <v>9.7121805510716204</v>
      </c>
      <c r="AH382" s="2">
        <v>88.046576324859799</v>
      </c>
      <c r="AI382" s="2">
        <v>23.856017252377001</v>
      </c>
      <c r="AJ382" s="2">
        <v>153.66771066516699</v>
      </c>
      <c r="AK382" s="2">
        <v>72.955704890352294</v>
      </c>
      <c r="AL382" s="2">
        <v>117.497149524286</v>
      </c>
      <c r="AM382" s="2">
        <v>17.444934576504298</v>
      </c>
      <c r="AN382"/>
      <c r="AO382"/>
    </row>
    <row r="383" spans="1:41" ht="15.75" hidden="1" customHeight="1" x14ac:dyDescent="0.45">
      <c r="A383" s="2" t="s">
        <v>135</v>
      </c>
      <c r="B383" s="2" t="s">
        <v>106</v>
      </c>
      <c r="C383" s="2">
        <v>1</v>
      </c>
      <c r="D383" s="2"/>
      <c r="E383" s="2" t="s">
        <v>83</v>
      </c>
      <c r="F383" s="2" t="s">
        <v>84</v>
      </c>
      <c r="H383" s="2" t="s">
        <v>87</v>
      </c>
      <c r="K383" s="2">
        <v>36.675517808888898</v>
      </c>
      <c r="L383" s="2"/>
      <c r="M383" s="2">
        <v>1.1657185597620201</v>
      </c>
      <c r="N383" s="2">
        <v>233.888888888888</v>
      </c>
      <c r="O383" s="2">
        <v>3.2588909724574902</v>
      </c>
      <c r="P383" s="2">
        <v>33.757716362222197</v>
      </c>
      <c r="Q383" s="2">
        <v>2.9688344497811099</v>
      </c>
      <c r="R383" s="2">
        <v>3.58410841294444</v>
      </c>
      <c r="S383" s="2">
        <v>1.3673308431148099</v>
      </c>
      <c r="T383" s="2">
        <v>6.16230051872222</v>
      </c>
      <c r="U383" s="2">
        <v>1.7102913981790899</v>
      </c>
      <c r="V383" s="2">
        <v>0.52406596555555496</v>
      </c>
      <c r="W383" s="2">
        <v>0.31802748484844001</v>
      </c>
      <c r="X383" s="2">
        <v>4.1240720630555501</v>
      </c>
      <c r="Y383" s="2">
        <v>0.48757610519535499</v>
      </c>
      <c r="Z383" s="7">
        <v>83.864541832669303</v>
      </c>
      <c r="AA383" s="2">
        <v>1.1685266435106501</v>
      </c>
      <c r="AB383" s="7">
        <v>91.872039116182705</v>
      </c>
      <c r="AC383" s="2">
        <v>2.9201207650014398</v>
      </c>
      <c r="AD383" s="2">
        <v>139.18518878373601</v>
      </c>
      <c r="AE383" s="2">
        <v>38.629604383545903</v>
      </c>
      <c r="AF383" s="2">
        <v>99.827834736109395</v>
      </c>
      <c r="AG383" s="2">
        <v>8.77939466140203</v>
      </c>
      <c r="AH383" s="2">
        <v>95.952206223791904</v>
      </c>
      <c r="AI383" s="2">
        <v>36.605592219494497</v>
      </c>
      <c r="AJ383" s="2">
        <v>111.43257370460501</v>
      </c>
      <c r="AK383" s="2">
        <v>67.622443498875199</v>
      </c>
      <c r="AL383" s="2">
        <v>122.48670203681</v>
      </c>
      <c r="AM383" s="2">
        <v>14.4812186121413</v>
      </c>
      <c r="AN383"/>
      <c r="AO383"/>
    </row>
    <row r="384" spans="1:41" ht="15.75" hidden="1" customHeight="1" x14ac:dyDescent="0.45">
      <c r="A384" s="2" t="s">
        <v>135</v>
      </c>
      <c r="B384" s="2" t="s">
        <v>106</v>
      </c>
      <c r="C384" s="2">
        <v>3</v>
      </c>
      <c r="D384" s="2"/>
      <c r="E384" s="2" t="s">
        <v>83</v>
      </c>
      <c r="F384" s="2" t="s">
        <v>84</v>
      </c>
      <c r="H384" s="2" t="s">
        <v>87</v>
      </c>
      <c r="K384" s="2">
        <v>27.270213377111101</v>
      </c>
      <c r="L384" s="2"/>
      <c r="M384" s="2">
        <v>6.9848319319359602</v>
      </c>
      <c r="N384" s="2">
        <v>319.166666666666</v>
      </c>
      <c r="O384" s="2">
        <v>9.1729675314650194</v>
      </c>
      <c r="P384" s="2">
        <v>26.573309901222199</v>
      </c>
      <c r="Q384" s="2">
        <v>1.5111387383170001</v>
      </c>
      <c r="R384" s="2">
        <v>2.9752751319444402</v>
      </c>
      <c r="S384" s="2">
        <v>0.78075972348956502</v>
      </c>
      <c r="T384" s="2">
        <v>28.638281477666599</v>
      </c>
      <c r="U384" s="2">
        <v>2.3407950594834901</v>
      </c>
      <c r="V384" s="2">
        <v>0.63779989015555505</v>
      </c>
      <c r="W384" s="2">
        <v>0.13865598842899801</v>
      </c>
      <c r="X384" s="2">
        <v>3.2050148428888798</v>
      </c>
      <c r="Y384" s="2">
        <v>0.340839332377816</v>
      </c>
      <c r="Z384" s="7">
        <v>114.44223107569699</v>
      </c>
      <c r="AA384" s="2">
        <v>3.2891118638719199</v>
      </c>
      <c r="AB384" s="7">
        <v>68.311785620689506</v>
      </c>
      <c r="AC384" s="2">
        <v>17.496978660659899</v>
      </c>
      <c r="AD384" s="2">
        <v>646.84034830832002</v>
      </c>
      <c r="AE384" s="2">
        <v>52.870515040348302</v>
      </c>
      <c r="AF384" s="2">
        <v>78.582210975008095</v>
      </c>
      <c r="AG384" s="2">
        <v>4.4687178070155502</v>
      </c>
      <c r="AH384" s="2">
        <v>79.652783939735698</v>
      </c>
      <c r="AI384" s="2">
        <v>20.902162928145401</v>
      </c>
      <c r="AJ384" s="2">
        <v>135.61591085810301</v>
      </c>
      <c r="AK384" s="2">
        <v>29.482535912859898</v>
      </c>
      <c r="AL384" s="2">
        <v>95.190309985424406</v>
      </c>
      <c r="AM384" s="2">
        <v>10.1230737749173</v>
      </c>
      <c r="AN384"/>
      <c r="AO384"/>
    </row>
    <row r="385" spans="1:41" ht="15.75" hidden="1" customHeight="1" x14ac:dyDescent="0.45">
      <c r="A385" s="2" t="s">
        <v>135</v>
      </c>
      <c r="B385" s="2" t="s">
        <v>106</v>
      </c>
      <c r="C385" s="2">
        <v>10</v>
      </c>
      <c r="D385" s="2"/>
      <c r="E385" s="2" t="s">
        <v>83</v>
      </c>
      <c r="F385" s="2" t="s">
        <v>84</v>
      </c>
      <c r="H385" s="2" t="s">
        <v>87</v>
      </c>
      <c r="K385" s="2">
        <v>6.2537956488333304</v>
      </c>
      <c r="L385" s="2"/>
      <c r="M385" s="2">
        <v>0.26017146150931098</v>
      </c>
      <c r="N385" s="2">
        <v>735.27777777777703</v>
      </c>
      <c r="O385" s="2">
        <v>87.639148617329894</v>
      </c>
      <c r="P385" s="2">
        <v>10.484747148611101</v>
      </c>
      <c r="Q385" s="2">
        <v>0.80066189847944702</v>
      </c>
      <c r="R385" s="2">
        <v>1.1357562619444399</v>
      </c>
      <c r="S385" s="2">
        <v>0.174045576407036</v>
      </c>
      <c r="T385" s="2">
        <v>67.565654038333307</v>
      </c>
      <c r="U385" s="2">
        <v>2.0272843083849201</v>
      </c>
      <c r="V385" s="2">
        <v>0.85517789627777696</v>
      </c>
      <c r="W385" s="2">
        <v>9.5197360129509107E-2</v>
      </c>
      <c r="X385" s="2">
        <v>1.97757897316666</v>
      </c>
      <c r="Y385" s="2">
        <v>0.209436304162536</v>
      </c>
      <c r="Z385" s="7">
        <v>345.15207162959399</v>
      </c>
      <c r="AA385" s="2">
        <v>41.139328040820303</v>
      </c>
      <c r="AB385" s="7">
        <v>32.801937977727</v>
      </c>
      <c r="AC385" s="2">
        <v>1.3646317569706801</v>
      </c>
      <c r="AD385" s="2">
        <v>1731.1935149824899</v>
      </c>
      <c r="AE385" s="2">
        <v>51.943868488426901</v>
      </c>
      <c r="AF385" s="2">
        <v>30.2752364687002</v>
      </c>
      <c r="AG385" s="2">
        <v>2.31195163453748</v>
      </c>
      <c r="AH385" s="2">
        <v>38.1009143744432</v>
      </c>
      <c r="AI385" s="2">
        <v>5.83866083430802</v>
      </c>
      <c r="AJ385" s="2">
        <v>274.89158033638898</v>
      </c>
      <c r="AK385" s="2">
        <v>30.600595365894499</v>
      </c>
      <c r="AL385" s="2">
        <v>55.036974245896999</v>
      </c>
      <c r="AM385" s="2">
        <v>5.8287131056474601</v>
      </c>
      <c r="AN385"/>
      <c r="AO385"/>
    </row>
    <row r="386" spans="1:41" ht="15.75" hidden="1" customHeight="1" x14ac:dyDescent="0.45">
      <c r="A386" s="2" t="s">
        <v>136</v>
      </c>
      <c r="B386" s="2" t="s">
        <v>104</v>
      </c>
      <c r="C386" s="2">
        <v>3.0000000000000001E-3</v>
      </c>
      <c r="D386" s="2"/>
      <c r="E386" s="2" t="s">
        <v>83</v>
      </c>
      <c r="F386" s="2" t="s">
        <v>84</v>
      </c>
      <c r="H386" s="2">
        <v>1.8</v>
      </c>
      <c r="J386" s="2">
        <v>1.7595666459999999</v>
      </c>
      <c r="K386" s="2">
        <v>40.358206817222197</v>
      </c>
      <c r="L386" s="2"/>
      <c r="M386" s="2">
        <v>2.80294982489891</v>
      </c>
      <c r="N386" s="2">
        <v>307.388888888888</v>
      </c>
      <c r="O386" s="2">
        <v>30.971910810592</v>
      </c>
      <c r="P386" s="2">
        <v>32.313692814999897</v>
      </c>
      <c r="Q386" s="2">
        <v>0.77273567123907905</v>
      </c>
      <c r="R386" s="2">
        <v>2.8926119563888801</v>
      </c>
      <c r="S386" s="2">
        <v>0.62611698931408</v>
      </c>
      <c r="T386" s="2">
        <v>4.8840641671666596</v>
      </c>
      <c r="U386" s="2">
        <v>1.1022407130777001</v>
      </c>
      <c r="V386" s="2">
        <v>0.38111563199999998</v>
      </c>
      <c r="W386" s="2">
        <v>0.10358307318154</v>
      </c>
      <c r="X386" s="2">
        <v>3.27318160749999</v>
      </c>
      <c r="Y386" s="2">
        <v>0.15670316052300201</v>
      </c>
      <c r="Z386" s="7">
        <v>110.219123505976</v>
      </c>
      <c r="AA386" s="2">
        <v>11.105466027702301</v>
      </c>
      <c r="AB386" s="7">
        <v>101.097161727657</v>
      </c>
      <c r="AC386" s="2">
        <v>7.02137914713773</v>
      </c>
      <c r="AD386" s="2">
        <v>110.314222922697</v>
      </c>
      <c r="AE386" s="2">
        <v>24.895829287899101</v>
      </c>
      <c r="AF386" s="2">
        <v>95.557589009758303</v>
      </c>
      <c r="AG386" s="2">
        <v>2.2851228458533401</v>
      </c>
      <c r="AH386" s="2">
        <v>77.439761019063496</v>
      </c>
      <c r="AI386" s="2">
        <v>16.762134276381701</v>
      </c>
      <c r="AJ386" s="2">
        <v>81.036927684850994</v>
      </c>
      <c r="AK386" s="2">
        <v>22.024953336962898</v>
      </c>
      <c r="AL386" s="2">
        <v>97.214892014563006</v>
      </c>
      <c r="AM386" s="2">
        <v>4.65415080962154</v>
      </c>
      <c r="AN386"/>
      <c r="AO386"/>
    </row>
    <row r="387" spans="1:41" ht="15.75" hidden="1" customHeight="1" x14ac:dyDescent="0.45">
      <c r="A387" s="2" t="s">
        <v>136</v>
      </c>
      <c r="B387" s="2" t="s">
        <v>104</v>
      </c>
      <c r="C387" s="2">
        <v>0.01</v>
      </c>
      <c r="D387" s="2"/>
      <c r="E387" s="2" t="s">
        <v>83</v>
      </c>
      <c r="F387" s="2" t="s">
        <v>84</v>
      </c>
      <c r="H387" s="2">
        <v>1.8</v>
      </c>
      <c r="J387" s="2">
        <v>1.7595666459999999</v>
      </c>
      <c r="K387" s="2">
        <v>37.861282433888803</v>
      </c>
      <c r="L387" s="2"/>
      <c r="M387" s="2">
        <v>1.6791836034738301</v>
      </c>
      <c r="N387" s="2">
        <v>319.83333333333297</v>
      </c>
      <c r="O387" s="2">
        <v>43.081640843609001</v>
      </c>
      <c r="P387" s="2">
        <v>30.797388350555501</v>
      </c>
      <c r="Q387" s="2">
        <v>2.2671320636177401</v>
      </c>
      <c r="R387" s="2">
        <v>3.63373182072222</v>
      </c>
      <c r="S387" s="2">
        <v>0.56183545480050501</v>
      </c>
      <c r="T387" s="2">
        <v>4.8291645916111099</v>
      </c>
      <c r="U387" s="2">
        <v>2.0121313301965298</v>
      </c>
      <c r="V387" s="2">
        <v>0.38810133877777703</v>
      </c>
      <c r="W387" s="2">
        <v>0.10088228782712901</v>
      </c>
      <c r="X387" s="2">
        <v>3.2119166684999998</v>
      </c>
      <c r="Y387" s="2">
        <v>0.26250209343337999</v>
      </c>
      <c r="Z387" s="7">
        <v>114.68127490039799</v>
      </c>
      <c r="AA387" s="2">
        <v>15.447600302489301</v>
      </c>
      <c r="AB387" s="7">
        <v>94.842375201912901</v>
      </c>
      <c r="AC387" s="2">
        <v>4.2063488375400899</v>
      </c>
      <c r="AD387" s="2">
        <v>109.07423020169399</v>
      </c>
      <c r="AE387" s="2">
        <v>45.447131018716902</v>
      </c>
      <c r="AF387" s="2">
        <v>91.073595191515906</v>
      </c>
      <c r="AG387" s="2">
        <v>6.7043304275475597</v>
      </c>
      <c r="AH387" s="2">
        <v>97.280702716650197</v>
      </c>
      <c r="AI387" s="2">
        <v>15.0412167299838</v>
      </c>
      <c r="AJ387" s="2">
        <v>82.522304214823293</v>
      </c>
      <c r="AK387" s="2">
        <v>21.450683144189099</v>
      </c>
      <c r="AL387" s="2">
        <v>95.395297154468196</v>
      </c>
      <c r="AM387" s="2">
        <v>7.79642431334993</v>
      </c>
      <c r="AN387"/>
      <c r="AO387"/>
    </row>
    <row r="388" spans="1:41" ht="15.75" hidden="1" customHeight="1" x14ac:dyDescent="0.45">
      <c r="A388" s="2" t="s">
        <v>136</v>
      </c>
      <c r="B388" s="2" t="s">
        <v>104</v>
      </c>
      <c r="C388" s="2">
        <v>0.03</v>
      </c>
      <c r="D388" s="2"/>
      <c r="E388" s="2" t="s">
        <v>83</v>
      </c>
      <c r="F388" s="2" t="s">
        <v>84</v>
      </c>
      <c r="H388" s="2">
        <v>1.8</v>
      </c>
      <c r="J388" s="2">
        <v>1.7595666459999999</v>
      </c>
      <c r="K388" s="2">
        <v>43.0265708794444</v>
      </c>
      <c r="L388" s="2"/>
      <c r="M388" s="2">
        <v>5.4599570116015901</v>
      </c>
      <c r="N388" s="2">
        <v>293.83333333333297</v>
      </c>
      <c r="O388" s="2">
        <v>24.5396504548136</v>
      </c>
      <c r="P388" s="2">
        <v>34.366803993888801</v>
      </c>
      <c r="Q388" s="2">
        <v>2.6842414476802401</v>
      </c>
      <c r="R388" s="2">
        <v>3.8036605109999999</v>
      </c>
      <c r="S388" s="2">
        <v>0.46379076240059203</v>
      </c>
      <c r="T388" s="2">
        <v>5.3428907884444401</v>
      </c>
      <c r="U388" s="2">
        <v>1.4893180691450401</v>
      </c>
      <c r="V388" s="2">
        <v>0.331030212111111</v>
      </c>
      <c r="W388" s="2">
        <v>0.182834880386854</v>
      </c>
      <c r="X388" s="2">
        <v>3.29530313611111</v>
      </c>
      <c r="Y388" s="2">
        <v>0.38930373683282399</v>
      </c>
      <c r="Z388" s="7">
        <v>105.35856573705099</v>
      </c>
      <c r="AA388" s="2">
        <v>8.7990778523236308</v>
      </c>
      <c r="AB388" s="7">
        <v>107.781404027333</v>
      </c>
      <c r="AC388" s="2">
        <v>13.677172514820301</v>
      </c>
      <c r="AD388" s="2">
        <v>120.677539302274</v>
      </c>
      <c r="AE388" s="2">
        <v>33.638576369846803</v>
      </c>
      <c r="AF388" s="2">
        <v>101.629019946074</v>
      </c>
      <c r="AG388" s="2">
        <v>7.9378003166917601</v>
      </c>
      <c r="AH388" s="2">
        <v>101.82996039925401</v>
      </c>
      <c r="AI388" s="2">
        <v>12.4164064674572</v>
      </c>
      <c r="AJ388" s="2">
        <v>70.387224002265498</v>
      </c>
      <c r="AK388" s="2">
        <v>38.876329743876497</v>
      </c>
      <c r="AL388" s="2">
        <v>97.871910864417998</v>
      </c>
      <c r="AM388" s="2">
        <v>11.562487290760201</v>
      </c>
      <c r="AN388"/>
      <c r="AO388"/>
    </row>
    <row r="389" spans="1:41" ht="15.75" hidden="1" customHeight="1" x14ac:dyDescent="0.45">
      <c r="A389" s="2" t="s">
        <v>136</v>
      </c>
      <c r="B389" s="2" t="s">
        <v>104</v>
      </c>
      <c r="C389" s="2">
        <v>0.1</v>
      </c>
      <c r="D389" s="2"/>
      <c r="E389" s="2" t="s">
        <v>83</v>
      </c>
      <c r="F389" s="2" t="s">
        <v>84</v>
      </c>
      <c r="H389" s="2">
        <v>1.8</v>
      </c>
      <c r="J389" s="2">
        <v>1.7595666459999999</v>
      </c>
      <c r="K389" s="2">
        <v>39.5877223166666</v>
      </c>
      <c r="L389" s="2"/>
      <c r="M389" s="2">
        <v>1.8953090094157601</v>
      </c>
      <c r="N389" s="2">
        <v>262.61111111111097</v>
      </c>
      <c r="O389" s="2">
        <v>22.503291940250801</v>
      </c>
      <c r="P389" s="2">
        <v>33.753682657777702</v>
      </c>
      <c r="Q389" s="2">
        <v>2.7062657434823398</v>
      </c>
      <c r="R389" s="2">
        <v>2.7743188810555499</v>
      </c>
      <c r="S389" s="2">
        <v>0.41181565481576599</v>
      </c>
      <c r="T389" s="2">
        <v>3.4698241629444402</v>
      </c>
      <c r="U389" s="2">
        <v>0.56543644120187098</v>
      </c>
      <c r="V389" s="2">
        <v>0.39118956261111099</v>
      </c>
      <c r="W389" s="2">
        <v>0.140823318029589</v>
      </c>
      <c r="X389" s="2">
        <v>3.7832787162222199</v>
      </c>
      <c r="Y389" s="2">
        <v>0.48233126410263599</v>
      </c>
      <c r="Z389" s="7">
        <v>94.163346613545798</v>
      </c>
      <c r="AA389" s="2">
        <v>8.0689094606477294</v>
      </c>
      <c r="AB389" s="7">
        <v>99.167100847745701</v>
      </c>
      <c r="AC389" s="2">
        <v>4.7477421956970103</v>
      </c>
      <c r="AD389" s="2">
        <v>78.371401994840596</v>
      </c>
      <c r="AE389" s="2">
        <v>12.7712657918548</v>
      </c>
      <c r="AF389" s="2">
        <v>99.815906323170097</v>
      </c>
      <c r="AG389" s="2">
        <v>8.00293024840634</v>
      </c>
      <c r="AH389" s="2">
        <v>74.2728697726278</v>
      </c>
      <c r="AI389" s="2">
        <v>11.0249512805908</v>
      </c>
      <c r="AJ389" s="2">
        <v>83.178955767380103</v>
      </c>
      <c r="AK389" s="2">
        <v>29.943376973591601</v>
      </c>
      <c r="AL389" s="2">
        <v>112.364994052209</v>
      </c>
      <c r="AM389" s="2">
        <v>14.3254445911417</v>
      </c>
      <c r="AN389"/>
      <c r="AO389"/>
    </row>
    <row r="390" spans="1:41" ht="15.75" hidden="1" customHeight="1" x14ac:dyDescent="0.45">
      <c r="A390" s="2" t="s">
        <v>136</v>
      </c>
      <c r="B390" s="2" t="s">
        <v>104</v>
      </c>
      <c r="C390" s="2">
        <v>0.3</v>
      </c>
      <c r="D390" s="2"/>
      <c r="E390" s="2" t="s">
        <v>83</v>
      </c>
      <c r="F390" s="2" t="s">
        <v>84</v>
      </c>
      <c r="H390" s="2">
        <v>1.8</v>
      </c>
      <c r="J390" s="2">
        <v>1.7595666459999999</v>
      </c>
      <c r="K390" s="2">
        <v>40.1800730722222</v>
      </c>
      <c r="L390" s="2"/>
      <c r="M390" s="2">
        <v>0.46460245587028698</v>
      </c>
      <c r="N390" s="2">
        <v>299.05555555555497</v>
      </c>
      <c r="O390" s="2">
        <v>51.375613900990999</v>
      </c>
      <c r="P390" s="2">
        <v>29.953087146111098</v>
      </c>
      <c r="Q390" s="2">
        <v>2.3143994323005299</v>
      </c>
      <c r="R390" s="2">
        <v>3.1209582934444402</v>
      </c>
      <c r="S390" s="2">
        <v>0.61114446740034201</v>
      </c>
      <c r="T390" s="2">
        <v>6.1581914367222197</v>
      </c>
      <c r="U390" s="2">
        <v>1.9065045143391199</v>
      </c>
      <c r="V390" s="2">
        <v>0.36089797894444398</v>
      </c>
      <c r="W390" s="2">
        <v>4.2381925314547299E-2</v>
      </c>
      <c r="X390" s="2">
        <v>3.6525583325555502</v>
      </c>
      <c r="Y390" s="2">
        <v>0.64985720394342095</v>
      </c>
      <c r="Z390" s="7">
        <v>107.231075697211</v>
      </c>
      <c r="AA390" s="2">
        <v>18.4215348648972</v>
      </c>
      <c r="AB390" s="7">
        <v>100.650937342392</v>
      </c>
      <c r="AC390" s="2">
        <v>1.1638274671842299</v>
      </c>
      <c r="AD390" s="2">
        <v>139.09237874434299</v>
      </c>
      <c r="AE390" s="2">
        <v>43.061384289703597</v>
      </c>
      <c r="AF390" s="2">
        <v>88.576839777127205</v>
      </c>
      <c r="AG390" s="2">
        <v>6.8441088123958203</v>
      </c>
      <c r="AH390" s="2">
        <v>83.5529507720493</v>
      </c>
      <c r="AI390" s="2">
        <v>16.361296370594999</v>
      </c>
      <c r="AJ390" s="2">
        <v>76.738031625346196</v>
      </c>
      <c r="AK390" s="2">
        <v>9.0117033479742599</v>
      </c>
      <c r="AL390" s="2">
        <v>108.482542814814</v>
      </c>
      <c r="AM390" s="2">
        <v>19.301036569889</v>
      </c>
      <c r="AN390"/>
      <c r="AO390"/>
    </row>
    <row r="391" spans="1:41" ht="15.75" hidden="1" customHeight="1" x14ac:dyDescent="0.45">
      <c r="A391" s="2" t="s">
        <v>136</v>
      </c>
      <c r="B391" s="2" t="s">
        <v>104</v>
      </c>
      <c r="C391" s="2">
        <v>1</v>
      </c>
      <c r="D391" s="2"/>
      <c r="E391" s="2" t="s">
        <v>83</v>
      </c>
      <c r="F391" s="2" t="s">
        <v>84</v>
      </c>
      <c r="H391" s="2">
        <v>1.8</v>
      </c>
      <c r="J391" s="2">
        <v>1.7595666459999999</v>
      </c>
      <c r="K391" s="2">
        <v>33.729600840000003</v>
      </c>
      <c r="L391" s="2"/>
      <c r="M391" s="2">
        <v>2.2442238723451902</v>
      </c>
      <c r="N391" s="2">
        <v>195.722222222222</v>
      </c>
      <c r="O391" s="2">
        <v>69.879327203189206</v>
      </c>
      <c r="P391" s="2">
        <v>30.071674536666599</v>
      </c>
      <c r="Q391" s="2">
        <v>1.8308018508233601</v>
      </c>
      <c r="R391" s="2">
        <v>2.94680684999999</v>
      </c>
      <c r="S391" s="2">
        <v>0.67607714090145699</v>
      </c>
      <c r="T391" s="2">
        <v>5.2604472834999996</v>
      </c>
      <c r="U391" s="2">
        <v>1.8053344799175699</v>
      </c>
      <c r="V391" s="2">
        <v>0.38457528672222202</v>
      </c>
      <c r="W391" s="2">
        <v>0.11743263986670301</v>
      </c>
      <c r="X391" s="2">
        <v>4.0586804600555499</v>
      </c>
      <c r="Y391" s="2">
        <v>0.72292064836223102</v>
      </c>
      <c r="Z391" s="7">
        <v>70.179282868525902</v>
      </c>
      <c r="AA391" s="2">
        <v>25.0563324632949</v>
      </c>
      <c r="AB391" s="7">
        <v>84.4925277917865</v>
      </c>
      <c r="AC391" s="2">
        <v>5.6217726620780697</v>
      </c>
      <c r="AD391" s="2">
        <v>118.815423885341</v>
      </c>
      <c r="AE391" s="2">
        <v>40.776300935290998</v>
      </c>
      <c r="AF391" s="2">
        <v>88.927524707918707</v>
      </c>
      <c r="AG391" s="2">
        <v>5.4140209793067404</v>
      </c>
      <c r="AH391" s="2">
        <v>78.890643361034293</v>
      </c>
      <c r="AI391" s="2">
        <v>18.099645929425101</v>
      </c>
      <c r="AJ391" s="2">
        <v>81.772556890265705</v>
      </c>
      <c r="AK391" s="2">
        <v>24.969797997472799</v>
      </c>
      <c r="AL391" s="2">
        <v>120.544543493044</v>
      </c>
      <c r="AM391" s="2">
        <v>21.4710520811308</v>
      </c>
      <c r="AN391"/>
      <c r="AO391"/>
    </row>
    <row r="392" spans="1:41" ht="15.75" hidden="1" customHeight="1" x14ac:dyDescent="0.45">
      <c r="A392" s="2" t="s">
        <v>136</v>
      </c>
      <c r="B392" s="2" t="s">
        <v>104</v>
      </c>
      <c r="C392" s="2">
        <v>3</v>
      </c>
      <c r="D392" s="2"/>
      <c r="E392" s="2" t="s">
        <v>83</v>
      </c>
      <c r="F392" s="2" t="s">
        <v>84</v>
      </c>
      <c r="H392" s="2">
        <v>1.8</v>
      </c>
      <c r="J392" s="2">
        <v>1.7595666459999999</v>
      </c>
      <c r="K392" s="2">
        <v>10.011394341044401</v>
      </c>
      <c r="L392" s="2"/>
      <c r="M392" s="2">
        <v>1.86508156465541</v>
      </c>
      <c r="N392" s="2">
        <v>79.588888888888903</v>
      </c>
      <c r="O392" s="2">
        <v>12.0874743861998</v>
      </c>
      <c r="P392" s="2">
        <v>26.973162171777702</v>
      </c>
      <c r="Q392" s="2">
        <v>2.6286078395541601</v>
      </c>
      <c r="R392" s="2">
        <v>3.7776995534222202</v>
      </c>
      <c r="S392" s="2">
        <v>2.1677816715468601</v>
      </c>
      <c r="T392" s="2">
        <v>8.3444291283555501</v>
      </c>
      <c r="U392" s="2">
        <v>3.3228736875171601</v>
      </c>
      <c r="V392" s="2">
        <v>0.45899543721111102</v>
      </c>
      <c r="W392" s="2">
        <v>0.32378826087648599</v>
      </c>
      <c r="X392" s="2">
        <v>10.1480424426111</v>
      </c>
      <c r="Y392" s="2">
        <v>1.7145619575490001</v>
      </c>
      <c r="Z392" s="7">
        <v>28.5378486055777</v>
      </c>
      <c r="AA392" s="2">
        <v>4.3341541623823998</v>
      </c>
      <c r="AB392" s="7">
        <v>25.078506520364499</v>
      </c>
      <c r="AC392" s="2">
        <v>4.67202255618498</v>
      </c>
      <c r="AD392" s="2">
        <v>188.47197406132099</v>
      </c>
      <c r="AE392" s="2">
        <v>75.052295826281394</v>
      </c>
      <c r="AF392" s="2">
        <v>79.764648375558906</v>
      </c>
      <c r="AG392" s="2">
        <v>7.77328140853486</v>
      </c>
      <c r="AH392" s="2">
        <v>101.13494482822</v>
      </c>
      <c r="AI392" s="2">
        <v>58.034916925277997</v>
      </c>
      <c r="AJ392" s="2">
        <v>97.596574188679199</v>
      </c>
      <c r="AK392" s="2">
        <v>68.847362004431005</v>
      </c>
      <c r="AL392" s="2">
        <v>301.40119569202398</v>
      </c>
      <c r="AM392" s="2">
        <v>50.923222583641497</v>
      </c>
      <c r="AN392"/>
      <c r="AO392"/>
    </row>
    <row r="393" spans="1:41" ht="15.75" hidden="1" customHeight="1" x14ac:dyDescent="0.45">
      <c r="A393" s="2" t="s">
        <v>136</v>
      </c>
      <c r="B393" s="2" t="s">
        <v>104</v>
      </c>
      <c r="C393" s="2">
        <v>10</v>
      </c>
      <c r="D393" s="2"/>
      <c r="E393" s="2" t="s">
        <v>83</v>
      </c>
      <c r="F393" s="2" t="s">
        <v>84</v>
      </c>
      <c r="H393" s="2">
        <v>1.8</v>
      </c>
      <c r="J393" s="2">
        <v>1.7595666459999999</v>
      </c>
      <c r="K393" s="2">
        <v>0</v>
      </c>
      <c r="L393" s="2"/>
      <c r="M393" s="2">
        <v>0</v>
      </c>
      <c r="N393" s="2">
        <v>13.3888888888888</v>
      </c>
      <c r="O393" s="2">
        <v>2.0367003088692401</v>
      </c>
      <c r="P393" s="2">
        <v>0</v>
      </c>
      <c r="Q393" s="2">
        <v>0</v>
      </c>
      <c r="R393" s="2">
        <v>19.5357567817777</v>
      </c>
      <c r="S393" s="2">
        <v>3.83965021886931</v>
      </c>
      <c r="T393" s="2">
        <v>6.6336877025555498</v>
      </c>
      <c r="U393" s="2">
        <v>2.0406224431839601</v>
      </c>
      <c r="V393" s="2">
        <v>0</v>
      </c>
      <c r="W393" s="2">
        <v>0</v>
      </c>
      <c r="X393" s="2">
        <v>0.30864197533333299</v>
      </c>
      <c r="Y393" s="2">
        <v>0.53458358262575301</v>
      </c>
      <c r="Z393" s="7">
        <v>6.2849753881928496</v>
      </c>
      <c r="AA393" s="2">
        <v>0.956062255844913</v>
      </c>
      <c r="AB393" s="7">
        <v>0</v>
      </c>
      <c r="AC393" s="2">
        <v>0</v>
      </c>
      <c r="AD393" s="2">
        <v>169.970931156349</v>
      </c>
      <c r="AE393" s="2">
        <v>52.285623375502702</v>
      </c>
      <c r="AF393" s="2">
        <v>0</v>
      </c>
      <c r="AG393" s="2">
        <v>0</v>
      </c>
      <c r="AH393" s="2">
        <v>655.36085630569198</v>
      </c>
      <c r="AI393" s="2">
        <v>128.80772848788101</v>
      </c>
      <c r="AJ393" s="2">
        <v>0</v>
      </c>
      <c r="AK393" s="2">
        <v>0</v>
      </c>
      <c r="AL393" s="2">
        <v>8.5896546626519203</v>
      </c>
      <c r="AM393" s="2">
        <v>14.877718295184</v>
      </c>
      <c r="AN393"/>
      <c r="AO393"/>
    </row>
    <row r="394" spans="1:41" ht="15.75" hidden="1" customHeight="1" x14ac:dyDescent="0.45">
      <c r="A394" s="2" t="s">
        <v>137</v>
      </c>
      <c r="C394" s="2">
        <v>3.0000000000000001E-3</v>
      </c>
      <c r="D394" s="2"/>
      <c r="E394" s="2" t="s">
        <v>83</v>
      </c>
      <c r="F394" s="2" t="s">
        <v>84</v>
      </c>
      <c r="H394" s="2">
        <v>4.0999999999999996</v>
      </c>
      <c r="J394" s="2">
        <v>4.1180492879999999</v>
      </c>
      <c r="K394" s="2">
        <v>26.9540986533333</v>
      </c>
      <c r="L394" s="2"/>
      <c r="M394" s="2">
        <v>23.5819437344717</v>
      </c>
      <c r="N394" s="2">
        <v>253.833333333333</v>
      </c>
      <c r="O394" s="2">
        <v>49.925221860075702</v>
      </c>
      <c r="P394" s="2">
        <v>37.974470301666599</v>
      </c>
      <c r="Q394" s="2">
        <v>4.02132099801742</v>
      </c>
      <c r="R394" s="2">
        <v>3.6043144308333299</v>
      </c>
      <c r="S394" s="2">
        <v>0.39075125539830002</v>
      </c>
      <c r="T394" s="2">
        <v>3.7293875063333299</v>
      </c>
      <c r="U394" s="2">
        <v>0.94896649602708805</v>
      </c>
      <c r="V394" s="2">
        <v>0.53066546844444396</v>
      </c>
      <c r="W394" s="2">
        <v>0.163437726564897</v>
      </c>
      <c r="X394" s="2">
        <v>3.5625309812777699</v>
      </c>
      <c r="Y394" s="2">
        <v>0.29710250549839801</v>
      </c>
      <c r="Z394" s="7">
        <v>91.015936254980105</v>
      </c>
      <c r="AA394" s="2">
        <v>17.901473973732301</v>
      </c>
      <c r="AB394" s="7">
        <v>67.519919383941399</v>
      </c>
      <c r="AC394" s="2">
        <v>59.072683540514703</v>
      </c>
      <c r="AD394" s="2">
        <v>84.234045798264106</v>
      </c>
      <c r="AE394" s="2">
        <v>21.433891530878999</v>
      </c>
      <c r="AF394" s="2">
        <v>112.297559017008</v>
      </c>
      <c r="AG394" s="2">
        <v>11.8917927890458</v>
      </c>
      <c r="AH394" s="2">
        <v>96.493153028981794</v>
      </c>
      <c r="AI394" s="2">
        <v>10.461024254950299</v>
      </c>
      <c r="AJ394" s="2">
        <v>112.83583138668</v>
      </c>
      <c r="AK394" s="2">
        <v>34.751897105642897</v>
      </c>
      <c r="AL394" s="2">
        <v>105.808692023042</v>
      </c>
      <c r="AM394" s="2">
        <v>8.8240713326453903</v>
      </c>
      <c r="AN394"/>
      <c r="AO394"/>
    </row>
    <row r="395" spans="1:41" ht="15.75" hidden="1" customHeight="1" x14ac:dyDescent="0.45">
      <c r="A395" s="2" t="s">
        <v>137</v>
      </c>
      <c r="C395" s="2">
        <v>0.01</v>
      </c>
      <c r="D395" s="2"/>
      <c r="E395" s="2" t="s">
        <v>83</v>
      </c>
      <c r="F395" s="2" t="s">
        <v>84</v>
      </c>
      <c r="H395" s="2">
        <v>4.0999999999999996</v>
      </c>
      <c r="J395" s="2">
        <v>4.1180492879999999</v>
      </c>
      <c r="K395" s="2">
        <v>39.656381027777698</v>
      </c>
      <c r="L395" s="2"/>
      <c r="M395" s="2">
        <v>1.1051366070031201</v>
      </c>
      <c r="N395" s="2">
        <v>276.55555555555497</v>
      </c>
      <c r="O395" s="2">
        <v>21.570513138009002</v>
      </c>
      <c r="P395" s="2">
        <v>35.528897156666602</v>
      </c>
      <c r="Q395" s="2">
        <v>3.2055201671516298</v>
      </c>
      <c r="R395" s="2">
        <v>7.0103845140555503</v>
      </c>
      <c r="S395" s="2">
        <v>5.7183179996885798</v>
      </c>
      <c r="T395" s="2">
        <v>4.98729131011111</v>
      </c>
      <c r="U395" s="2">
        <v>1.3484146878982799</v>
      </c>
      <c r="V395" s="2">
        <v>0.52852837427777699</v>
      </c>
      <c r="W395" s="2">
        <v>6.6694435517283296E-2</v>
      </c>
      <c r="X395" s="2">
        <v>3.9321428188888801</v>
      </c>
      <c r="Y395" s="2">
        <v>0.70041250189601001</v>
      </c>
      <c r="Z395" s="7">
        <v>99.163346613545798</v>
      </c>
      <c r="AA395" s="2">
        <v>7.7344469419155999</v>
      </c>
      <c r="AB395" s="7">
        <v>99.339090670104397</v>
      </c>
      <c r="AC395" s="2">
        <v>2.7683631930265098</v>
      </c>
      <c r="AD395" s="2">
        <v>112.645769288324</v>
      </c>
      <c r="AE395" s="2">
        <v>30.456053274857599</v>
      </c>
      <c r="AF395" s="2">
        <v>105.065545182466</v>
      </c>
      <c r="AG395" s="2">
        <v>9.4793182707046704</v>
      </c>
      <c r="AH395" s="2">
        <v>187.67899379698801</v>
      </c>
      <c r="AI395" s="2">
        <v>153.08834575921199</v>
      </c>
      <c r="AJ395" s="2">
        <v>112.381419310924</v>
      </c>
      <c r="AK395" s="2">
        <v>14.181292222608301</v>
      </c>
      <c r="AL395" s="2">
        <v>116.78632149472701</v>
      </c>
      <c r="AM395" s="2">
        <v>20.8025505158196</v>
      </c>
      <c r="AN395"/>
      <c r="AO395"/>
    </row>
    <row r="396" spans="1:41" ht="15.75" hidden="1" customHeight="1" x14ac:dyDescent="0.45">
      <c r="A396" s="2" t="s">
        <v>137</v>
      </c>
      <c r="C396" s="2">
        <v>0.03</v>
      </c>
      <c r="D396" s="2"/>
      <c r="E396" s="2" t="s">
        <v>83</v>
      </c>
      <c r="F396" s="2" t="s">
        <v>84</v>
      </c>
      <c r="H396" s="2">
        <v>4.0999999999999996</v>
      </c>
      <c r="J396" s="2">
        <v>4.1180492879999999</v>
      </c>
      <c r="K396" s="2">
        <v>27.1593318505555</v>
      </c>
      <c r="L396" s="2"/>
      <c r="M396" s="2">
        <v>23.5793867848869</v>
      </c>
      <c r="N396" s="2">
        <v>262.888888888888</v>
      </c>
      <c r="O396" s="2">
        <v>61.981702795917698</v>
      </c>
      <c r="P396" s="2">
        <v>35.836875368333303</v>
      </c>
      <c r="Q396" s="2">
        <v>5.6525145094413798</v>
      </c>
      <c r="R396" s="2">
        <v>3.2281164022777702</v>
      </c>
      <c r="S396" s="2">
        <v>0.52039009489882604</v>
      </c>
      <c r="T396" s="2">
        <v>4.7622969770000001</v>
      </c>
      <c r="U396" s="2">
        <v>2.5247463679281399</v>
      </c>
      <c r="V396" s="2">
        <v>0.357222575111111</v>
      </c>
      <c r="W396" s="2">
        <v>0.364679662725029</v>
      </c>
      <c r="X396" s="2">
        <v>3.3760964217222198</v>
      </c>
      <c r="Y396" s="2">
        <v>0.77812824074738995</v>
      </c>
      <c r="Z396" s="7">
        <v>94.262948207171306</v>
      </c>
      <c r="AA396" s="2">
        <v>22.224514946743401</v>
      </c>
      <c r="AB396" s="7">
        <v>68.034027798753499</v>
      </c>
      <c r="AC396" s="2">
        <v>59.066278391076999</v>
      </c>
      <c r="AD396" s="2">
        <v>107.563920612785</v>
      </c>
      <c r="AE396" s="2">
        <v>57.025342854262199</v>
      </c>
      <c r="AF396" s="2">
        <v>105.976293933557</v>
      </c>
      <c r="AG396" s="2">
        <v>16.715534849491501</v>
      </c>
      <c r="AH396" s="2">
        <v>86.421741492830193</v>
      </c>
      <c r="AI396" s="2">
        <v>13.931659411365199</v>
      </c>
      <c r="AJ396" s="2">
        <v>75.956527510462706</v>
      </c>
      <c r="AK396" s="2">
        <v>77.542134132099903</v>
      </c>
      <c r="AL396" s="2">
        <v>100.271505961185</v>
      </c>
      <c r="AM396" s="2">
        <v>23.110741159124402</v>
      </c>
      <c r="AN396"/>
      <c r="AO396"/>
    </row>
    <row r="397" spans="1:41" ht="15.75" hidden="1" customHeight="1" x14ac:dyDescent="0.45">
      <c r="A397" s="2" t="s">
        <v>137</v>
      </c>
      <c r="C397" s="2">
        <v>0.1</v>
      </c>
      <c r="D397" s="2"/>
      <c r="E397" s="2" t="s">
        <v>83</v>
      </c>
      <c r="F397" s="2" t="s">
        <v>84</v>
      </c>
      <c r="H397" s="2">
        <v>4.0999999999999996</v>
      </c>
      <c r="J397" s="2">
        <v>4.1180492879999999</v>
      </c>
      <c r="K397" s="2">
        <v>41.896126594999998</v>
      </c>
      <c r="L397" s="2"/>
      <c r="M397" s="2">
        <v>0.192543332763189</v>
      </c>
      <c r="N397" s="2">
        <v>244.388888888888</v>
      </c>
      <c r="O397" s="2">
        <v>12.976831205965301</v>
      </c>
      <c r="P397" s="2">
        <v>41.679404176666601</v>
      </c>
      <c r="Q397" s="2">
        <v>0.34847309976143398</v>
      </c>
      <c r="R397" s="2">
        <v>3.4532528533333302</v>
      </c>
      <c r="S397" s="2">
        <v>0.763839526828055</v>
      </c>
      <c r="T397" s="2">
        <v>3.9071011582777699</v>
      </c>
      <c r="U397" s="2">
        <v>1.37905272072066</v>
      </c>
      <c r="V397" s="2">
        <v>0.61905638955555498</v>
      </c>
      <c r="W397" s="2">
        <v>0.234080663896365</v>
      </c>
      <c r="X397" s="2">
        <v>3.4040363247222198</v>
      </c>
      <c r="Y397" s="2">
        <v>0.73964844165265897</v>
      </c>
      <c r="Z397" s="7">
        <v>87.629482071713099</v>
      </c>
      <c r="AA397" s="2">
        <v>4.6530470459636799</v>
      </c>
      <c r="AB397" s="7">
        <v>104.94964519408801</v>
      </c>
      <c r="AC397" s="2">
        <v>0.48232035035896997</v>
      </c>
      <c r="AD397" s="2">
        <v>88.247986390772496</v>
      </c>
      <c r="AE397" s="2">
        <v>31.1480611328628</v>
      </c>
      <c r="AF397" s="2">
        <v>123.25373634290099</v>
      </c>
      <c r="AG397" s="2">
        <v>1.03049965346276</v>
      </c>
      <c r="AH397" s="2">
        <v>92.448997560798404</v>
      </c>
      <c r="AI397" s="2">
        <v>20.449182713163999</v>
      </c>
      <c r="AJ397" s="2">
        <v>131.63046503759901</v>
      </c>
      <c r="AK397" s="2">
        <v>49.772762489552498</v>
      </c>
      <c r="AL397" s="2">
        <v>101.10133301594399</v>
      </c>
      <c r="AM397" s="2">
        <v>21.967874687809498</v>
      </c>
      <c r="AN397"/>
      <c r="AO397"/>
    </row>
    <row r="398" spans="1:41" ht="15.75" hidden="1" customHeight="1" x14ac:dyDescent="0.45">
      <c r="A398" s="2" t="s">
        <v>137</v>
      </c>
      <c r="C398" s="2">
        <v>0.3</v>
      </c>
      <c r="D398" s="2"/>
      <c r="E398" s="2" t="s">
        <v>83</v>
      </c>
      <c r="F398" s="2" t="s">
        <v>84</v>
      </c>
      <c r="H398" s="2">
        <v>4.0999999999999996</v>
      </c>
      <c r="J398" s="2">
        <v>4.1180492879999999</v>
      </c>
      <c r="K398" s="2">
        <v>21.938747562222201</v>
      </c>
      <c r="L398" s="2"/>
      <c r="M398" s="2">
        <v>19.064647531481299</v>
      </c>
      <c r="N398" s="2">
        <v>234.944444444444</v>
      </c>
      <c r="O398" s="2">
        <v>2.7403027678131799</v>
      </c>
      <c r="P398" s="2">
        <v>42.730409275</v>
      </c>
      <c r="Q398" s="2">
        <v>1.1202748128256399</v>
      </c>
      <c r="R398" s="2">
        <v>4.3805085588888799</v>
      </c>
      <c r="S398" s="2">
        <v>1.1320618956758199</v>
      </c>
      <c r="T398" s="2">
        <v>5.2237962171666599</v>
      </c>
      <c r="U398" s="2">
        <v>1.5649254100435599</v>
      </c>
      <c r="V398" s="2">
        <v>0.79559119483333296</v>
      </c>
      <c r="W398" s="2">
        <v>0.318020948615375</v>
      </c>
      <c r="X398" s="2">
        <v>3.91471180944444</v>
      </c>
      <c r="Y398" s="2">
        <v>0.461188032920757</v>
      </c>
      <c r="Z398" s="7">
        <v>84.243027888446207</v>
      </c>
      <c r="AA398" s="2">
        <v>0.98257868168600204</v>
      </c>
      <c r="AB398" s="7">
        <v>54.956483087691602</v>
      </c>
      <c r="AC398" s="2">
        <v>47.756872932929198</v>
      </c>
      <c r="AD398" s="2">
        <v>117.987602267225</v>
      </c>
      <c r="AE398" s="2">
        <v>35.346286336996798</v>
      </c>
      <c r="AF398" s="2">
        <v>126.36175354813599</v>
      </c>
      <c r="AG398" s="2">
        <v>3.3128606115944899</v>
      </c>
      <c r="AH398" s="2">
        <v>117.27308780324699</v>
      </c>
      <c r="AI398" s="2">
        <v>30.307073323919401</v>
      </c>
      <c r="AJ398" s="2">
        <v>169.16720467244701</v>
      </c>
      <c r="AK398" s="2">
        <v>67.621053694307406</v>
      </c>
      <c r="AL398" s="2">
        <v>116.268613067866</v>
      </c>
      <c r="AM398" s="2">
        <v>13.6974815928541</v>
      </c>
      <c r="AN398"/>
      <c r="AO398"/>
    </row>
    <row r="399" spans="1:41" ht="15.75" hidden="1" customHeight="1" x14ac:dyDescent="0.45">
      <c r="A399" s="2" t="s">
        <v>137</v>
      </c>
      <c r="C399" s="2">
        <v>1</v>
      </c>
      <c r="D399" s="2"/>
      <c r="E399" s="2" t="s">
        <v>83</v>
      </c>
      <c r="F399" s="2" t="s">
        <v>84</v>
      </c>
      <c r="H399" s="2">
        <v>4.0999999999999996</v>
      </c>
      <c r="J399" s="2">
        <v>4.1180492879999999</v>
      </c>
      <c r="K399" s="2">
        <v>28.957797013888801</v>
      </c>
      <c r="L399" s="2"/>
      <c r="M399" s="2">
        <v>2.9738863765791401</v>
      </c>
      <c r="N399" s="2">
        <v>211.833333333333</v>
      </c>
      <c r="O399" s="2">
        <v>4.8419463487788104</v>
      </c>
      <c r="P399" s="2">
        <v>50.999232671111102</v>
      </c>
      <c r="Q399" s="2">
        <v>2.8650250329640401</v>
      </c>
      <c r="R399" s="2">
        <v>3.9078797441111099</v>
      </c>
      <c r="S399" s="2">
        <v>0.60622917735293103</v>
      </c>
      <c r="T399" s="2">
        <v>4.0000611242222197</v>
      </c>
      <c r="U399" s="2">
        <v>1.2984651562454499</v>
      </c>
      <c r="V399" s="2">
        <v>1.08943156038888</v>
      </c>
      <c r="W399" s="2">
        <v>0.40210011514205202</v>
      </c>
      <c r="X399" s="2">
        <v>2.97429860777777</v>
      </c>
      <c r="Y399" s="2">
        <v>0.17473523525846099</v>
      </c>
      <c r="Z399" s="7">
        <v>75.956175298804794</v>
      </c>
      <c r="AA399" s="2">
        <v>1.7361560613151099</v>
      </c>
      <c r="AB399" s="7">
        <v>72.539176511195294</v>
      </c>
      <c r="AC399" s="2">
        <v>7.4495745892357501</v>
      </c>
      <c r="AD399" s="2">
        <v>90.347632516435695</v>
      </c>
      <c r="AE399" s="2">
        <v>29.327865032230299</v>
      </c>
      <c r="AF399" s="2">
        <v>150.81419951906099</v>
      </c>
      <c r="AG399" s="2">
        <v>8.4724109426317806</v>
      </c>
      <c r="AH399" s="2">
        <v>104.620072805409</v>
      </c>
      <c r="AI399" s="2">
        <v>16.229706343190799</v>
      </c>
      <c r="AJ399" s="2">
        <v>231.646721268123</v>
      </c>
      <c r="AK399" s="2">
        <v>85.498875451103899</v>
      </c>
      <c r="AL399" s="2">
        <v>88.337939242860003</v>
      </c>
      <c r="AM399" s="2">
        <v>5.18971113239418</v>
      </c>
      <c r="AN399"/>
      <c r="AO399"/>
    </row>
    <row r="400" spans="1:41" ht="15.75" hidden="1" customHeight="1" x14ac:dyDescent="0.45">
      <c r="A400" s="2" t="s">
        <v>137</v>
      </c>
      <c r="C400" s="2">
        <v>3</v>
      </c>
      <c r="D400" s="2"/>
      <c r="E400" s="2" t="s">
        <v>83</v>
      </c>
      <c r="F400" s="2" t="s">
        <v>84</v>
      </c>
      <c r="H400" s="2">
        <v>4.0999999999999996</v>
      </c>
      <c r="J400" s="2">
        <v>4.1180492879999999</v>
      </c>
      <c r="K400" s="2">
        <v>9.1509364497777703</v>
      </c>
      <c r="L400" s="2"/>
      <c r="M400" s="2">
        <v>7.9264479466930204</v>
      </c>
      <c r="N400" s="2">
        <v>153.111111111111</v>
      </c>
      <c r="O400" s="2">
        <v>17.362422172718301</v>
      </c>
      <c r="P400" s="2">
        <v>57.608760546666602</v>
      </c>
      <c r="Q400" s="2">
        <v>4.8501140268421903</v>
      </c>
      <c r="R400" s="2">
        <v>7.89518733105555</v>
      </c>
      <c r="S400" s="2">
        <v>4.8223863254343602</v>
      </c>
      <c r="T400" s="2">
        <v>4.7673918875555499</v>
      </c>
      <c r="U400" s="2">
        <v>0.310884205146091</v>
      </c>
      <c r="V400" s="2">
        <v>0.955938455388888</v>
      </c>
      <c r="W400" s="2">
        <v>0.30187387941421601</v>
      </c>
      <c r="X400" s="2">
        <v>3.0898907126111101</v>
      </c>
      <c r="Y400" s="2">
        <v>0.696037068313757</v>
      </c>
      <c r="Z400" s="7">
        <v>54.900398406374499</v>
      </c>
      <c r="AA400" s="2">
        <v>6.2255697033651298</v>
      </c>
      <c r="AB400" s="7">
        <v>22.923062622988301</v>
      </c>
      <c r="AC400" s="2">
        <v>19.855723363078699</v>
      </c>
      <c r="AD400" s="2">
        <v>107.678997130939</v>
      </c>
      <c r="AE400" s="2">
        <v>7.0218056798231299</v>
      </c>
      <c r="AF400" s="2">
        <v>170.359800571123</v>
      </c>
      <c r="AG400" s="2">
        <v>14.3426876488814</v>
      </c>
      <c r="AH400" s="2">
        <v>211.36655359778999</v>
      </c>
      <c r="AI400" s="2">
        <v>129.102848986852</v>
      </c>
      <c r="AJ400" s="2">
        <v>203.261973469819</v>
      </c>
      <c r="AK400" s="2">
        <v>64.187689199889107</v>
      </c>
      <c r="AL400" s="2">
        <v>91.771074136249297</v>
      </c>
      <c r="AM400" s="2">
        <v>20.672598269283402</v>
      </c>
      <c r="AN400"/>
      <c r="AO400"/>
    </row>
    <row r="401" spans="1:41" ht="15.75" hidden="1" customHeight="1" x14ac:dyDescent="0.45">
      <c r="A401" s="2" t="s">
        <v>137</v>
      </c>
      <c r="C401" s="2">
        <v>10</v>
      </c>
      <c r="D401" s="2"/>
      <c r="E401" s="2" t="s">
        <v>83</v>
      </c>
      <c r="F401" s="2" t="s">
        <v>84</v>
      </c>
      <c r="H401" s="2">
        <v>4.0999999999999996</v>
      </c>
      <c r="J401" s="2">
        <v>4.1180492879999999</v>
      </c>
      <c r="K401" s="2">
        <v>1.48576014761111</v>
      </c>
      <c r="L401" s="2"/>
      <c r="M401" s="2">
        <v>0.958814021151709</v>
      </c>
      <c r="N401" s="2">
        <v>94.8888888888888</v>
      </c>
      <c r="O401" s="2">
        <v>10.8093752174948</v>
      </c>
      <c r="P401" s="2">
        <v>74.7339658372222</v>
      </c>
      <c r="Q401" s="2">
        <v>0.42757463607899499</v>
      </c>
      <c r="R401" s="2">
        <v>16.9766935302222</v>
      </c>
      <c r="S401" s="2">
        <v>18.392156228306</v>
      </c>
      <c r="T401" s="2">
        <v>2.6450195585555498</v>
      </c>
      <c r="U401" s="2">
        <v>0.58848766735361702</v>
      </c>
      <c r="V401" s="2">
        <v>0.153333917444444</v>
      </c>
      <c r="W401" s="2">
        <v>0.147839225540115</v>
      </c>
      <c r="X401" s="2">
        <v>2.44770863916666</v>
      </c>
      <c r="Y401" s="2">
        <v>1.2471190489255799</v>
      </c>
      <c r="Z401" s="7">
        <v>34.0239043824701</v>
      </c>
      <c r="AA401" s="2">
        <v>3.8758715919304101</v>
      </c>
      <c r="AB401" s="7">
        <v>3.72182378200834</v>
      </c>
      <c r="AC401" s="2">
        <v>2.4018256460729401</v>
      </c>
      <c r="AD401" s="2">
        <v>59.741900849484701</v>
      </c>
      <c r="AE401" s="2">
        <v>13.291913763157099</v>
      </c>
      <c r="AF401" s="2">
        <v>221.00221207857601</v>
      </c>
      <c r="AG401" s="2">
        <v>1.2644175823342401</v>
      </c>
      <c r="AH401" s="2">
        <v>454.49272480900402</v>
      </c>
      <c r="AI401" s="2">
        <v>492.38688231219498</v>
      </c>
      <c r="AJ401" s="2">
        <v>32.603515931302297</v>
      </c>
      <c r="AK401" s="2">
        <v>31.435175110000898</v>
      </c>
      <c r="AL401" s="2">
        <v>72.697992220922103</v>
      </c>
      <c r="AM401" s="2">
        <v>37.039968510395198</v>
      </c>
      <c r="AN401"/>
      <c r="AO401"/>
    </row>
    <row r="402" spans="1:41" ht="15.75" hidden="1" customHeight="1" x14ac:dyDescent="0.45">
      <c r="A402" s="2" t="s">
        <v>138</v>
      </c>
      <c r="B402" s="2" t="s">
        <v>113</v>
      </c>
      <c r="C402" s="2">
        <v>3.0000000000000001E-3</v>
      </c>
      <c r="D402" s="2"/>
      <c r="E402" s="2" t="s">
        <v>83</v>
      </c>
      <c r="F402" s="2" t="s">
        <v>84</v>
      </c>
      <c r="H402" s="2">
        <v>11.6</v>
      </c>
      <c r="J402" s="2">
        <v>11.60305692</v>
      </c>
      <c r="K402" s="2">
        <v>40.118399311111098</v>
      </c>
      <c r="L402" s="2"/>
      <c r="M402" s="2">
        <v>3.7110049330150598</v>
      </c>
      <c r="N402" s="2">
        <v>294.666666666666</v>
      </c>
      <c r="O402" s="2">
        <v>65.378598265113496</v>
      </c>
      <c r="P402" s="2">
        <v>32.1869509488888</v>
      </c>
      <c r="Q402" s="2">
        <v>3.0518170258660402</v>
      </c>
      <c r="R402" s="2">
        <v>2.6455472730555498</v>
      </c>
      <c r="S402" s="2">
        <v>0.512409887935104</v>
      </c>
      <c r="T402" s="2">
        <v>5.4306726462222201</v>
      </c>
      <c r="U402" s="2">
        <v>2.6357266310137999</v>
      </c>
      <c r="V402" s="2">
        <v>0.461971096333333</v>
      </c>
      <c r="W402" s="2">
        <v>0.16251959202579599</v>
      </c>
      <c r="X402" s="2">
        <v>2.9062522541111102</v>
      </c>
      <c r="Y402" s="2">
        <v>0.44398771586200902</v>
      </c>
      <c r="Z402" s="7">
        <v>105.657370517928</v>
      </c>
      <c r="AA402" s="2">
        <v>23.442525274343499</v>
      </c>
      <c r="AB402" s="7">
        <v>100.49644479445401</v>
      </c>
      <c r="AC402" s="2">
        <v>9.2960539001217608</v>
      </c>
      <c r="AD402" s="2">
        <v>122.66022976169999</v>
      </c>
      <c r="AE402" s="2">
        <v>59.5320055562702</v>
      </c>
      <c r="AF402" s="2">
        <v>95.182789780790202</v>
      </c>
      <c r="AG402" s="2">
        <v>9.0247895454189102</v>
      </c>
      <c r="AH402" s="2">
        <v>70.825451764299601</v>
      </c>
      <c r="AI402" s="2">
        <v>13.7180167487923</v>
      </c>
      <c r="AJ402" s="2">
        <v>98.229291014900298</v>
      </c>
      <c r="AK402" s="2">
        <v>34.556673409727601</v>
      </c>
      <c r="AL402" s="2">
        <v>86.316933470209804</v>
      </c>
      <c r="AM402" s="2">
        <v>13.186624828398701</v>
      </c>
      <c r="AN402"/>
      <c r="AO402"/>
    </row>
    <row r="403" spans="1:41" ht="15.75" hidden="1" customHeight="1" x14ac:dyDescent="0.45">
      <c r="A403" s="2" t="s">
        <v>138</v>
      </c>
      <c r="B403" s="2" t="s">
        <v>113</v>
      </c>
      <c r="C403" s="2">
        <v>0.01</v>
      </c>
      <c r="D403" s="2"/>
      <c r="E403" s="2" t="s">
        <v>83</v>
      </c>
      <c r="F403" s="2" t="s">
        <v>84</v>
      </c>
      <c r="H403" s="2">
        <v>11.6</v>
      </c>
      <c r="J403" s="2">
        <v>11.60305692</v>
      </c>
      <c r="K403" s="2">
        <v>39.345112284444397</v>
      </c>
      <c r="L403" s="2"/>
      <c r="M403" s="2">
        <v>2.8312514117360901</v>
      </c>
      <c r="N403" s="2">
        <v>284.33333333333297</v>
      </c>
      <c r="O403" s="2">
        <v>18.143716390101901</v>
      </c>
      <c r="P403" s="2">
        <v>32.638644050555499</v>
      </c>
      <c r="Q403" s="2">
        <v>0.85662644442658797</v>
      </c>
      <c r="R403" s="2">
        <v>4.2415251087777701</v>
      </c>
      <c r="S403" s="2">
        <v>1.6734662690889299</v>
      </c>
      <c r="T403" s="2">
        <v>4.3267805321111101</v>
      </c>
      <c r="U403" s="2">
        <v>0.380915619011854</v>
      </c>
      <c r="V403" s="2">
        <v>0.31001513527777702</v>
      </c>
      <c r="W403" s="2">
        <v>0.12117205952671301</v>
      </c>
      <c r="X403" s="2">
        <v>3.1623724846666601</v>
      </c>
      <c r="Y403" s="2">
        <v>0.13261849244927801</v>
      </c>
      <c r="Z403" s="7">
        <v>101.952191235059</v>
      </c>
      <c r="AA403" s="2">
        <v>6.5057150402755797</v>
      </c>
      <c r="AB403" s="7">
        <v>98.559363596796899</v>
      </c>
      <c r="AC403" s="2">
        <v>7.0922745195358399</v>
      </c>
      <c r="AD403" s="2">
        <v>97.727101000350999</v>
      </c>
      <c r="AE403" s="2">
        <v>8.6035746198616696</v>
      </c>
      <c r="AF403" s="2">
        <v>96.5185301436982</v>
      </c>
      <c r="AG403" s="2">
        <v>2.5332034373183201</v>
      </c>
      <c r="AH403" s="2">
        <v>113.55228275767701</v>
      </c>
      <c r="AI403" s="2">
        <v>44.801317945699601</v>
      </c>
      <c r="AJ403" s="2">
        <v>65.918771074482095</v>
      </c>
      <c r="AK403" s="2">
        <v>25.7649138497965</v>
      </c>
      <c r="AL403" s="2">
        <v>93.923813729817695</v>
      </c>
      <c r="AM403" s="2">
        <v>3.9388258790925299</v>
      </c>
      <c r="AN403"/>
      <c r="AO403"/>
    </row>
    <row r="404" spans="1:41" ht="15.75" hidden="1" customHeight="1" x14ac:dyDescent="0.45">
      <c r="A404" s="2" t="s">
        <v>138</v>
      </c>
      <c r="B404" s="2" t="s">
        <v>113</v>
      </c>
      <c r="C404" s="2">
        <v>0.03</v>
      </c>
      <c r="D404" s="2"/>
      <c r="E404" s="2" t="s">
        <v>83</v>
      </c>
      <c r="F404" s="2" t="s">
        <v>84</v>
      </c>
      <c r="H404" s="2">
        <v>11.6</v>
      </c>
      <c r="J404" s="2">
        <v>11.60305692</v>
      </c>
      <c r="K404" s="2">
        <v>39.343195055555498</v>
      </c>
      <c r="L404" s="2"/>
      <c r="M404" s="2">
        <v>2.1354676503294301</v>
      </c>
      <c r="N404" s="2">
        <v>312</v>
      </c>
      <c r="O404" s="2">
        <v>47.722577931671502</v>
      </c>
      <c r="P404" s="2">
        <v>30.990541264444399</v>
      </c>
      <c r="Q404" s="2">
        <v>1.75404986975503</v>
      </c>
      <c r="R404" s="2">
        <v>2.92736737561111</v>
      </c>
      <c r="S404" s="2">
        <v>0.65715090828532097</v>
      </c>
      <c r="T404" s="2">
        <v>4.3509418082777698</v>
      </c>
      <c r="U404" s="2">
        <v>1.23404737943613</v>
      </c>
      <c r="V404" s="2">
        <v>0.38726881883333297</v>
      </c>
      <c r="W404" s="2">
        <v>8.2713443023211999E-2</v>
      </c>
      <c r="X404" s="2">
        <v>3.232327765</v>
      </c>
      <c r="Y404" s="2">
        <v>0.29700379242185498</v>
      </c>
      <c r="Z404" s="7">
        <v>111.87250996015899</v>
      </c>
      <c r="AA404" s="2">
        <v>17.111681330081399</v>
      </c>
      <c r="AB404" s="7">
        <v>98.554560945382505</v>
      </c>
      <c r="AC404" s="2">
        <v>5.34933872030728</v>
      </c>
      <c r="AD404" s="2">
        <v>98.272821186229095</v>
      </c>
      <c r="AE404" s="2">
        <v>27.872888859128299</v>
      </c>
      <c r="AF404" s="2">
        <v>91.644784218628999</v>
      </c>
      <c r="AG404" s="2">
        <v>5.1870511215253501</v>
      </c>
      <c r="AH404" s="2">
        <v>78.370218128162307</v>
      </c>
      <c r="AI404" s="2">
        <v>17.592960984163899</v>
      </c>
      <c r="AJ404" s="2">
        <v>82.345284820000501</v>
      </c>
      <c r="AK404" s="2">
        <v>17.587426854317702</v>
      </c>
      <c r="AL404" s="2">
        <v>96.001515439943006</v>
      </c>
      <c r="AM404" s="2">
        <v>8.8211395121027891</v>
      </c>
      <c r="AN404"/>
      <c r="AO404"/>
    </row>
    <row r="405" spans="1:41" ht="15.75" hidden="1" customHeight="1" x14ac:dyDescent="0.45">
      <c r="A405" s="2" t="s">
        <v>138</v>
      </c>
      <c r="B405" s="2" t="s">
        <v>113</v>
      </c>
      <c r="C405" s="2">
        <v>0.1</v>
      </c>
      <c r="D405" s="2"/>
      <c r="E405" s="2" t="s">
        <v>83</v>
      </c>
      <c r="F405" s="2" t="s">
        <v>84</v>
      </c>
      <c r="H405" s="2">
        <v>11.6</v>
      </c>
      <c r="J405" s="2">
        <v>11.60305692</v>
      </c>
      <c r="K405" s="2">
        <v>38.910194896111101</v>
      </c>
      <c r="L405" s="2"/>
      <c r="M405" s="2">
        <v>0.417837309892921</v>
      </c>
      <c r="N405" s="2">
        <v>255.055555555555</v>
      </c>
      <c r="O405" s="2">
        <v>27.369048482086701</v>
      </c>
      <c r="P405" s="2">
        <v>34.479600441666598</v>
      </c>
      <c r="Q405" s="2">
        <v>4.9900683574532598</v>
      </c>
      <c r="R405" s="2">
        <v>2.7780210203888802</v>
      </c>
      <c r="S405" s="2">
        <v>0.86698032059891506</v>
      </c>
      <c r="T405" s="2">
        <v>3.4334560162222201</v>
      </c>
      <c r="U405" s="2">
        <v>0.94302119835405396</v>
      </c>
      <c r="V405" s="2">
        <v>0.94995701033333302</v>
      </c>
      <c r="W405" s="2">
        <v>1.21779347540099</v>
      </c>
      <c r="X405" s="2">
        <v>3.4875257401111099</v>
      </c>
      <c r="Y405" s="2">
        <v>0.372396976507199</v>
      </c>
      <c r="Z405" s="7">
        <v>91.454183266932304</v>
      </c>
      <c r="AA405" s="2">
        <v>9.8136030413857007</v>
      </c>
      <c r="AB405" s="7">
        <v>97.469897116146797</v>
      </c>
      <c r="AC405" s="2">
        <v>1.0466809460936699</v>
      </c>
      <c r="AD405" s="2">
        <v>77.549970558339197</v>
      </c>
      <c r="AE405" s="2">
        <v>21.299607690536799</v>
      </c>
      <c r="AF405" s="2">
        <v>101.96257998392601</v>
      </c>
      <c r="AG405" s="2">
        <v>14.756558588400299</v>
      </c>
      <c r="AH405" s="2">
        <v>74.371981851798793</v>
      </c>
      <c r="AI405" s="2">
        <v>23.2104236059462</v>
      </c>
      <c r="AJ405" s="2">
        <v>201.99013392895799</v>
      </c>
      <c r="AK405" s="2">
        <v>258.94041995410402</v>
      </c>
      <c r="AL405" s="2">
        <v>103.581004318872</v>
      </c>
      <c r="AM405" s="2">
        <v>11.060349286683101</v>
      </c>
      <c r="AN405"/>
      <c r="AO405"/>
    </row>
    <row r="406" spans="1:41" ht="15.75" hidden="1" customHeight="1" x14ac:dyDescent="0.45">
      <c r="A406" s="2" t="s">
        <v>138</v>
      </c>
      <c r="B406" s="2" t="s">
        <v>113</v>
      </c>
      <c r="C406" s="2">
        <v>0.3</v>
      </c>
      <c r="D406" s="2"/>
      <c r="E406" s="2" t="s">
        <v>83</v>
      </c>
      <c r="F406" s="2" t="s">
        <v>84</v>
      </c>
      <c r="H406" s="2">
        <v>11.6</v>
      </c>
      <c r="J406" s="2">
        <v>11.60305692</v>
      </c>
      <c r="K406" s="2">
        <v>38.013860547</v>
      </c>
      <c r="L406" s="2"/>
      <c r="M406" s="2">
        <v>0.58666828630129997</v>
      </c>
      <c r="N406" s="2">
        <v>271.74444444444401</v>
      </c>
      <c r="O406" s="2">
        <v>14.8108943886789</v>
      </c>
      <c r="P406" s="2">
        <v>32.874088484111098</v>
      </c>
      <c r="Q406" s="2">
        <v>1.5562006194032201</v>
      </c>
      <c r="R406" s="2">
        <v>4.5308554306111102</v>
      </c>
      <c r="S406" s="2">
        <v>2.3258550611988</v>
      </c>
      <c r="T406" s="2">
        <v>4.0381932467222201</v>
      </c>
      <c r="U406" s="2">
        <v>1.66210653517664</v>
      </c>
      <c r="V406" s="2">
        <v>0.37954656288888799</v>
      </c>
      <c r="W406" s="2">
        <v>0.14034198793196401</v>
      </c>
      <c r="X406" s="2">
        <v>3.2703203463777699</v>
      </c>
      <c r="Y406" s="2">
        <v>0.18926166048144799</v>
      </c>
      <c r="Z406" s="7">
        <v>97.4382470119522</v>
      </c>
      <c r="AA406" s="2">
        <v>5.3106792628729398</v>
      </c>
      <c r="AB406" s="7">
        <v>95.2245828219678</v>
      </c>
      <c r="AC406" s="2">
        <v>1.4696019297710801</v>
      </c>
      <c r="AD406" s="2">
        <v>91.208906102941597</v>
      </c>
      <c r="AE406" s="2">
        <v>37.541273940533699</v>
      </c>
      <c r="AF406" s="2">
        <v>97.214783046303396</v>
      </c>
      <c r="AG406" s="2">
        <v>4.6019741555702103</v>
      </c>
      <c r="AH406" s="2">
        <v>121.298109476278</v>
      </c>
      <c r="AI406" s="2">
        <v>62.2667896073648</v>
      </c>
      <c r="AJ406" s="2">
        <v>80.703295239961804</v>
      </c>
      <c r="AK406" s="2">
        <v>29.8410313623421</v>
      </c>
      <c r="AL406" s="2">
        <v>97.129911336929695</v>
      </c>
      <c r="AM406" s="2">
        <v>5.6211521670665299</v>
      </c>
      <c r="AN406"/>
      <c r="AO406"/>
    </row>
    <row r="407" spans="1:41" ht="15.75" hidden="1" customHeight="1" x14ac:dyDescent="0.45">
      <c r="A407" s="2" t="s">
        <v>138</v>
      </c>
      <c r="B407" s="2" t="s">
        <v>113</v>
      </c>
      <c r="C407" s="2">
        <v>1</v>
      </c>
      <c r="D407" s="2"/>
      <c r="E407" s="2" t="s">
        <v>83</v>
      </c>
      <c r="F407" s="2" t="s">
        <v>84</v>
      </c>
      <c r="H407" s="2">
        <v>11.6</v>
      </c>
      <c r="J407" s="2">
        <v>11.60305692</v>
      </c>
      <c r="K407" s="2">
        <v>39.340139765000004</v>
      </c>
      <c r="L407" s="2"/>
      <c r="M407" s="2">
        <v>2.2679263914133299</v>
      </c>
      <c r="N407" s="2">
        <v>274.11111111111097</v>
      </c>
      <c r="O407" s="2">
        <v>18.242451508419801</v>
      </c>
      <c r="P407" s="2">
        <v>32.477145210000003</v>
      </c>
      <c r="Q407" s="2">
        <v>3.6416861033613799</v>
      </c>
      <c r="R407" s="2">
        <v>31.501669720944399</v>
      </c>
      <c r="S407" s="2">
        <v>49.2142483367846</v>
      </c>
      <c r="T407" s="2">
        <v>5.8547260119444404</v>
      </c>
      <c r="U407" s="2">
        <v>1.07688942837768</v>
      </c>
      <c r="V407" s="2">
        <v>0.302521569111111</v>
      </c>
      <c r="W407" s="2">
        <v>0.20840422681079801</v>
      </c>
      <c r="X407" s="2">
        <v>3.1585359267222199</v>
      </c>
      <c r="Y407" s="2">
        <v>0.392095774400957</v>
      </c>
      <c r="Z407" s="7">
        <v>98.286852589641398</v>
      </c>
      <c r="AA407" s="2">
        <v>6.5411180707481602</v>
      </c>
      <c r="AB407" s="7">
        <v>98.546907453620193</v>
      </c>
      <c r="AC407" s="2">
        <v>5.6811473863921602</v>
      </c>
      <c r="AD407" s="2">
        <v>132.23813781456201</v>
      </c>
      <c r="AE407" s="2">
        <v>24.3232308993327</v>
      </c>
      <c r="AF407" s="2">
        <v>96.040948088322693</v>
      </c>
      <c r="AG407" s="2">
        <v>10.769141922585099</v>
      </c>
      <c r="AH407" s="2">
        <v>843.349129323532</v>
      </c>
      <c r="AI407" s="2">
        <v>1317.5426525897501</v>
      </c>
      <c r="AJ407" s="2">
        <v>64.325407988420594</v>
      </c>
      <c r="AK407" s="2">
        <v>44.3131607293505</v>
      </c>
      <c r="AL407" s="2">
        <v>93.809866319926897</v>
      </c>
      <c r="AM407" s="2">
        <v>11.6454119992654</v>
      </c>
      <c r="AN407"/>
      <c r="AO407"/>
    </row>
    <row r="408" spans="1:41" ht="15.75" hidden="1" customHeight="1" x14ac:dyDescent="0.45">
      <c r="A408" s="2" t="s">
        <v>138</v>
      </c>
      <c r="B408" s="2" t="s">
        <v>113</v>
      </c>
      <c r="C408" s="2">
        <v>3</v>
      </c>
      <c r="D408" s="2"/>
      <c r="E408" s="2" t="s">
        <v>83</v>
      </c>
      <c r="F408" s="2" t="s">
        <v>84</v>
      </c>
      <c r="H408" s="2">
        <v>11.6</v>
      </c>
      <c r="J408" s="2">
        <v>11.60305692</v>
      </c>
      <c r="K408" s="2">
        <v>37.293857376555501</v>
      </c>
      <c r="L408" s="2"/>
      <c r="M408" s="2">
        <v>3.8960883930260302</v>
      </c>
      <c r="N408" s="2">
        <v>243.08888888888799</v>
      </c>
      <c r="O408" s="2">
        <v>27.022651677874101</v>
      </c>
      <c r="P408" s="2">
        <v>28.184755263444401</v>
      </c>
      <c r="Q408" s="2">
        <v>3.5465585608400998</v>
      </c>
      <c r="R408" s="2">
        <v>34.5853742847777</v>
      </c>
      <c r="S408" s="2">
        <v>55.196007454448498</v>
      </c>
      <c r="T408" s="2">
        <v>4.8522243375666596</v>
      </c>
      <c r="U408" s="2">
        <v>1.7525353454338899</v>
      </c>
      <c r="V408" s="2">
        <v>0.45870164932222202</v>
      </c>
      <c r="W408" s="2">
        <v>0.15132038154942001</v>
      </c>
      <c r="X408" s="2">
        <v>3.6122022632555502</v>
      </c>
      <c r="Y408" s="2">
        <v>0.583999026542115</v>
      </c>
      <c r="Z408" s="7">
        <v>87.163346613545798</v>
      </c>
      <c r="AA408" s="2">
        <v>9.6893970159707905</v>
      </c>
      <c r="AB408" s="7">
        <v>93.420977490925594</v>
      </c>
      <c r="AC408" s="2">
        <v>9.7596872962878898</v>
      </c>
      <c r="AD408" s="2">
        <v>109.595070606082</v>
      </c>
      <c r="AE408" s="2">
        <v>39.583749958849303</v>
      </c>
      <c r="AF408" s="2">
        <v>83.347554091825501</v>
      </c>
      <c r="AG408" s="2">
        <v>10.4878321179831</v>
      </c>
      <c r="AH408" s="2">
        <v>925.90473929714403</v>
      </c>
      <c r="AI408" s="2">
        <v>1477.6837304562</v>
      </c>
      <c r="AJ408" s="2">
        <v>97.534105830239994</v>
      </c>
      <c r="AK408" s="2">
        <v>32.1753761516254</v>
      </c>
      <c r="AL408" s="2">
        <v>107.28395031687801</v>
      </c>
      <c r="AM408" s="2">
        <v>17.345020567088</v>
      </c>
      <c r="AN408"/>
      <c r="AO408"/>
    </row>
    <row r="409" spans="1:41" ht="15.75" hidden="1" customHeight="1" x14ac:dyDescent="0.45">
      <c r="A409" s="2" t="s">
        <v>138</v>
      </c>
      <c r="B409" s="2" t="s">
        <v>113</v>
      </c>
      <c r="C409" s="2">
        <v>10</v>
      </c>
      <c r="D409" s="2"/>
      <c r="E409" s="2" t="s">
        <v>83</v>
      </c>
      <c r="F409" s="2" t="s">
        <v>84</v>
      </c>
      <c r="H409" s="2">
        <v>11.6</v>
      </c>
      <c r="J409" s="2">
        <v>11.60305692</v>
      </c>
      <c r="K409" s="2">
        <v>29.635426116666601</v>
      </c>
      <c r="L409" s="2"/>
      <c r="M409" s="2">
        <v>4.1507909072216602</v>
      </c>
      <c r="N409" s="2">
        <v>154.555555555555</v>
      </c>
      <c r="O409" s="2">
        <v>34.693232342495399</v>
      </c>
      <c r="P409" s="2">
        <v>27.335246497222201</v>
      </c>
      <c r="Q409" s="2">
        <v>4.3712399978155903</v>
      </c>
      <c r="R409" s="2">
        <v>6.9222333845000001</v>
      </c>
      <c r="S409" s="2">
        <v>4.8578016591552204</v>
      </c>
      <c r="T409" s="2">
        <v>5.8424879277777704</v>
      </c>
      <c r="U409" s="2">
        <v>2.6678999280713001</v>
      </c>
      <c r="V409" s="2">
        <v>0.36010577133333299</v>
      </c>
      <c r="W409" s="2">
        <v>0.17030513393091401</v>
      </c>
      <c r="X409" s="2">
        <v>4.77222762533333</v>
      </c>
      <c r="Y409" s="2">
        <v>0.69659457710453898</v>
      </c>
      <c r="Z409" s="7">
        <v>55.418326693227101</v>
      </c>
      <c r="AA409" s="2">
        <v>12.4398044255959</v>
      </c>
      <c r="AB409" s="7">
        <v>74.236634956392095</v>
      </c>
      <c r="AC409" s="2">
        <v>10.397716170729501</v>
      </c>
      <c r="AD409" s="2">
        <v>131.96172155574601</v>
      </c>
      <c r="AE409" s="2">
        <v>60.258689756616903</v>
      </c>
      <c r="AF409" s="2">
        <v>80.835398950424704</v>
      </c>
      <c r="AG409" s="2">
        <v>12.926568237362799</v>
      </c>
      <c r="AH409" s="2">
        <v>185.319049736305</v>
      </c>
      <c r="AI409" s="2">
        <v>130.05097304258501</v>
      </c>
      <c r="AJ409" s="2">
        <v>76.569583874840404</v>
      </c>
      <c r="AK409" s="2">
        <v>36.212119535202802</v>
      </c>
      <c r="AL409" s="2">
        <v>141.73719912230499</v>
      </c>
      <c r="AM409" s="2">
        <v>20.689156518532101</v>
      </c>
      <c r="AN409"/>
      <c r="AO409"/>
    </row>
    <row r="410" spans="1:41" ht="15.75" hidden="1" customHeight="1" x14ac:dyDescent="0.45">
      <c r="A410" s="2" t="s">
        <v>139</v>
      </c>
      <c r="B410" s="2" t="s">
        <v>140</v>
      </c>
      <c r="C410" s="2">
        <v>3.0000000000000001E-3</v>
      </c>
      <c r="D410" s="2"/>
      <c r="E410" s="2" t="s">
        <v>83</v>
      </c>
      <c r="F410" s="2" t="s">
        <v>84</v>
      </c>
      <c r="H410" s="2">
        <v>1.3</v>
      </c>
      <c r="J410" s="2">
        <v>1.3</v>
      </c>
      <c r="K410" s="2">
        <v>35.0499061319722</v>
      </c>
      <c r="L410" s="2"/>
      <c r="M410" s="2">
        <v>1.56072252519869</v>
      </c>
      <c r="N410" s="2">
        <v>268.2</v>
      </c>
      <c r="O410" s="2">
        <v>34.0546619422365</v>
      </c>
      <c r="P410" s="2">
        <v>15.227428944961099</v>
      </c>
      <c r="Q410" s="2">
        <v>1.06986979614652</v>
      </c>
      <c r="R410" s="2">
        <v>1.8620676327888801</v>
      </c>
      <c r="S410" s="2">
        <v>0.36376711051203098</v>
      </c>
      <c r="T410" s="2">
        <v>6.9950457293938797</v>
      </c>
      <c r="U410" s="2">
        <v>3.9796355444205802</v>
      </c>
      <c r="V410" s="2">
        <v>1.22487700231944</v>
      </c>
      <c r="W410" s="2">
        <v>0.56084291978370704</v>
      </c>
      <c r="X410" s="2">
        <v>3.3345202756894401</v>
      </c>
      <c r="Y410" s="2">
        <v>0.93010328756290594</v>
      </c>
      <c r="Z410" s="7">
        <v>115.691755734222</v>
      </c>
      <c r="AA410" s="2">
        <v>12.0306302094353</v>
      </c>
      <c r="AB410" s="7">
        <v>104.743727500991</v>
      </c>
      <c r="AC410" s="2">
        <v>4.8271609733817602</v>
      </c>
      <c r="AD410" s="2">
        <v>144.357480022836</v>
      </c>
      <c r="AE410" s="2">
        <v>52.723216601574102</v>
      </c>
      <c r="AF410" s="2">
        <v>99.532678965510001</v>
      </c>
      <c r="AG410" s="2">
        <v>4.7865128772515302</v>
      </c>
      <c r="AH410" s="2">
        <v>113.295159477607</v>
      </c>
      <c r="AI410" s="2">
        <v>41.173860772411601</v>
      </c>
      <c r="AJ410" s="2">
        <v>155.33615928580201</v>
      </c>
      <c r="AK410" s="2">
        <v>20.762480714041299</v>
      </c>
      <c r="AL410" s="2">
        <v>101.542092459923</v>
      </c>
      <c r="AM410" s="2">
        <v>23.5871573432023</v>
      </c>
      <c r="AN410"/>
      <c r="AO410"/>
    </row>
    <row r="411" spans="1:41" ht="15.75" hidden="1" customHeight="1" x14ac:dyDescent="0.45">
      <c r="A411" s="2" t="s">
        <v>139</v>
      </c>
      <c r="B411" s="2" t="s">
        <v>140</v>
      </c>
      <c r="C411" s="2">
        <v>0.01</v>
      </c>
      <c r="D411" s="2"/>
      <c r="E411" s="2" t="s">
        <v>83</v>
      </c>
      <c r="F411" s="2" t="s">
        <v>84</v>
      </c>
      <c r="H411" s="2">
        <v>1.3</v>
      </c>
      <c r="J411" s="2">
        <v>1.3</v>
      </c>
      <c r="K411" s="2">
        <v>32.962723676777699</v>
      </c>
      <c r="L411" s="2"/>
      <c r="M411" s="2">
        <v>2.0310771718459</v>
      </c>
      <c r="N411" s="2">
        <v>227.71111111111099</v>
      </c>
      <c r="O411" s="2">
        <v>14.620774159976801</v>
      </c>
      <c r="P411" s="2">
        <v>14.661789330866601</v>
      </c>
      <c r="Q411" s="2">
        <v>0.68688839673600499</v>
      </c>
      <c r="R411" s="2">
        <v>1.88969642295055</v>
      </c>
      <c r="S411" s="2">
        <v>0.99470296212607101</v>
      </c>
      <c r="T411" s="2">
        <v>4.7742766227154396</v>
      </c>
      <c r="U411" s="2">
        <v>0.76638413282931295</v>
      </c>
      <c r="V411" s="2">
        <v>0.64365473701388798</v>
      </c>
      <c r="W411" s="2">
        <v>0.30716887268401999</v>
      </c>
      <c r="X411" s="2">
        <v>4.0649087987305501</v>
      </c>
      <c r="Y411" s="2">
        <v>0.195967872448294</v>
      </c>
      <c r="Z411" s="7">
        <v>98.557388944429505</v>
      </c>
      <c r="AA411" s="2">
        <v>9.0263164650726395</v>
      </c>
      <c r="AB411" s="7">
        <v>98.669121228186697</v>
      </c>
      <c r="AC411" s="2">
        <v>9.4797896758108298</v>
      </c>
      <c r="AD411" s="2">
        <v>104.00497505243</v>
      </c>
      <c r="AE411" s="2">
        <v>12.181108160913301</v>
      </c>
      <c r="AF411" s="2">
        <v>96.078314135460801</v>
      </c>
      <c r="AG411" s="2">
        <v>8.1549935470065193</v>
      </c>
      <c r="AH411" s="2">
        <v>101.066569330731</v>
      </c>
      <c r="AI411" s="2">
        <v>9.2194286107805308</v>
      </c>
      <c r="AJ411" s="2">
        <v>80.163103375605601</v>
      </c>
      <c r="AK411" s="2">
        <v>7.5808792361905599</v>
      </c>
      <c r="AL411" s="2">
        <v>126.164813511418</v>
      </c>
      <c r="AM411" s="2">
        <v>27.994328625150899</v>
      </c>
      <c r="AN411"/>
      <c r="AO411"/>
    </row>
    <row r="412" spans="1:41" ht="15.75" hidden="1" customHeight="1" x14ac:dyDescent="0.45">
      <c r="A412" s="2" t="s">
        <v>139</v>
      </c>
      <c r="B412" s="2" t="s">
        <v>140</v>
      </c>
      <c r="C412" s="2">
        <v>0.03</v>
      </c>
      <c r="D412" s="2"/>
      <c r="E412" s="2" t="s">
        <v>83</v>
      </c>
      <c r="F412" s="2" t="s">
        <v>84</v>
      </c>
      <c r="H412" s="2">
        <v>1.3</v>
      </c>
      <c r="J412" s="2">
        <v>1.3</v>
      </c>
      <c r="K412" s="2">
        <v>37.225018942366603</v>
      </c>
      <c r="L412" s="2"/>
      <c r="M412" s="2">
        <v>4.53987688194524</v>
      </c>
      <c r="N412" s="2">
        <v>233.41111111111101</v>
      </c>
      <c r="O412" s="2">
        <v>8.2990182373402597</v>
      </c>
      <c r="P412" s="2">
        <v>13.552136436277699</v>
      </c>
      <c r="Q412" s="2">
        <v>2.2291901961859799</v>
      </c>
      <c r="R412" s="2">
        <v>1.5887443153443801</v>
      </c>
      <c r="S412" s="2">
        <v>0.21874712132886301</v>
      </c>
      <c r="T412" s="2">
        <v>6.0097698905788803</v>
      </c>
      <c r="U412" s="2">
        <v>2.8887237769591598</v>
      </c>
      <c r="V412" s="2">
        <v>0.64803232503172203</v>
      </c>
      <c r="W412" s="2">
        <v>0.391569613094362</v>
      </c>
      <c r="X412" s="2">
        <v>3.7065863769494398</v>
      </c>
      <c r="Y412" s="2">
        <v>0.63018486824416797</v>
      </c>
      <c r="Z412" s="7">
        <v>100.954020963755</v>
      </c>
      <c r="AA412" s="2">
        <v>6.0311849987735702</v>
      </c>
      <c r="AB412" s="7">
        <v>111.722558104524</v>
      </c>
      <c r="AC412" s="2">
        <v>19.072397665286001</v>
      </c>
      <c r="AD412" s="2">
        <v>127.175224474861</v>
      </c>
      <c r="AE412" s="2">
        <v>51.804459758108401</v>
      </c>
      <c r="AF412" s="2">
        <v>88.228382430835694</v>
      </c>
      <c r="AG412" s="2">
        <v>10.2498929291132</v>
      </c>
      <c r="AH412" s="2">
        <v>101.185986520043</v>
      </c>
      <c r="AI412" s="2">
        <v>47.7621055611543</v>
      </c>
      <c r="AJ412" s="2">
        <v>87.312375125180793</v>
      </c>
      <c r="AK412" s="2">
        <v>44.928154672957803</v>
      </c>
      <c r="AL412" s="2">
        <v>116.901746253822</v>
      </c>
      <c r="AM412" s="2">
        <v>41.514029893659199</v>
      </c>
      <c r="AN412"/>
      <c r="AO412"/>
    </row>
    <row r="413" spans="1:41" ht="15.75" hidden="1" customHeight="1" x14ac:dyDescent="0.45">
      <c r="A413" s="2" t="s">
        <v>139</v>
      </c>
      <c r="B413" s="2" t="s">
        <v>140</v>
      </c>
      <c r="C413" s="2">
        <v>0.1</v>
      </c>
      <c r="D413" s="2"/>
      <c r="E413" s="2" t="s">
        <v>83</v>
      </c>
      <c r="F413" s="2" t="s">
        <v>84</v>
      </c>
      <c r="H413" s="2">
        <v>1.3</v>
      </c>
      <c r="J413" s="2">
        <v>1.3</v>
      </c>
      <c r="K413" s="2">
        <v>34.0143824840222</v>
      </c>
      <c r="L413" s="2"/>
      <c r="M413" s="2">
        <v>3.6032736524528501</v>
      </c>
      <c r="N413" s="2">
        <v>217.64444444444399</v>
      </c>
      <c r="O413" s="2">
        <v>30.5023921344855</v>
      </c>
      <c r="P413" s="2">
        <v>12.8090326229055</v>
      </c>
      <c r="Q413" s="2">
        <v>0.24614658004181</v>
      </c>
      <c r="R413" s="2">
        <v>2.0293791666255498</v>
      </c>
      <c r="S413" s="2">
        <v>0.87922490554726596</v>
      </c>
      <c r="T413" s="2">
        <v>4.0448250427477701</v>
      </c>
      <c r="U413" s="2">
        <v>1.1449054744773499</v>
      </c>
      <c r="V413" s="2">
        <v>0.55172959186100001</v>
      </c>
      <c r="W413" s="2">
        <v>0.16887271788563399</v>
      </c>
      <c r="X413" s="2">
        <v>3.9623496947799999</v>
      </c>
      <c r="Y413" s="2">
        <v>0.22722939803231099</v>
      </c>
      <c r="Z413" s="7">
        <v>93.854383876555801</v>
      </c>
      <c r="AA413" s="2">
        <v>10.5365807511829</v>
      </c>
      <c r="AB413" s="7">
        <v>101.36668705421501</v>
      </c>
      <c r="AC413" s="2">
        <v>5.2255164861599104</v>
      </c>
      <c r="AD413" s="2">
        <v>86.8288425942754</v>
      </c>
      <c r="AE413" s="2">
        <v>12.966114867960201</v>
      </c>
      <c r="AF413" s="2">
        <v>83.891657243015601</v>
      </c>
      <c r="AG413" s="2">
        <v>4.9557730875452597</v>
      </c>
      <c r="AH413" s="2">
        <v>111.31821956067699</v>
      </c>
      <c r="AI413" s="2">
        <v>15.910326034666999</v>
      </c>
      <c r="AJ413" s="2">
        <v>84.455365639838604</v>
      </c>
      <c r="AK413" s="2">
        <v>60.677512740094897</v>
      </c>
      <c r="AL413" s="2">
        <v>123.305530413078</v>
      </c>
      <c r="AM413" s="2">
        <v>30.037387299199299</v>
      </c>
      <c r="AN413"/>
      <c r="AO413"/>
    </row>
    <row r="414" spans="1:41" ht="15.75" hidden="1" customHeight="1" x14ac:dyDescent="0.45">
      <c r="A414" s="2" t="s">
        <v>139</v>
      </c>
      <c r="B414" s="2" t="s">
        <v>140</v>
      </c>
      <c r="C414" s="2">
        <v>0.3</v>
      </c>
      <c r="D414" s="2"/>
      <c r="E414" s="2" t="s">
        <v>83</v>
      </c>
      <c r="F414" s="2" t="s">
        <v>84</v>
      </c>
      <c r="H414" s="2">
        <v>1.3</v>
      </c>
      <c r="J414" s="2">
        <v>1.3</v>
      </c>
      <c r="K414" s="2">
        <v>33.5463407648</v>
      </c>
      <c r="L414" s="2"/>
      <c r="M414" s="2">
        <v>2.7311256540255502</v>
      </c>
      <c r="N414" s="2">
        <v>190.666666666666</v>
      </c>
      <c r="O414" s="2">
        <v>53.500778810530697</v>
      </c>
      <c r="P414" s="2">
        <v>13.044374979024401</v>
      </c>
      <c r="Q414" s="2">
        <v>1.41777017984636</v>
      </c>
      <c r="R414" s="2">
        <v>2.1832559119755501</v>
      </c>
      <c r="S414" s="2">
        <v>1.3204386147113401</v>
      </c>
      <c r="T414" s="2">
        <v>6.7394256458877697</v>
      </c>
      <c r="U414" s="2">
        <v>2.4153220903752901</v>
      </c>
      <c r="V414" s="2">
        <v>0.68330750045288802</v>
      </c>
      <c r="W414" s="2">
        <v>0.20363279969783801</v>
      </c>
      <c r="X414" s="2">
        <v>3.60139155016555</v>
      </c>
      <c r="Y414" s="2">
        <v>0.50089794733069903</v>
      </c>
      <c r="Z414" s="7">
        <v>82.418388047696894</v>
      </c>
      <c r="AA414" s="2">
        <v>23.424080169104599</v>
      </c>
      <c r="AB414" s="7">
        <v>100.688715682305</v>
      </c>
      <c r="AC414" s="2">
        <v>14.2500773602656</v>
      </c>
      <c r="AD414" s="2">
        <v>143.76935412537699</v>
      </c>
      <c r="AE414" s="2">
        <v>36.145912504012898</v>
      </c>
      <c r="AF414" s="2">
        <v>85.607802511173304</v>
      </c>
      <c r="AG414" s="2">
        <v>12.3766072837498</v>
      </c>
      <c r="AH414" s="2">
        <v>118.94428501963201</v>
      </c>
      <c r="AI414" s="2">
        <v>42.745786943539997</v>
      </c>
      <c r="AJ414" s="2">
        <v>107.64829064366199</v>
      </c>
      <c r="AK414" s="2">
        <v>78.6087530609569</v>
      </c>
      <c r="AL414" s="2">
        <v>115.372182475177</v>
      </c>
      <c r="AM414" s="2">
        <v>47.766067452725402</v>
      </c>
      <c r="AN414"/>
      <c r="AO414"/>
    </row>
    <row r="415" spans="1:41" ht="15.75" hidden="1" customHeight="1" x14ac:dyDescent="0.45">
      <c r="A415" s="2" t="s">
        <v>139</v>
      </c>
      <c r="B415" s="2" t="s">
        <v>140</v>
      </c>
      <c r="C415" s="2">
        <v>1</v>
      </c>
      <c r="D415" s="2"/>
      <c r="E415" s="2" t="s">
        <v>83</v>
      </c>
      <c r="F415" s="2" t="s">
        <v>84</v>
      </c>
      <c r="H415" s="2">
        <v>1.3</v>
      </c>
      <c r="J415" s="2">
        <v>1.3</v>
      </c>
      <c r="K415" s="2">
        <v>43.132062146666598</v>
      </c>
      <c r="L415" s="2"/>
      <c r="M415" s="2">
        <v>0</v>
      </c>
      <c r="N415" s="2">
        <v>132.666666666666</v>
      </c>
      <c r="O415" s="2">
        <v>0</v>
      </c>
      <c r="P415" s="2">
        <v>4.4314971749999996</v>
      </c>
      <c r="Q415" s="2">
        <v>0</v>
      </c>
      <c r="R415" s="2">
        <v>3.62523540489999</v>
      </c>
      <c r="S415" s="2">
        <v>0</v>
      </c>
      <c r="T415" s="2">
        <v>4.9023069679999898</v>
      </c>
      <c r="U415" s="2">
        <v>0</v>
      </c>
      <c r="V415" s="2">
        <v>0.5649717514</v>
      </c>
      <c r="W415" s="2">
        <v>0</v>
      </c>
      <c r="X415" s="2">
        <v>1.8891242937999899</v>
      </c>
      <c r="Y415" s="2">
        <v>0</v>
      </c>
      <c r="Z415" s="7">
        <v>57.746019079400703</v>
      </c>
      <c r="AA415" s="2">
        <v>0</v>
      </c>
      <c r="AB415" s="7">
        <v>136.80793551635099</v>
      </c>
      <c r="AC415" s="2">
        <v>0</v>
      </c>
      <c r="AD415" s="2">
        <v>84.475264192782504</v>
      </c>
      <c r="AE415" s="2">
        <v>0</v>
      </c>
      <c r="AF415" s="2">
        <v>29.8164191106179</v>
      </c>
      <c r="AG415" s="2">
        <v>0</v>
      </c>
      <c r="AH415" s="2">
        <v>230.68064494543501</v>
      </c>
      <c r="AI415" s="2">
        <v>0</v>
      </c>
      <c r="AJ415" s="2">
        <v>67.194441471030601</v>
      </c>
      <c r="AK415" s="2">
        <v>0</v>
      </c>
      <c r="AL415" s="2">
        <v>48.595048947381201</v>
      </c>
      <c r="AM415" s="2">
        <v>0</v>
      </c>
      <c r="AN415"/>
      <c r="AO415"/>
    </row>
    <row r="416" spans="1:41" ht="15.75" hidden="1" customHeight="1" x14ac:dyDescent="0.45">
      <c r="A416" s="2" t="s">
        <v>139</v>
      </c>
      <c r="B416" s="2" t="s">
        <v>140</v>
      </c>
      <c r="C416" s="2">
        <v>3</v>
      </c>
      <c r="D416" s="2"/>
      <c r="E416" s="2" t="s">
        <v>83</v>
      </c>
      <c r="F416" s="2" t="s">
        <v>84</v>
      </c>
      <c r="H416" s="2">
        <v>1.3</v>
      </c>
      <c r="J416" s="2">
        <v>1.3</v>
      </c>
      <c r="K416" s="2">
        <v>3.1518744515244399</v>
      </c>
      <c r="L416" s="2"/>
      <c r="M416" s="2">
        <v>1.9539203951081601</v>
      </c>
      <c r="N416" s="2">
        <v>45.544444444444402</v>
      </c>
      <c r="O416" s="2">
        <v>1.4384920087573001</v>
      </c>
      <c r="P416" s="2">
        <v>13.286565776114401</v>
      </c>
      <c r="Q416" s="2">
        <v>4.6851273118615904</v>
      </c>
      <c r="R416" s="2">
        <v>0</v>
      </c>
      <c r="S416" s="2">
        <v>0</v>
      </c>
      <c r="T416" s="2">
        <v>18.1879092220444</v>
      </c>
      <c r="U416" s="2">
        <v>8.0290888905058306</v>
      </c>
      <c r="V416" s="2">
        <v>0.53548085900666598</v>
      </c>
      <c r="W416" s="2">
        <v>0.47219100916420198</v>
      </c>
      <c r="X416" s="2">
        <v>5.1680909641700001</v>
      </c>
      <c r="Y416" s="2">
        <v>1.91779430945754</v>
      </c>
      <c r="Z416" s="7">
        <v>19.690357357129599</v>
      </c>
      <c r="AA416" s="2">
        <v>0.90017531073534995</v>
      </c>
      <c r="AB416" s="7">
        <v>9.5439484351178105</v>
      </c>
      <c r="AC416" s="2">
        <v>5.9678817188835502</v>
      </c>
      <c r="AD416" s="2">
        <v>411.37766062218702</v>
      </c>
      <c r="AE416" s="2">
        <v>231.45806180967699</v>
      </c>
      <c r="AF416" s="2">
        <v>85.572771254419806</v>
      </c>
      <c r="AG416" s="2">
        <v>23.8353432855595</v>
      </c>
      <c r="AH416" s="2">
        <v>0</v>
      </c>
      <c r="AI416" s="2">
        <v>0</v>
      </c>
      <c r="AJ416" s="2">
        <v>56.035626460728601</v>
      </c>
      <c r="AK416" s="2">
        <v>48.536612302337801</v>
      </c>
      <c r="AL416" s="2">
        <v>171.04817213293899</v>
      </c>
      <c r="AM416" s="2">
        <v>105.174778659231</v>
      </c>
      <c r="AN416"/>
      <c r="AO416"/>
    </row>
    <row r="417" spans="1:41" ht="15.75" hidden="1" customHeight="1" x14ac:dyDescent="0.45">
      <c r="A417" s="2" t="s">
        <v>139</v>
      </c>
      <c r="B417" s="2" t="s">
        <v>140</v>
      </c>
      <c r="C417" s="2">
        <v>10</v>
      </c>
      <c r="D417" s="2"/>
      <c r="E417" s="2" t="s">
        <v>83</v>
      </c>
      <c r="F417" s="2" t="s">
        <v>84</v>
      </c>
      <c r="H417" s="2">
        <v>1.3</v>
      </c>
      <c r="J417" s="2">
        <v>1.3</v>
      </c>
      <c r="K417" s="2">
        <v>0</v>
      </c>
      <c r="L417" s="2"/>
      <c r="M417" s="2">
        <v>0</v>
      </c>
      <c r="N417" s="2">
        <v>53.5</v>
      </c>
      <c r="O417" s="2">
        <v>11.1218004138019</v>
      </c>
      <c r="P417" s="2">
        <v>0.43092105263333302</v>
      </c>
      <c r="Q417" s="2">
        <v>0.48710257573291199</v>
      </c>
      <c r="R417" s="2">
        <v>0</v>
      </c>
      <c r="S417" s="2">
        <v>0</v>
      </c>
      <c r="T417" s="2">
        <v>18.170990501205502</v>
      </c>
      <c r="U417" s="2">
        <v>5.8314453927936398</v>
      </c>
      <c r="V417" s="2">
        <v>0</v>
      </c>
      <c r="W417" s="2">
        <v>0</v>
      </c>
      <c r="X417" s="2">
        <v>2.6926212128444398</v>
      </c>
      <c r="Y417" s="2">
        <v>2.5830944479204798</v>
      </c>
      <c r="Z417" s="7">
        <v>23.131499464607501</v>
      </c>
      <c r="AA417" s="2">
        <v>4.9133841482084701</v>
      </c>
      <c r="AB417" s="7">
        <v>0</v>
      </c>
      <c r="AC417" s="2">
        <v>0</v>
      </c>
      <c r="AD417" s="2">
        <v>388.673141083997</v>
      </c>
      <c r="AE417" s="2">
        <v>73.006139265743002</v>
      </c>
      <c r="AF417" s="2">
        <v>2.6621848106028101</v>
      </c>
      <c r="AG417" s="2">
        <v>2.8947736183797099</v>
      </c>
      <c r="AH417" s="2">
        <v>0</v>
      </c>
      <c r="AI417" s="2">
        <v>0</v>
      </c>
      <c r="AJ417" s="2">
        <v>0</v>
      </c>
      <c r="AK417" s="2">
        <v>0</v>
      </c>
      <c r="AL417" s="2">
        <v>98.351793779576198</v>
      </c>
      <c r="AM417" s="2">
        <v>115.45324562213401</v>
      </c>
      <c r="AN417"/>
      <c r="AO417"/>
    </row>
    <row r="418" spans="1:41" ht="15.75" hidden="1" customHeight="1" x14ac:dyDescent="0.45">
      <c r="A418" s="2" t="s">
        <v>139</v>
      </c>
      <c r="B418" s="2" t="s">
        <v>140</v>
      </c>
      <c r="C418" s="2">
        <v>3.0000000000000001E-3</v>
      </c>
      <c r="D418" s="2"/>
      <c r="E418" s="2" t="s">
        <v>83</v>
      </c>
      <c r="F418" s="2" t="s">
        <v>84</v>
      </c>
      <c r="H418" s="2">
        <v>1.1000000000000001</v>
      </c>
      <c r="J418" s="2">
        <v>1.0679738059999999</v>
      </c>
      <c r="K418" s="2">
        <v>44.637828964500002</v>
      </c>
      <c r="L418" s="2"/>
      <c r="M418" s="2">
        <v>0.581036913895152</v>
      </c>
      <c r="N418" s="2">
        <v>360.222222222222</v>
      </c>
      <c r="O418" s="2">
        <v>17.728142515138199</v>
      </c>
      <c r="P418" s="2">
        <v>19.0425849036111</v>
      </c>
      <c r="Q418" s="2">
        <v>1.0258076239777301</v>
      </c>
      <c r="R418" s="2">
        <v>5.0343506031</v>
      </c>
      <c r="S418" s="2">
        <v>1.3741998744558099</v>
      </c>
      <c r="T418" s="2">
        <v>3.7879808025233301</v>
      </c>
      <c r="U418" s="2">
        <v>0.28805556428504497</v>
      </c>
      <c r="V418" s="2">
        <v>0.378315512409999</v>
      </c>
      <c r="W418" s="2">
        <v>7.0666386881542503E-2</v>
      </c>
      <c r="X418" s="2">
        <v>3.04758487677777</v>
      </c>
      <c r="Y418" s="2">
        <v>0.43615562574605998</v>
      </c>
      <c r="Z418" s="7">
        <v>100.519339586078</v>
      </c>
      <c r="AA418" s="2">
        <v>4.9470051201067804</v>
      </c>
      <c r="AB418" s="7">
        <v>97.169463524007895</v>
      </c>
      <c r="AC418" s="2">
        <v>1.26482507148227</v>
      </c>
      <c r="AD418" s="2">
        <v>85.854556444144706</v>
      </c>
      <c r="AE418" s="2">
        <v>6.5287772014277703</v>
      </c>
      <c r="AF418" s="2">
        <v>98.831428808698504</v>
      </c>
      <c r="AG418" s="2">
        <v>5.3239638249610799</v>
      </c>
      <c r="AH418" s="2">
        <v>89.762328319172795</v>
      </c>
      <c r="AI418" s="2">
        <v>24.501944745586901</v>
      </c>
      <c r="AJ418" s="2">
        <v>93.742149160629097</v>
      </c>
      <c r="AK418" s="2">
        <v>17.510302280476001</v>
      </c>
      <c r="AL418" s="2">
        <v>90.612851713858007</v>
      </c>
      <c r="AM418" s="2">
        <v>12.9680736182411</v>
      </c>
      <c r="AN418"/>
      <c r="AO418"/>
    </row>
    <row r="419" spans="1:41" ht="15.75" hidden="1" customHeight="1" x14ac:dyDescent="0.45">
      <c r="A419" s="2" t="s">
        <v>139</v>
      </c>
      <c r="B419" s="2" t="s">
        <v>140</v>
      </c>
      <c r="C419" s="2">
        <v>0.01</v>
      </c>
      <c r="D419" s="2"/>
      <c r="E419" s="2" t="s">
        <v>83</v>
      </c>
      <c r="F419" s="2" t="s">
        <v>84</v>
      </c>
      <c r="H419" s="2">
        <v>1.1000000000000001</v>
      </c>
      <c r="J419" s="2">
        <v>1.0679738059999999</v>
      </c>
      <c r="K419" s="2">
        <v>46.999249320166598</v>
      </c>
      <c r="L419" s="2"/>
      <c r="M419" s="2">
        <v>3.6716943047333301</v>
      </c>
      <c r="N419" s="2">
        <v>366.11111111111097</v>
      </c>
      <c r="O419" s="2">
        <v>48.177142267231297</v>
      </c>
      <c r="P419" s="2">
        <v>19.117778110666599</v>
      </c>
      <c r="Q419" s="2">
        <v>1.6635027600391199</v>
      </c>
      <c r="R419" s="2">
        <v>4.59240349046111</v>
      </c>
      <c r="S419" s="2">
        <v>0.34836341479959398</v>
      </c>
      <c r="T419" s="2">
        <v>3.4883807847222199</v>
      </c>
      <c r="U419" s="2">
        <v>1.0626893442301799</v>
      </c>
      <c r="V419" s="2">
        <v>0.41980268927333297</v>
      </c>
      <c r="W419" s="2">
        <v>8.8751017581046907E-2</v>
      </c>
      <c r="X419" s="2">
        <v>3.2419245923444402</v>
      </c>
      <c r="Y419" s="2">
        <v>0.27591305545515199</v>
      </c>
      <c r="Z419" s="7">
        <v>102.16262305247599</v>
      </c>
      <c r="AA419" s="2">
        <v>13.443741738007301</v>
      </c>
      <c r="AB419" s="7">
        <v>102.309900557746</v>
      </c>
      <c r="AC419" s="2">
        <v>7.9926953010827297</v>
      </c>
      <c r="AD419" s="2">
        <v>79.064124290465998</v>
      </c>
      <c r="AE419" s="2">
        <v>24.085846006934599</v>
      </c>
      <c r="AF419" s="2">
        <v>99.221683184752195</v>
      </c>
      <c r="AG419" s="2">
        <v>8.6336154169229005</v>
      </c>
      <c r="AH419" s="2">
        <v>81.882423848480002</v>
      </c>
      <c r="AI419" s="2">
        <v>6.2113097952244898</v>
      </c>
      <c r="AJ419" s="2">
        <v>104.02218525272799</v>
      </c>
      <c r="AK419" s="2">
        <v>21.991461770205198</v>
      </c>
      <c r="AL419" s="2">
        <v>96.391091382567197</v>
      </c>
      <c r="AM419" s="2">
        <v>8.2036333000539994</v>
      </c>
      <c r="AN419"/>
      <c r="AO419"/>
    </row>
    <row r="420" spans="1:41" ht="15.75" hidden="1" customHeight="1" x14ac:dyDescent="0.45">
      <c r="A420" s="2" t="s">
        <v>139</v>
      </c>
      <c r="B420" s="2" t="s">
        <v>140</v>
      </c>
      <c r="C420" s="2">
        <v>0.03</v>
      </c>
      <c r="D420" s="2"/>
      <c r="E420" s="2" t="s">
        <v>83</v>
      </c>
      <c r="F420" s="2" t="s">
        <v>84</v>
      </c>
      <c r="H420" s="2">
        <v>1.1000000000000001</v>
      </c>
      <c r="J420" s="2">
        <v>1.0679738059999999</v>
      </c>
      <c r="K420" s="2">
        <v>46.162258838444401</v>
      </c>
      <c r="L420" s="2"/>
      <c r="M420" s="2">
        <v>0.71612726307681895</v>
      </c>
      <c r="N420" s="2">
        <v>375.222222222222</v>
      </c>
      <c r="O420" s="2">
        <v>15.907137927263699</v>
      </c>
      <c r="P420" s="2">
        <v>18.607381005127699</v>
      </c>
      <c r="Q420" s="2">
        <v>3.7259739431979</v>
      </c>
      <c r="R420" s="2">
        <v>5.7616086057944402</v>
      </c>
      <c r="S420" s="2">
        <v>0.79129564345985404</v>
      </c>
      <c r="T420" s="2">
        <v>4.7009373183977701</v>
      </c>
      <c r="U420" s="2">
        <v>2.6555371571937498</v>
      </c>
      <c r="V420" s="2">
        <v>0.38311184484833299</v>
      </c>
      <c r="W420" s="2">
        <v>5.6641168394968001E-2</v>
      </c>
      <c r="X420" s="2">
        <v>3.66959035507222</v>
      </c>
      <c r="Y420" s="2">
        <v>0.35815886189747898</v>
      </c>
      <c r="Z420" s="7">
        <v>104.705061623129</v>
      </c>
      <c r="AA420" s="2">
        <v>4.4388571845709199</v>
      </c>
      <c r="AB420" s="7">
        <v>100.48790522396</v>
      </c>
      <c r="AC420" s="2">
        <v>1.5588953043265401</v>
      </c>
      <c r="AD420" s="2">
        <v>106.546709020783</v>
      </c>
      <c r="AE420" s="2">
        <v>60.187729726597702</v>
      </c>
      <c r="AF420" s="2">
        <v>96.572711133134007</v>
      </c>
      <c r="AG420" s="2">
        <v>19.3378856060869</v>
      </c>
      <c r="AH420" s="2">
        <v>102.729317859076</v>
      </c>
      <c r="AI420" s="2">
        <v>14.108778856609099</v>
      </c>
      <c r="AJ420" s="2">
        <v>94.930624113701995</v>
      </c>
      <c r="AK420" s="2">
        <v>14.0350175505334</v>
      </c>
      <c r="AL420" s="2">
        <v>109.10673866</v>
      </c>
      <c r="AM420" s="2">
        <v>10.6490211611215</v>
      </c>
      <c r="AN420"/>
      <c r="AO420"/>
    </row>
    <row r="421" spans="1:41" ht="15.75" hidden="1" customHeight="1" x14ac:dyDescent="0.45">
      <c r="A421" s="2" t="s">
        <v>139</v>
      </c>
      <c r="B421" s="2" t="s">
        <v>140</v>
      </c>
      <c r="C421" s="2">
        <v>0.1</v>
      </c>
      <c r="D421" s="2"/>
      <c r="E421" s="2" t="s">
        <v>83</v>
      </c>
      <c r="F421" s="2" t="s">
        <v>84</v>
      </c>
      <c r="H421" s="2">
        <v>1.1000000000000001</v>
      </c>
      <c r="J421" s="2">
        <v>1.0679738059999999</v>
      </c>
      <c r="K421" s="2">
        <v>48.929924146166599</v>
      </c>
      <c r="L421" s="2"/>
      <c r="M421" s="2">
        <v>0.76012421129579699</v>
      </c>
      <c r="N421" s="2">
        <v>382.666666666666</v>
      </c>
      <c r="O421" s="2">
        <v>26.926339851116701</v>
      </c>
      <c r="P421" s="2">
        <v>18.134751242388798</v>
      </c>
      <c r="Q421" s="2">
        <v>1.8770288980388701</v>
      </c>
      <c r="R421" s="2">
        <v>8.6145654065888895</v>
      </c>
      <c r="S421" s="2">
        <v>2.0860013326594502</v>
      </c>
      <c r="T421" s="2">
        <v>4.98991843621</v>
      </c>
      <c r="U421" s="2">
        <v>2.5352491355923301</v>
      </c>
      <c r="V421" s="2">
        <v>0.41602527553555502</v>
      </c>
      <c r="W421" s="2">
        <v>7.5965476956459305E-2</v>
      </c>
      <c r="X421" s="2">
        <v>3.6503550398055502</v>
      </c>
      <c r="Y421" s="2">
        <v>5.9136918735782397E-2</v>
      </c>
      <c r="Z421" s="7">
        <v>106.782419967444</v>
      </c>
      <c r="AA421" s="2">
        <v>7.5137449394636304</v>
      </c>
      <c r="AB421" s="7">
        <v>106.512672991659</v>
      </c>
      <c r="AC421" s="2">
        <v>1.6546696722630201</v>
      </c>
      <c r="AD421" s="2">
        <v>113.09646388595399</v>
      </c>
      <c r="AE421" s="2">
        <v>57.461402620279202</v>
      </c>
      <c r="AF421" s="2">
        <v>94.119752410070006</v>
      </c>
      <c r="AG421" s="2">
        <v>9.7418207059284292</v>
      </c>
      <c r="AH421" s="2">
        <v>153.59745661676101</v>
      </c>
      <c r="AI421" s="2">
        <v>37.193344536058099</v>
      </c>
      <c r="AJ421" s="2">
        <v>103.086186409349</v>
      </c>
      <c r="AK421" s="2">
        <v>18.8233546823033</v>
      </c>
      <c r="AL421" s="2">
        <v>108.534821276104</v>
      </c>
      <c r="AM421" s="2">
        <v>1.7582988054086801</v>
      </c>
      <c r="AN421"/>
      <c r="AO421"/>
    </row>
    <row r="422" spans="1:41" ht="15.75" hidden="1" customHeight="1" x14ac:dyDescent="0.45">
      <c r="A422" s="2" t="s">
        <v>139</v>
      </c>
      <c r="B422" s="2" t="s">
        <v>140</v>
      </c>
      <c r="C422" s="2">
        <v>0.3</v>
      </c>
      <c r="D422" s="2"/>
      <c r="E422" s="2" t="s">
        <v>83</v>
      </c>
      <c r="F422" s="2" t="s">
        <v>84</v>
      </c>
      <c r="H422" s="2">
        <v>1.1000000000000001</v>
      </c>
      <c r="J422" s="2">
        <v>1.0679738059999999</v>
      </c>
      <c r="K422" s="2">
        <v>43.577788293222198</v>
      </c>
      <c r="L422" s="2"/>
      <c r="M422" s="2">
        <v>1.7335370161044401</v>
      </c>
      <c r="N422" s="2">
        <v>318.666666666666</v>
      </c>
      <c r="O422" s="2">
        <v>25.120266276011499</v>
      </c>
      <c r="P422" s="2">
        <v>18.8245965482222</v>
      </c>
      <c r="Q422" s="2">
        <v>3.0494280007032901</v>
      </c>
      <c r="R422" s="2">
        <v>11.567816653766601</v>
      </c>
      <c r="S422" s="2">
        <v>7.1512909147157497</v>
      </c>
      <c r="T422" s="2">
        <v>3.5470736483844401</v>
      </c>
      <c r="U422" s="2">
        <v>0.52984846255169105</v>
      </c>
      <c r="V422" s="2">
        <v>0.41371240131944398</v>
      </c>
      <c r="W422" s="2">
        <v>0.142321949602978</v>
      </c>
      <c r="X422" s="2">
        <v>4.1033579761222203</v>
      </c>
      <c r="Y422" s="2">
        <v>0.117620127205968</v>
      </c>
      <c r="Z422" s="7">
        <v>88.923339276025104</v>
      </c>
      <c r="AA422" s="2">
        <v>7.0097634752066904</v>
      </c>
      <c r="AB422" s="7">
        <v>94.861923356147003</v>
      </c>
      <c r="AC422" s="2">
        <v>3.7736347345172701</v>
      </c>
      <c r="AD422" s="2">
        <v>80.394397604628494</v>
      </c>
      <c r="AE422" s="2">
        <v>12.0090114249482</v>
      </c>
      <c r="AF422" s="2">
        <v>97.700064514628494</v>
      </c>
      <c r="AG422" s="2">
        <v>15.826597485807101</v>
      </c>
      <c r="AH422" s="2">
        <v>206.25384250592501</v>
      </c>
      <c r="AI422" s="2">
        <v>127.50731397160899</v>
      </c>
      <c r="AJ422" s="2">
        <v>102.51308329133199</v>
      </c>
      <c r="AK422" s="2">
        <v>35.265710738435203</v>
      </c>
      <c r="AL422" s="2">
        <v>122.003810509902</v>
      </c>
      <c r="AM422" s="2">
        <v>3.4971610557236099</v>
      </c>
      <c r="AN422"/>
      <c r="AO422"/>
    </row>
    <row r="423" spans="1:41" ht="15.75" hidden="1" customHeight="1" x14ac:dyDescent="0.45">
      <c r="A423" s="2" t="s">
        <v>139</v>
      </c>
      <c r="B423" s="2" t="s">
        <v>140</v>
      </c>
      <c r="C423" s="2">
        <v>1</v>
      </c>
      <c r="D423" s="2"/>
      <c r="E423" s="2" t="s">
        <v>83</v>
      </c>
      <c r="F423" s="2" t="s">
        <v>84</v>
      </c>
      <c r="H423" s="2">
        <v>1.1000000000000001</v>
      </c>
      <c r="J423" s="2">
        <v>1.0679738059999999</v>
      </c>
      <c r="K423" s="2">
        <v>47.922674938499902</v>
      </c>
      <c r="L423" s="2"/>
      <c r="M423" s="2">
        <v>14.062484033461301</v>
      </c>
      <c r="N423" s="2">
        <v>94.6944444444444</v>
      </c>
      <c r="O423" s="2">
        <v>97.940044490569903</v>
      </c>
      <c r="P423" s="2">
        <v>12.148613615527699</v>
      </c>
      <c r="Q423" s="2">
        <v>3.5940351356851399</v>
      </c>
      <c r="R423" s="2">
        <v>7.3265274234111102</v>
      </c>
      <c r="S423" s="2">
        <v>6.82288150527169</v>
      </c>
      <c r="T423" s="2">
        <v>25.435278555599901</v>
      </c>
      <c r="U423" s="2">
        <v>2.2630628102252701</v>
      </c>
      <c r="V423" s="2">
        <v>1.9566885653930499</v>
      </c>
      <c r="W423" s="2">
        <v>1.31535350426805</v>
      </c>
      <c r="X423" s="2">
        <v>4.95416806285</v>
      </c>
      <c r="Y423" s="2">
        <v>2.2891720234761399</v>
      </c>
      <c r="Z423" s="7">
        <v>26.424308193163299</v>
      </c>
      <c r="AA423" s="2">
        <v>27.329986835598099</v>
      </c>
      <c r="AB423" s="7">
        <v>104.32005145485</v>
      </c>
      <c r="AC423" s="2">
        <v>30.611794100315301</v>
      </c>
      <c r="AD423" s="2">
        <v>576.49039746178903</v>
      </c>
      <c r="AE423" s="2">
        <v>51.292301599760798</v>
      </c>
      <c r="AF423" s="2">
        <v>63.051568247950001</v>
      </c>
      <c r="AG423" s="2">
        <v>18.653120332474799</v>
      </c>
      <c r="AH423" s="2">
        <v>130.63177594637301</v>
      </c>
      <c r="AI423" s="2">
        <v>121.651783525344</v>
      </c>
      <c r="AJ423" s="2">
        <v>484.84448916592902</v>
      </c>
      <c r="AK423" s="2">
        <v>325.92917908801297</v>
      </c>
      <c r="AL423" s="2">
        <v>147.300670595003</v>
      </c>
      <c r="AM423" s="2">
        <v>68.063208572576599</v>
      </c>
      <c r="AN423"/>
      <c r="AO423"/>
    </row>
    <row r="424" spans="1:41" ht="15.75" hidden="1" customHeight="1" x14ac:dyDescent="0.45">
      <c r="A424" s="2" t="s">
        <v>139</v>
      </c>
      <c r="B424" s="2" t="s">
        <v>140</v>
      </c>
      <c r="C424" s="2">
        <v>3</v>
      </c>
      <c r="D424" s="2"/>
      <c r="E424" s="2" t="s">
        <v>83</v>
      </c>
      <c r="F424" s="2" t="s">
        <v>84</v>
      </c>
      <c r="H424" s="2">
        <v>1.1000000000000001</v>
      </c>
      <c r="J424" s="2">
        <v>1.0679738059999999</v>
      </c>
      <c r="K424" s="2">
        <v>25.226447277255499</v>
      </c>
      <c r="L424" s="2"/>
      <c r="M424" s="2">
        <v>3.2941602361002</v>
      </c>
      <c r="N424" s="2">
        <v>115.19999999999899</v>
      </c>
      <c r="O424" s="2">
        <v>27.530346892111499</v>
      </c>
      <c r="P424" s="2">
        <v>23.709260480784401</v>
      </c>
      <c r="Q424" s="2">
        <v>3.6186515022242198</v>
      </c>
      <c r="R424" s="2">
        <v>6.1246832221088798</v>
      </c>
      <c r="S424" s="2">
        <v>1.36020969955523</v>
      </c>
      <c r="T424" s="2">
        <v>35.917601701561097</v>
      </c>
      <c r="U424" s="2">
        <v>5.6705234096812402</v>
      </c>
      <c r="V424" s="2">
        <v>2.01195761990222</v>
      </c>
      <c r="W424" s="2">
        <v>0.33086802298388901</v>
      </c>
      <c r="X424" s="2">
        <v>6.8073897330166604</v>
      </c>
      <c r="Y424" s="2">
        <v>0.24744037563490801</v>
      </c>
      <c r="Z424" s="7">
        <v>32.146345244554603</v>
      </c>
      <c r="AA424" s="2">
        <v>7.68229197826538</v>
      </c>
      <c r="AB424" s="7">
        <v>54.913968833408902</v>
      </c>
      <c r="AC424" s="2">
        <v>7.1708635999869399</v>
      </c>
      <c r="AD424" s="2">
        <v>814.07217285019306</v>
      </c>
      <c r="AE424" s="2">
        <v>128.52237049882001</v>
      </c>
      <c r="AF424" s="2">
        <v>123.051576305125</v>
      </c>
      <c r="AG424" s="2">
        <v>18.780879808903599</v>
      </c>
      <c r="AH424" s="2">
        <v>109.202927959633</v>
      </c>
      <c r="AI424" s="2">
        <v>24.252500324315299</v>
      </c>
      <c r="AJ424" s="2">
        <v>498.53951298020598</v>
      </c>
      <c r="AK424" s="2">
        <v>81.985217485410104</v>
      </c>
      <c r="AL424" s="2">
        <v>202.40190884805199</v>
      </c>
      <c r="AM424" s="2">
        <v>7.3570643548846197</v>
      </c>
      <c r="AN424"/>
      <c r="AO424"/>
    </row>
    <row r="425" spans="1:41" ht="15.75" hidden="1" customHeight="1" x14ac:dyDescent="0.45">
      <c r="A425" s="2" t="s">
        <v>139</v>
      </c>
      <c r="B425" s="2" t="s">
        <v>140</v>
      </c>
      <c r="C425" s="2">
        <v>10</v>
      </c>
      <c r="D425" s="2"/>
      <c r="E425" s="2" t="s">
        <v>83</v>
      </c>
      <c r="F425" s="2" t="s">
        <v>84</v>
      </c>
      <c r="H425" s="2">
        <v>1.1000000000000001</v>
      </c>
      <c r="J425" s="2">
        <v>1.0679738059999999</v>
      </c>
      <c r="K425" s="2">
        <v>0</v>
      </c>
      <c r="L425" s="2"/>
      <c r="M425" s="2">
        <v>0</v>
      </c>
      <c r="N425" s="2">
        <v>28.5555555555555</v>
      </c>
      <c r="O425" s="2">
        <v>5.1487143307100798</v>
      </c>
      <c r="P425" s="2">
        <v>0.83218916857777703</v>
      </c>
      <c r="Q425" s="2">
        <v>0.89084752771193698</v>
      </c>
      <c r="R425" s="2">
        <v>29.027081011555499</v>
      </c>
      <c r="S425" s="2">
        <v>1.0762944247681701</v>
      </c>
      <c r="T425" s="2">
        <v>25.4689507993833</v>
      </c>
      <c r="U425" s="2">
        <v>8.1760699338933591</v>
      </c>
      <c r="V425" s="2">
        <v>0</v>
      </c>
      <c r="W425" s="2">
        <v>0</v>
      </c>
      <c r="X425" s="2">
        <v>1.9405637920666601</v>
      </c>
      <c r="Y425" s="2">
        <v>1.65365241686245</v>
      </c>
      <c r="Z425" s="7">
        <v>7.96837454460894</v>
      </c>
      <c r="AA425" s="2">
        <v>1.43673913576903</v>
      </c>
      <c r="AB425" s="7">
        <v>0</v>
      </c>
      <c r="AC425" s="2">
        <v>0</v>
      </c>
      <c r="AD425" s="2">
        <v>577.25357861428404</v>
      </c>
      <c r="AE425" s="2">
        <v>185.31056365521201</v>
      </c>
      <c r="AF425" s="2">
        <v>4.3190798405770998</v>
      </c>
      <c r="AG425" s="2">
        <v>4.6235179971691398</v>
      </c>
      <c r="AH425" s="2">
        <v>517.55203030596704</v>
      </c>
      <c r="AI425" s="2">
        <v>19.190299035717999</v>
      </c>
      <c r="AJ425" s="2">
        <v>0</v>
      </c>
      <c r="AK425" s="2">
        <v>0</v>
      </c>
      <c r="AL425" s="2">
        <v>57.698153207051902</v>
      </c>
      <c r="AM425" s="2">
        <v>49.167510436607998</v>
      </c>
      <c r="AN425"/>
      <c r="AO425"/>
    </row>
    <row r="426" spans="1:41" ht="15.75" hidden="1" customHeight="1" x14ac:dyDescent="0.45">
      <c r="A426" s="2" t="s">
        <v>139</v>
      </c>
      <c r="B426" s="2" t="s">
        <v>140</v>
      </c>
      <c r="C426" s="2">
        <v>3.0000000000000001E-3</v>
      </c>
      <c r="D426" s="2"/>
      <c r="E426" s="2" t="s">
        <v>85</v>
      </c>
      <c r="F426" s="2" t="s">
        <v>84</v>
      </c>
      <c r="G426" s="2" t="s">
        <v>86</v>
      </c>
      <c r="H426" s="2">
        <v>6</v>
      </c>
      <c r="I426" s="2">
        <v>3539</v>
      </c>
      <c r="J426" s="2">
        <v>6</v>
      </c>
      <c r="K426" s="2">
        <v>5.43267304168333</v>
      </c>
      <c r="L426" s="2"/>
      <c r="M426" s="2">
        <v>0.51320003267983905</v>
      </c>
      <c r="N426" s="2">
        <v>171.666666666666</v>
      </c>
      <c r="O426" s="2">
        <v>6.7226813433662898</v>
      </c>
      <c r="P426" s="2">
        <v>0.23931157050055499</v>
      </c>
      <c r="Q426" s="2">
        <v>0.198142085007461</v>
      </c>
      <c r="R426" s="2">
        <v>0.208379500361111</v>
      </c>
      <c r="S426" s="2">
        <v>0.12615765843421001</v>
      </c>
      <c r="T426" s="2">
        <v>12.167094345272201</v>
      </c>
      <c r="U426" s="2">
        <v>9.7657008704502903</v>
      </c>
      <c r="V426" s="2">
        <v>2.1450021449999999E-2</v>
      </c>
      <c r="W426" s="2">
        <v>3.7152526974842198E-2</v>
      </c>
      <c r="X426" s="2">
        <v>0.28941880000888798</v>
      </c>
      <c r="Y426" s="2">
        <v>0.17117686730505899</v>
      </c>
      <c r="Z426" s="7">
        <v>111.33769905078501</v>
      </c>
      <c r="AA426" s="2">
        <v>9.3026527919532302</v>
      </c>
      <c r="AB426" s="7">
        <v>130.79226005084999</v>
      </c>
      <c r="AC426" s="2">
        <v>17.094690486124101</v>
      </c>
      <c r="AD426" s="2">
        <v>137.23308976808599</v>
      </c>
      <c r="AE426" s="2">
        <v>64.195322537228606</v>
      </c>
      <c r="AF426" s="2">
        <v>94.106130819208005</v>
      </c>
      <c r="AG426" s="2">
        <v>43.061816453785099</v>
      </c>
      <c r="AH426" s="2">
        <v>65.186981398220198</v>
      </c>
      <c r="AI426" s="2">
        <v>39.959099253865901</v>
      </c>
      <c r="AJ426" s="2">
        <v>806.17760618123395</v>
      </c>
      <c r="AK426" s="2">
        <v>0</v>
      </c>
      <c r="AL426" s="2">
        <v>69.121533106587805</v>
      </c>
      <c r="AM426" s="2">
        <v>23.902615247961599</v>
      </c>
      <c r="AN426"/>
      <c r="AO426"/>
    </row>
    <row r="427" spans="1:41" ht="15.75" hidden="1" customHeight="1" x14ac:dyDescent="0.45">
      <c r="A427" s="2" t="s">
        <v>139</v>
      </c>
      <c r="B427" s="2" t="s">
        <v>140</v>
      </c>
      <c r="C427" s="2">
        <v>0.01</v>
      </c>
      <c r="D427" s="2"/>
      <c r="E427" s="2" t="s">
        <v>85</v>
      </c>
      <c r="F427" s="2" t="s">
        <v>84</v>
      </c>
      <c r="G427" s="2" t="s">
        <v>86</v>
      </c>
      <c r="H427" s="2">
        <v>6</v>
      </c>
      <c r="I427" s="2">
        <v>3539</v>
      </c>
      <c r="J427" s="2">
        <v>6</v>
      </c>
      <c r="K427" s="2">
        <v>5.1666822051611101</v>
      </c>
      <c r="L427" s="2"/>
      <c r="M427" s="2">
        <v>0.62939255721029197</v>
      </c>
      <c r="N427" s="2">
        <v>178.333333333333</v>
      </c>
      <c r="O427" s="2">
        <v>13.754797142976599</v>
      </c>
      <c r="P427" s="2">
        <v>0.33452362736611102</v>
      </c>
      <c r="Q427" s="2">
        <v>0.18462606289338901</v>
      </c>
      <c r="R427" s="2">
        <v>1.1085093077849999</v>
      </c>
      <c r="S427" s="2">
        <v>1.42234241191065</v>
      </c>
      <c r="T427" s="2">
        <v>7.3388203721166603</v>
      </c>
      <c r="U427" s="2">
        <v>0.94518240571244705</v>
      </c>
      <c r="V427" s="2">
        <v>0</v>
      </c>
      <c r="W427" s="2">
        <v>0</v>
      </c>
      <c r="X427" s="2">
        <v>0.69298188275999995</v>
      </c>
      <c r="Y427" s="2">
        <v>0.47389555451741</v>
      </c>
      <c r="Z427" s="7">
        <v>115.330982082053</v>
      </c>
      <c r="AA427" s="2">
        <v>6.2707270191280298</v>
      </c>
      <c r="AB427" s="7">
        <v>123.986332451997</v>
      </c>
      <c r="AC427" s="2">
        <v>14.083555351092601</v>
      </c>
      <c r="AD427" s="2">
        <v>97.027461722576405</v>
      </c>
      <c r="AE427" s="2">
        <v>25.1324070574308</v>
      </c>
      <c r="AF427" s="2">
        <v>165.382248089857</v>
      </c>
      <c r="AG427" s="2">
        <v>131.80961456694399</v>
      </c>
      <c r="AH427" s="2">
        <v>411.40628007778901</v>
      </c>
      <c r="AI427" s="2">
        <v>502.017343725118</v>
      </c>
      <c r="AJ427" s="2">
        <v>0</v>
      </c>
      <c r="AK427" s="2">
        <v>0</v>
      </c>
      <c r="AL427" s="2">
        <v>193.613410554457</v>
      </c>
      <c r="AM427" s="2">
        <v>153.409059828544</v>
      </c>
      <c r="AN427"/>
      <c r="AO427"/>
    </row>
    <row r="428" spans="1:41" ht="15.75" hidden="1" customHeight="1" x14ac:dyDescent="0.45">
      <c r="A428" s="2" t="s">
        <v>139</v>
      </c>
      <c r="B428" s="2" t="s">
        <v>140</v>
      </c>
      <c r="C428" s="2">
        <v>0.03</v>
      </c>
      <c r="D428" s="2"/>
      <c r="E428" s="2" t="s">
        <v>85</v>
      </c>
      <c r="F428" s="2" t="s">
        <v>84</v>
      </c>
      <c r="G428" s="2" t="s">
        <v>86</v>
      </c>
      <c r="H428" s="2">
        <v>6</v>
      </c>
      <c r="I428" s="2">
        <v>3539</v>
      </c>
      <c r="J428" s="2">
        <v>6</v>
      </c>
      <c r="K428" s="2">
        <v>4.4784315424444401</v>
      </c>
      <c r="L428" s="2"/>
      <c r="M428" s="2">
        <v>1.0079712857138301</v>
      </c>
      <c r="N428" s="2">
        <v>162.222222222222</v>
      </c>
      <c r="O428" s="2">
        <v>5.8555133879990802</v>
      </c>
      <c r="P428" s="2">
        <v>0.26513388523111098</v>
      </c>
      <c r="Q428" s="2">
        <v>0.28222457907994603</v>
      </c>
      <c r="R428" s="2">
        <v>0.34659870752055499</v>
      </c>
      <c r="S428" s="2">
        <v>0.142930525403136</v>
      </c>
      <c r="T428" s="2">
        <v>8.15379960656111</v>
      </c>
      <c r="U428" s="2">
        <v>5.34170366635046</v>
      </c>
      <c r="V428" s="2">
        <v>0</v>
      </c>
      <c r="W428" s="2">
        <v>0</v>
      </c>
      <c r="X428" s="2">
        <v>0.72675731160111101</v>
      </c>
      <c r="Y428" s="2">
        <v>0.38521067368635897</v>
      </c>
      <c r="Z428" s="7">
        <v>105.200837509792</v>
      </c>
      <c r="AA428" s="2">
        <v>8.4238004185148707</v>
      </c>
      <c r="AB428" s="7">
        <v>107.368865066225</v>
      </c>
      <c r="AC428" s="2">
        <v>22.715896120904201</v>
      </c>
      <c r="AD428" s="2">
        <v>96.041372750310899</v>
      </c>
      <c r="AE428" s="2">
        <v>30.749187595515</v>
      </c>
      <c r="AF428" s="2">
        <v>86.660500466473195</v>
      </c>
      <c r="AG428" s="2">
        <v>82.219672241461595</v>
      </c>
      <c r="AH428" s="2">
        <v>118.13756558030499</v>
      </c>
      <c r="AI428" s="2">
        <v>57.055226786209801</v>
      </c>
      <c r="AJ428" s="2">
        <v>0</v>
      </c>
      <c r="AK428" s="2">
        <v>0</v>
      </c>
      <c r="AL428" s="2">
        <v>195.56476760914899</v>
      </c>
      <c r="AM428" s="2">
        <v>129.87990494954599</v>
      </c>
      <c r="AN428"/>
      <c r="AO428"/>
    </row>
    <row r="429" spans="1:41" ht="15.75" hidden="1" customHeight="1" x14ac:dyDescent="0.45">
      <c r="A429" s="2" t="s">
        <v>139</v>
      </c>
      <c r="B429" s="2" t="s">
        <v>140</v>
      </c>
      <c r="C429" s="2">
        <v>0.1</v>
      </c>
      <c r="D429" s="2"/>
      <c r="E429" s="2" t="s">
        <v>85</v>
      </c>
      <c r="F429" s="2" t="s">
        <v>84</v>
      </c>
      <c r="G429" s="2" t="s">
        <v>86</v>
      </c>
      <c r="H429" s="2">
        <v>6</v>
      </c>
      <c r="I429" s="2">
        <v>3539</v>
      </c>
      <c r="J429" s="2">
        <v>6</v>
      </c>
      <c r="K429" s="2">
        <v>4.4516006736333296</v>
      </c>
      <c r="L429" s="2"/>
      <c r="M429" s="2">
        <v>1.1493507220574799</v>
      </c>
      <c r="N429" s="2">
        <v>166.277777777777</v>
      </c>
      <c r="O429" s="2">
        <v>29.318809535732999</v>
      </c>
      <c r="P429" s="2">
        <v>0.17169469811444399</v>
      </c>
      <c r="Q429" s="2">
        <v>0.12071046456102801</v>
      </c>
      <c r="R429" s="2">
        <v>0.31566282310055499</v>
      </c>
      <c r="S429" s="2">
        <v>0.32975113135084799</v>
      </c>
      <c r="T429" s="2">
        <v>4.3849884109194397</v>
      </c>
      <c r="U429" s="2">
        <v>1.72150146554457</v>
      </c>
      <c r="V429" s="2">
        <v>0</v>
      </c>
      <c r="W429" s="2">
        <v>0</v>
      </c>
      <c r="X429" s="2">
        <v>0.51302104934722204</v>
      </c>
      <c r="Y429" s="2">
        <v>0.17552815956992701</v>
      </c>
      <c r="Z429" s="7">
        <v>107.87226972863201</v>
      </c>
      <c r="AA429" s="2">
        <v>20.357493879052001</v>
      </c>
      <c r="AB429" s="7">
        <v>106.551327989521</v>
      </c>
      <c r="AC429" s="2">
        <v>26.164443333356999</v>
      </c>
      <c r="AD429" s="2">
        <v>55.116716586844603</v>
      </c>
      <c r="AE429" s="2">
        <v>17.361880511404799</v>
      </c>
      <c r="AF429" s="2">
        <v>79.590655006704694</v>
      </c>
      <c r="AG429" s="2">
        <v>50.742723798059998</v>
      </c>
      <c r="AH429" s="2">
        <v>124.43742643479</v>
      </c>
      <c r="AI429" s="2">
        <v>118.191929651298</v>
      </c>
      <c r="AJ429" s="2">
        <v>0</v>
      </c>
      <c r="AK429" s="2">
        <v>0</v>
      </c>
      <c r="AL429" s="2">
        <v>139.706699394509</v>
      </c>
      <c r="AM429" s="2">
        <v>69.464628731703101</v>
      </c>
      <c r="AN429"/>
      <c r="AO429"/>
    </row>
    <row r="430" spans="1:41" ht="15.75" hidden="1" customHeight="1" x14ac:dyDescent="0.45">
      <c r="A430" s="2" t="s">
        <v>139</v>
      </c>
      <c r="B430" s="2" t="s">
        <v>140</v>
      </c>
      <c r="C430" s="2">
        <v>0.3</v>
      </c>
      <c r="D430" s="2"/>
      <c r="E430" s="2" t="s">
        <v>85</v>
      </c>
      <c r="F430" s="2" t="s">
        <v>84</v>
      </c>
      <c r="G430" s="2" t="s">
        <v>86</v>
      </c>
      <c r="H430" s="2">
        <v>6</v>
      </c>
      <c r="I430" s="2">
        <v>3539</v>
      </c>
      <c r="J430" s="2">
        <v>6</v>
      </c>
      <c r="K430" s="2">
        <v>5.8270650264777704</v>
      </c>
      <c r="L430" s="2"/>
      <c r="M430" s="2">
        <v>1.16621083715628</v>
      </c>
      <c r="N430" s="2">
        <v>157.5</v>
      </c>
      <c r="O430" s="2">
        <v>3.6552853665756602</v>
      </c>
      <c r="P430" s="2">
        <v>0.17217828030555499</v>
      </c>
      <c r="Q430" s="2">
        <v>8.7423261812135805E-2</v>
      </c>
      <c r="R430" s="2">
        <v>0.31910319953999999</v>
      </c>
      <c r="S430" s="2">
        <v>0.31471192536547199</v>
      </c>
      <c r="T430" s="2">
        <v>8.9649297876333307</v>
      </c>
      <c r="U430" s="2">
        <v>4.4394095750103704</v>
      </c>
      <c r="V430" s="2">
        <v>7.6610381488333296E-2</v>
      </c>
      <c r="W430" s="2">
        <v>6.7664430920441401E-2</v>
      </c>
      <c r="X430" s="2">
        <v>0.48746294276611102</v>
      </c>
      <c r="Y430" s="2">
        <v>8.5431940563045594E-2</v>
      </c>
      <c r="Z430" s="7">
        <v>101.963929023343</v>
      </c>
      <c r="AA430" s="2">
        <v>2.32849265548061</v>
      </c>
      <c r="AB430" s="7">
        <v>138.84793522994499</v>
      </c>
      <c r="AC430" s="2">
        <v>19.318777081059199</v>
      </c>
      <c r="AD430" s="2">
        <v>109.44037080187999</v>
      </c>
      <c r="AE430" s="2">
        <v>36.017159539498103</v>
      </c>
      <c r="AF430" s="2">
        <v>76.292006666846504</v>
      </c>
      <c r="AG430" s="2">
        <v>33.252475211093298</v>
      </c>
      <c r="AH430" s="2">
        <v>84.413735653117698</v>
      </c>
      <c r="AI430" s="2">
        <v>73.698040619639599</v>
      </c>
      <c r="AJ430" s="2">
        <v>1606.1538461610701</v>
      </c>
      <c r="AK430" s="2">
        <v>0</v>
      </c>
      <c r="AL430" s="2">
        <v>124.083651209952</v>
      </c>
      <c r="AM430" s="2">
        <v>11.8451547025062</v>
      </c>
      <c r="AN430"/>
      <c r="AO430"/>
    </row>
    <row r="431" spans="1:41" ht="15.75" hidden="1" customHeight="1" x14ac:dyDescent="0.45">
      <c r="A431" s="2" t="s">
        <v>139</v>
      </c>
      <c r="B431" s="2" t="s">
        <v>140</v>
      </c>
      <c r="C431" s="2">
        <v>1</v>
      </c>
      <c r="D431" s="2"/>
      <c r="E431" s="2" t="s">
        <v>85</v>
      </c>
      <c r="F431" s="2" t="s">
        <v>84</v>
      </c>
      <c r="G431" s="2" t="s">
        <v>86</v>
      </c>
      <c r="H431" s="2">
        <v>6</v>
      </c>
      <c r="I431" s="2">
        <v>3539</v>
      </c>
      <c r="J431" s="2">
        <v>6</v>
      </c>
      <c r="K431" s="2">
        <v>8.7804513090055494</v>
      </c>
      <c r="L431" s="2"/>
      <c r="M431" s="2">
        <v>2.2886629171433399</v>
      </c>
      <c r="N431" s="2">
        <v>163.5</v>
      </c>
      <c r="O431" s="2">
        <v>28.517538463198399</v>
      </c>
      <c r="P431" s="2">
        <v>9.1255932461111106E-2</v>
      </c>
      <c r="Q431" s="2">
        <v>9.20921206788579E-2</v>
      </c>
      <c r="R431" s="2">
        <v>0.41628692529</v>
      </c>
      <c r="S431" s="2">
        <v>0.25240250981819201</v>
      </c>
      <c r="T431" s="2">
        <v>11.194879843672201</v>
      </c>
      <c r="U431" s="2">
        <v>8.6380467638576803</v>
      </c>
      <c r="V431" s="2">
        <v>0</v>
      </c>
      <c r="W431" s="2">
        <v>0</v>
      </c>
      <c r="X431" s="2">
        <v>1.1913979534205501</v>
      </c>
      <c r="Y431" s="2">
        <v>0.62635819403708504</v>
      </c>
      <c r="Z431" s="7">
        <v>105.51538992316701</v>
      </c>
      <c r="AA431" s="2">
        <v>15.7407859571407</v>
      </c>
      <c r="AB431" s="7">
        <v>208.36060650083101</v>
      </c>
      <c r="AC431" s="2">
        <v>39.427496151561499</v>
      </c>
      <c r="AD431" s="2">
        <v>127.972969306439</v>
      </c>
      <c r="AE431" s="2">
        <v>53.548488684445701</v>
      </c>
      <c r="AF431" s="2">
        <v>54.580758205940903</v>
      </c>
      <c r="AG431" s="2">
        <v>73.115993122751505</v>
      </c>
      <c r="AH431" s="2">
        <v>167.808006408181</v>
      </c>
      <c r="AI431" s="2">
        <v>144.598307114834</v>
      </c>
      <c r="AJ431" s="2">
        <v>0</v>
      </c>
      <c r="AK431" s="2">
        <v>0</v>
      </c>
      <c r="AL431" s="2">
        <v>330.45231601526399</v>
      </c>
      <c r="AM431" s="2">
        <v>214.738177758782</v>
      </c>
      <c r="AN431"/>
      <c r="AO431"/>
    </row>
    <row r="432" spans="1:41" ht="15.75" hidden="1" customHeight="1" x14ac:dyDescent="0.45">
      <c r="A432" s="2" t="s">
        <v>139</v>
      </c>
      <c r="B432" s="2" t="s">
        <v>140</v>
      </c>
      <c r="C432" s="2">
        <v>3</v>
      </c>
      <c r="D432" s="2"/>
      <c r="E432" s="2" t="s">
        <v>85</v>
      </c>
      <c r="F432" s="2" t="s">
        <v>84</v>
      </c>
      <c r="G432" s="2" t="s">
        <v>86</v>
      </c>
      <c r="H432" s="2">
        <v>6</v>
      </c>
      <c r="I432" s="2">
        <v>3539</v>
      </c>
      <c r="J432" s="2">
        <v>6</v>
      </c>
      <c r="K432" s="2">
        <v>0.84034331331166601</v>
      </c>
      <c r="L432" s="2"/>
      <c r="M432" s="2">
        <v>0.60009362679369105</v>
      </c>
      <c r="N432" s="2">
        <v>101.944444444444</v>
      </c>
      <c r="O432" s="2">
        <v>14.469636151969</v>
      </c>
      <c r="P432" s="2">
        <v>0.17429193899444401</v>
      </c>
      <c r="Q432" s="2">
        <v>0.16448441035212299</v>
      </c>
      <c r="R432" s="2">
        <v>0</v>
      </c>
      <c r="S432" s="2">
        <v>0</v>
      </c>
      <c r="T432" s="2">
        <v>10.4850758582444</v>
      </c>
      <c r="U432" s="2">
        <v>3.8254379478392702</v>
      </c>
      <c r="V432" s="2">
        <v>0</v>
      </c>
      <c r="W432" s="2">
        <v>0</v>
      </c>
      <c r="X432" s="2">
        <v>1.6297183315633299</v>
      </c>
      <c r="Y432" s="2">
        <v>0.74517970342411499</v>
      </c>
      <c r="Z432" s="7">
        <v>66.302637267499307</v>
      </c>
      <c r="AA432" s="2">
        <v>12.114755818733601</v>
      </c>
      <c r="AB432" s="7">
        <v>20.966634521035601</v>
      </c>
      <c r="AC432" s="2">
        <v>16.521944405688899</v>
      </c>
      <c r="AD432" s="2">
        <v>134.08842602000499</v>
      </c>
      <c r="AE432" s="2">
        <v>43.935698221969197</v>
      </c>
      <c r="AF432" s="2">
        <v>58.691127544095103</v>
      </c>
      <c r="AG432" s="2">
        <v>51.323049022021102</v>
      </c>
      <c r="AH432" s="2">
        <v>0</v>
      </c>
      <c r="AI432" s="2">
        <v>0</v>
      </c>
      <c r="AJ432" s="2">
        <v>0</v>
      </c>
      <c r="AK432" s="2">
        <v>0</v>
      </c>
      <c r="AL432" s="2">
        <v>435.26719426265799</v>
      </c>
      <c r="AM432" s="2">
        <v>257.32053287080299</v>
      </c>
      <c r="AN432"/>
      <c r="AO432"/>
    </row>
    <row r="433" spans="1:41" ht="15.75" hidden="1" customHeight="1" x14ac:dyDescent="0.45">
      <c r="A433" s="2" t="s">
        <v>139</v>
      </c>
      <c r="B433" s="2" t="s">
        <v>140</v>
      </c>
      <c r="C433" s="2">
        <v>10</v>
      </c>
      <c r="D433" s="2"/>
      <c r="E433" s="2" t="s">
        <v>85</v>
      </c>
      <c r="F433" s="2" t="s">
        <v>84</v>
      </c>
      <c r="G433" s="2" t="s">
        <v>86</v>
      </c>
      <c r="H433" s="2">
        <v>6</v>
      </c>
      <c r="I433" s="2">
        <v>3539</v>
      </c>
      <c r="J433" s="2">
        <v>6</v>
      </c>
      <c r="K433" s="2">
        <v>0</v>
      </c>
      <c r="L433" s="2"/>
      <c r="M433" s="2">
        <v>0</v>
      </c>
      <c r="N433" s="2">
        <v>53.6666666666666</v>
      </c>
      <c r="O433" s="2">
        <v>8.3782124850378601</v>
      </c>
      <c r="P433" s="2">
        <v>0</v>
      </c>
      <c r="Q433" s="2">
        <v>0</v>
      </c>
      <c r="R433" s="2">
        <v>0.25130803773888799</v>
      </c>
      <c r="S433" s="2">
        <v>0.43527828971419202</v>
      </c>
      <c r="T433" s="2">
        <v>50.4425690423055</v>
      </c>
      <c r="U433" s="2">
        <v>3.0160325955435399</v>
      </c>
      <c r="V433" s="2">
        <v>0</v>
      </c>
      <c r="W433" s="2">
        <v>0</v>
      </c>
      <c r="X433" s="2">
        <v>0.50480521306222204</v>
      </c>
      <c r="Y433" s="2">
        <v>0.141977110578625</v>
      </c>
      <c r="Z433" s="7">
        <v>34.810231695220203</v>
      </c>
      <c r="AA433" s="2">
        <v>5.9019960756761103</v>
      </c>
      <c r="AB433" s="7">
        <v>0</v>
      </c>
      <c r="AC433" s="2">
        <v>0</v>
      </c>
      <c r="AD433" s="2">
        <v>670.64462106198096</v>
      </c>
      <c r="AE433" s="2">
        <v>178.71384683044201</v>
      </c>
      <c r="AF433" s="2">
        <v>0</v>
      </c>
      <c r="AG433" s="2">
        <v>0</v>
      </c>
      <c r="AH433" s="2">
        <v>120.066537627236</v>
      </c>
      <c r="AI433" s="2">
        <v>207.96134345925401</v>
      </c>
      <c r="AJ433" s="2">
        <v>0</v>
      </c>
      <c r="AK433" s="2">
        <v>0</v>
      </c>
      <c r="AL433" s="2">
        <v>131.553906701655</v>
      </c>
      <c r="AM433" s="2">
        <v>50.338726198541202</v>
      </c>
      <c r="AN433"/>
      <c r="AO433"/>
    </row>
    <row r="434" spans="1:41" ht="15.75" hidden="1" customHeight="1" x14ac:dyDescent="0.45">
      <c r="A434" s="2" t="s">
        <v>141</v>
      </c>
      <c r="B434" s="2" t="s">
        <v>142</v>
      </c>
      <c r="C434" s="2">
        <v>3.0000000000000001E-3</v>
      </c>
      <c r="D434" s="2"/>
      <c r="E434" s="2" t="s">
        <v>109</v>
      </c>
      <c r="F434" s="2" t="s">
        <v>84</v>
      </c>
      <c r="H434" s="2">
        <v>0.3</v>
      </c>
      <c r="J434" s="2">
        <v>0.3</v>
      </c>
      <c r="K434" s="2">
        <v>32.4444444444444</v>
      </c>
      <c r="L434" s="2"/>
      <c r="M434" s="2">
        <v>3.6603480911175699</v>
      </c>
      <c r="N434" s="2">
        <v>135.388888888888</v>
      </c>
      <c r="O434" s="2">
        <v>11.7335385083073</v>
      </c>
      <c r="P434" s="2">
        <v>18.3888888888888</v>
      </c>
      <c r="Q434" s="2">
        <v>1.9531550923607599</v>
      </c>
      <c r="R434" s="2">
        <v>1.6666666666666601</v>
      </c>
      <c r="S434" s="2">
        <v>0.16666666666666599</v>
      </c>
      <c r="T434" s="2">
        <v>4.5</v>
      </c>
      <c r="U434" s="2">
        <v>2.1666666666666599</v>
      </c>
      <c r="V434" s="2">
        <v>0.66666666666666596</v>
      </c>
      <c r="W434" s="2">
        <v>0.33333333333333298</v>
      </c>
      <c r="X434" s="2">
        <v>2.3333333333333299</v>
      </c>
      <c r="Y434" s="2">
        <v>0.76376261582597305</v>
      </c>
      <c r="Z434" s="7">
        <v>94.302021863209802</v>
      </c>
      <c r="AA434" s="2">
        <v>8.1727268317512394</v>
      </c>
      <c r="AB434" s="7">
        <v>91.25</v>
      </c>
      <c r="AC434" s="2">
        <v>10.294729006268099</v>
      </c>
      <c r="AD434" s="2">
        <v>92.045454545454504</v>
      </c>
      <c r="AE434" s="2">
        <v>44.318181818181799</v>
      </c>
      <c r="AF434" s="2">
        <v>109.602649006622</v>
      </c>
      <c r="AG434" s="2">
        <v>11.6413217425475</v>
      </c>
      <c r="AH434" s="2">
        <v>71.428571428571402</v>
      </c>
      <c r="AI434" s="2">
        <v>7.1428571428571299</v>
      </c>
      <c r="AJ434" s="2">
        <v>109.09090909090899</v>
      </c>
      <c r="AK434" s="2">
        <v>54.545454545454497</v>
      </c>
      <c r="AL434" s="2">
        <v>103.703703703703</v>
      </c>
      <c r="AM434" s="2">
        <v>33.945005147821</v>
      </c>
      <c r="AN434"/>
      <c r="AO434"/>
    </row>
    <row r="435" spans="1:41" ht="15.75" hidden="1" customHeight="1" x14ac:dyDescent="0.45">
      <c r="A435" s="2" t="s">
        <v>141</v>
      </c>
      <c r="B435" s="2" t="s">
        <v>142</v>
      </c>
      <c r="C435" s="2">
        <v>0.01</v>
      </c>
      <c r="D435" s="2"/>
      <c r="E435" s="2" t="s">
        <v>109</v>
      </c>
      <c r="F435" s="2" t="s">
        <v>84</v>
      </c>
      <c r="H435" s="2">
        <v>0.3</v>
      </c>
      <c r="J435" s="2">
        <v>0.3</v>
      </c>
      <c r="K435" s="2">
        <v>33.155555555555502</v>
      </c>
      <c r="L435" s="2"/>
      <c r="M435" s="2">
        <v>1.9047698412534</v>
      </c>
      <c r="N435" s="2">
        <v>105.222222222222</v>
      </c>
      <c r="O435" s="2">
        <v>89.759916402548996</v>
      </c>
      <c r="P435" s="2">
        <v>12.3888888888888</v>
      </c>
      <c r="Q435" s="2">
        <v>10.7371801250159</v>
      </c>
      <c r="R435" s="2">
        <v>1.1111111111111101</v>
      </c>
      <c r="S435" s="2">
        <v>0.97657754618038495</v>
      </c>
      <c r="T435" s="2">
        <v>36</v>
      </c>
      <c r="U435" s="2">
        <v>55.425876427691897</v>
      </c>
      <c r="V435" s="2">
        <v>0.55555555555555503</v>
      </c>
      <c r="W435" s="2">
        <v>0.48112522432468802</v>
      </c>
      <c r="X435" s="2">
        <v>1.5</v>
      </c>
      <c r="Y435" s="2">
        <v>1.3017082793177699</v>
      </c>
      <c r="Z435" s="7">
        <v>73.290122859630401</v>
      </c>
      <c r="AA435" s="2">
        <v>62.520208774146496</v>
      </c>
      <c r="AB435" s="7">
        <v>93.25</v>
      </c>
      <c r="AC435" s="2">
        <v>5.3571651785251904</v>
      </c>
      <c r="AD435" s="2">
        <v>736.36363636363603</v>
      </c>
      <c r="AE435" s="2">
        <v>1133.7111087482399</v>
      </c>
      <c r="AF435" s="2">
        <v>73.841059602648997</v>
      </c>
      <c r="AG435" s="2">
        <v>63.996437831220703</v>
      </c>
      <c r="AH435" s="2">
        <v>47.619047619047599</v>
      </c>
      <c r="AI435" s="2">
        <v>41.853323407730798</v>
      </c>
      <c r="AJ435" s="2">
        <v>90.909090909090907</v>
      </c>
      <c r="AK435" s="2">
        <v>78.729582162221703</v>
      </c>
      <c r="AL435" s="2">
        <v>66.6666666666666</v>
      </c>
      <c r="AM435" s="2">
        <v>57.853701303012201</v>
      </c>
      <c r="AN435"/>
      <c r="AO435"/>
    </row>
    <row r="436" spans="1:41" ht="15.75" hidden="1" customHeight="1" x14ac:dyDescent="0.45">
      <c r="A436" s="2" t="s">
        <v>141</v>
      </c>
      <c r="B436" s="2" t="s">
        <v>142</v>
      </c>
      <c r="C436" s="2">
        <v>0.03</v>
      </c>
      <c r="D436" s="2"/>
      <c r="E436" s="2" t="s">
        <v>109</v>
      </c>
      <c r="F436" s="2" t="s">
        <v>84</v>
      </c>
      <c r="H436" s="2">
        <v>0.3</v>
      </c>
      <c r="J436" s="2">
        <v>0.3</v>
      </c>
      <c r="K436" s="2">
        <v>29.8333333333333</v>
      </c>
      <c r="L436" s="2"/>
      <c r="M436" s="2">
        <v>4.9693505052918399</v>
      </c>
      <c r="N436" s="2">
        <v>131.944444444444</v>
      </c>
      <c r="O436" s="2">
        <v>14.4398496965606</v>
      </c>
      <c r="P436" s="2">
        <v>18.5</v>
      </c>
      <c r="Q436" s="2">
        <v>3.4034296427770099</v>
      </c>
      <c r="R436" s="2">
        <v>1.6666666666666601</v>
      </c>
      <c r="S436" s="2">
        <v>0.28867513459481198</v>
      </c>
      <c r="T436" s="2">
        <v>3.3333333333333299</v>
      </c>
      <c r="U436" s="2">
        <v>0.16666666666666899</v>
      </c>
      <c r="V436" s="2">
        <v>0.72222222222222199</v>
      </c>
      <c r="W436" s="2">
        <v>0.25458753860865702</v>
      </c>
      <c r="X436" s="2">
        <v>2.88888888888888</v>
      </c>
      <c r="Y436" s="2">
        <v>0.48112522432468502</v>
      </c>
      <c r="Z436" s="7">
        <v>91.902873174034994</v>
      </c>
      <c r="AA436" s="2">
        <v>10.057745749756799</v>
      </c>
      <c r="AB436" s="7">
        <v>83.90625</v>
      </c>
      <c r="AC436" s="2">
        <v>13.976298296133301</v>
      </c>
      <c r="AD436" s="2">
        <v>68.181818181818102</v>
      </c>
      <c r="AE436" s="2">
        <v>3.40909090909095</v>
      </c>
      <c r="AF436" s="2">
        <v>110.26490066225099</v>
      </c>
      <c r="AG436" s="2">
        <v>20.285342241717199</v>
      </c>
      <c r="AH436" s="2">
        <v>71.428571428571402</v>
      </c>
      <c r="AI436" s="2">
        <v>12.3717914826348</v>
      </c>
      <c r="AJ436" s="2">
        <v>118.181818181818</v>
      </c>
      <c r="AK436" s="2">
        <v>41.659779045053</v>
      </c>
      <c r="AL436" s="2">
        <v>128.39506172839501</v>
      </c>
      <c r="AM436" s="2">
        <v>21.3833433033193</v>
      </c>
      <c r="AN436"/>
      <c r="AO436"/>
    </row>
    <row r="437" spans="1:41" ht="15.75" hidden="1" customHeight="1" x14ac:dyDescent="0.45">
      <c r="A437" s="2" t="s">
        <v>141</v>
      </c>
      <c r="B437" s="2" t="s">
        <v>142</v>
      </c>
      <c r="C437" s="2">
        <v>0.1</v>
      </c>
      <c r="D437" s="2"/>
      <c r="E437" s="2" t="s">
        <v>109</v>
      </c>
      <c r="F437" s="2" t="s">
        <v>84</v>
      </c>
      <c r="H437" s="2">
        <v>0.3</v>
      </c>
      <c r="J437" s="2">
        <v>0.3</v>
      </c>
      <c r="K437" s="2">
        <v>20.5</v>
      </c>
      <c r="L437" s="2"/>
      <c r="M437" s="2">
        <v>10.105004260815999</v>
      </c>
      <c r="N437" s="2">
        <v>117.5</v>
      </c>
      <c r="O437" s="2">
        <v>19.6327390968363</v>
      </c>
      <c r="P437" s="2">
        <v>18.9444444444444</v>
      </c>
      <c r="Q437" s="2">
        <v>0.94770678384622298</v>
      </c>
      <c r="R437" s="2">
        <v>1.3333333333333299</v>
      </c>
      <c r="S437" s="2">
        <v>0.16666666666666499</v>
      </c>
      <c r="T437" s="2">
        <v>5.1666666666666599</v>
      </c>
      <c r="U437" s="2">
        <v>0.66666666666666996</v>
      </c>
      <c r="V437" s="2">
        <v>0.38888888888888801</v>
      </c>
      <c r="W437" s="2">
        <v>0.34694433324435497</v>
      </c>
      <c r="X437" s="2">
        <v>3.1111111111111098</v>
      </c>
      <c r="Y437" s="2">
        <v>0.69388866648870995</v>
      </c>
      <c r="Z437" s="7">
        <v>81.841927058140598</v>
      </c>
      <c r="AA437" s="2">
        <v>13.6747336265088</v>
      </c>
      <c r="AB437" s="7">
        <v>57.65625</v>
      </c>
      <c r="AC437" s="2">
        <v>28.420324483545201</v>
      </c>
      <c r="AD437" s="2">
        <v>105.681818181818</v>
      </c>
      <c r="AE437" s="2">
        <v>13.636363636363701</v>
      </c>
      <c r="AF437" s="2">
        <v>112.913907284768</v>
      </c>
      <c r="AG437" s="2">
        <v>5.64858347987815</v>
      </c>
      <c r="AH437" s="2">
        <v>57.142857142857103</v>
      </c>
      <c r="AI437" s="2">
        <v>7.1428571428570704</v>
      </c>
      <c r="AJ437" s="2">
        <v>63.636363636363598</v>
      </c>
      <c r="AK437" s="2">
        <v>56.772709076349003</v>
      </c>
      <c r="AL437" s="2">
        <v>138.271604938271</v>
      </c>
      <c r="AM437" s="2">
        <v>30.8394962883871</v>
      </c>
      <c r="AN437"/>
      <c r="AO437"/>
    </row>
    <row r="438" spans="1:41" ht="15.75" hidden="1" customHeight="1" x14ac:dyDescent="0.45">
      <c r="A438" s="2" t="s">
        <v>141</v>
      </c>
      <c r="B438" s="2" t="s">
        <v>142</v>
      </c>
      <c r="C438" s="2">
        <v>0.3</v>
      </c>
      <c r="D438" s="2"/>
      <c r="E438" s="2" t="s">
        <v>109</v>
      </c>
      <c r="F438" s="2" t="s">
        <v>84</v>
      </c>
      <c r="H438" s="2">
        <v>0.3</v>
      </c>
      <c r="J438" s="2">
        <v>0.3</v>
      </c>
      <c r="K438" s="2">
        <v>6.8888888888888804</v>
      </c>
      <c r="L438" s="2"/>
      <c r="M438" s="2">
        <v>2.40562612162344</v>
      </c>
      <c r="N438" s="2">
        <v>61.0555555555555</v>
      </c>
      <c r="O438" s="2">
        <v>9.3397795199609295</v>
      </c>
      <c r="P438" s="2">
        <v>17.7222222222222</v>
      </c>
      <c r="Q438" s="2">
        <v>2.2750661366048002</v>
      </c>
      <c r="R438" s="2">
        <v>0.5</v>
      </c>
      <c r="S438" s="2">
        <v>0.72648315725677803</v>
      </c>
      <c r="T438" s="2">
        <v>4.6111111111111098</v>
      </c>
      <c r="U438" s="2">
        <v>0.76980035891949505</v>
      </c>
      <c r="V438" s="2">
        <v>0.77777777777777701</v>
      </c>
      <c r="W438" s="2">
        <v>0.25458753860865801</v>
      </c>
      <c r="X438" s="2">
        <v>3.7777777777777701</v>
      </c>
      <c r="Y438" s="2">
        <v>0.34694433324435497</v>
      </c>
      <c r="Z438" s="7">
        <v>42.526845312953398</v>
      </c>
      <c r="AA438" s="2">
        <v>6.5054089720149699</v>
      </c>
      <c r="AB438" s="7">
        <v>19.375</v>
      </c>
      <c r="AC438" s="2">
        <v>6.7658234670659203</v>
      </c>
      <c r="AD438" s="2">
        <v>94.318181818181799</v>
      </c>
      <c r="AE438" s="2">
        <v>15.745916432444201</v>
      </c>
      <c r="AF438" s="2">
        <v>105.629139072847</v>
      </c>
      <c r="AG438" s="2">
        <v>13.5599968406909</v>
      </c>
      <c r="AH438" s="2">
        <v>21.428571428571399</v>
      </c>
      <c r="AI438" s="2">
        <v>31.134992453861901</v>
      </c>
      <c r="AJ438" s="2">
        <v>127.272727272727</v>
      </c>
      <c r="AK438" s="2">
        <v>41.659779045053099</v>
      </c>
      <c r="AL438" s="2">
        <v>167.90123456790101</v>
      </c>
      <c r="AM438" s="2">
        <v>15.4197481441935</v>
      </c>
      <c r="AN438"/>
      <c r="AO438"/>
    </row>
    <row r="439" spans="1:41" ht="15.75" hidden="1" customHeight="1" x14ac:dyDescent="0.45">
      <c r="A439" s="2" t="s">
        <v>141</v>
      </c>
      <c r="B439" s="2" t="s">
        <v>142</v>
      </c>
      <c r="C439" s="2">
        <v>1</v>
      </c>
      <c r="D439" s="2"/>
      <c r="E439" s="2" t="s">
        <v>109</v>
      </c>
      <c r="F439" s="2" t="s">
        <v>84</v>
      </c>
      <c r="H439" s="2">
        <v>0.3</v>
      </c>
      <c r="J439" s="2">
        <v>0.3</v>
      </c>
      <c r="K439" s="2">
        <v>1.05555555555555</v>
      </c>
      <c r="L439" s="2"/>
      <c r="M439" s="2">
        <v>0.69388866648870995</v>
      </c>
      <c r="N439" s="2">
        <v>23.8333333333333</v>
      </c>
      <c r="O439" s="2">
        <v>8.8521811499263396</v>
      </c>
      <c r="P439" s="2">
        <v>30.0555555555555</v>
      </c>
      <c r="Q439" s="2">
        <v>3.7168285963727601</v>
      </c>
      <c r="R439" s="2">
        <v>0.66666666666666596</v>
      </c>
      <c r="S439" s="2">
        <v>1.1547005383792499</v>
      </c>
      <c r="T439" s="2">
        <v>24.1111111111111</v>
      </c>
      <c r="U439" s="2">
        <v>13.2249063568763</v>
      </c>
      <c r="V439" s="2">
        <v>1.2222222222222201</v>
      </c>
      <c r="W439" s="2">
        <v>0.34694433324435497</v>
      </c>
      <c r="X439" s="2">
        <v>9.8333333333333304</v>
      </c>
      <c r="Y439" s="2">
        <v>0.72648315725679402</v>
      </c>
      <c r="Z439" s="7">
        <v>16.6005610912256</v>
      </c>
      <c r="AA439" s="2">
        <v>6.1657835232146301</v>
      </c>
      <c r="AB439" s="7">
        <v>2.96875</v>
      </c>
      <c r="AC439" s="2">
        <v>1.95156187449949</v>
      </c>
      <c r="AD439" s="2">
        <v>493.18181818181802</v>
      </c>
      <c r="AE439" s="2">
        <v>270.50944820883399</v>
      </c>
      <c r="AF439" s="2">
        <v>179.139072847682</v>
      </c>
      <c r="AG439" s="2">
        <v>22.1532830247383</v>
      </c>
      <c r="AH439" s="2">
        <v>28.571428571428498</v>
      </c>
      <c r="AI439" s="2">
        <v>49.487165930539298</v>
      </c>
      <c r="AJ439" s="2">
        <v>200</v>
      </c>
      <c r="AK439" s="2">
        <v>56.772709076349102</v>
      </c>
      <c r="AL439" s="2">
        <v>437.03703703703701</v>
      </c>
      <c r="AM439" s="2">
        <v>32.2881403225241</v>
      </c>
      <c r="AN439"/>
      <c r="AO439"/>
    </row>
    <row r="440" spans="1:41" ht="15.75" hidden="1" customHeight="1" x14ac:dyDescent="0.45">
      <c r="A440" s="2" t="s">
        <v>141</v>
      </c>
      <c r="B440" s="2" t="s">
        <v>142</v>
      </c>
      <c r="C440" s="2">
        <v>3</v>
      </c>
      <c r="D440" s="2"/>
      <c r="E440" s="2" t="s">
        <v>109</v>
      </c>
      <c r="F440" s="2" t="s">
        <v>84</v>
      </c>
      <c r="H440" s="2">
        <v>0.3</v>
      </c>
      <c r="J440" s="2">
        <v>0.3</v>
      </c>
      <c r="K440" s="2">
        <v>0.33333333333333298</v>
      </c>
      <c r="L440" s="2"/>
      <c r="M440" s="2">
        <v>0.57735026918962495</v>
      </c>
      <c r="N440" s="2">
        <v>16.3888888888888</v>
      </c>
      <c r="O440" s="2">
        <v>2.0705161281760298</v>
      </c>
      <c r="P440" s="2">
        <v>8.4444444444444393</v>
      </c>
      <c r="Q440" s="2">
        <v>11.055834725676799</v>
      </c>
      <c r="R440" s="2">
        <v>0</v>
      </c>
      <c r="S440" s="2">
        <v>0</v>
      </c>
      <c r="T440" s="2">
        <v>77.5555555555555</v>
      </c>
      <c r="U440" s="2">
        <v>24.303825335241399</v>
      </c>
      <c r="V440" s="2">
        <v>0.27777777777777701</v>
      </c>
      <c r="W440" s="2">
        <v>0.48112522432468802</v>
      </c>
      <c r="X440" s="2">
        <v>2.8333333333333299</v>
      </c>
      <c r="Y440" s="2">
        <v>3.4681086744474601</v>
      </c>
      <c r="Z440" s="7">
        <v>11.415304246880099</v>
      </c>
      <c r="AA440" s="2">
        <v>1.4421704675309499</v>
      </c>
      <c r="AB440" s="7">
        <v>0.9375</v>
      </c>
      <c r="AC440" s="2">
        <v>1.6237976320958201</v>
      </c>
      <c r="AD440" s="2">
        <v>1586.3636363636299</v>
      </c>
      <c r="AE440" s="2">
        <v>497.12370003902998</v>
      </c>
      <c r="AF440" s="2">
        <v>50.331125827814503</v>
      </c>
      <c r="AG440" s="2">
        <v>65.895703662974398</v>
      </c>
      <c r="AH440" s="2">
        <v>0</v>
      </c>
      <c r="AI440" s="2">
        <v>0</v>
      </c>
      <c r="AJ440" s="2">
        <v>45.454545454545404</v>
      </c>
      <c r="AK440" s="2">
        <v>78.729582162221703</v>
      </c>
      <c r="AL440" s="2">
        <v>125.925925925925</v>
      </c>
      <c r="AM440" s="2">
        <v>154.138163308776</v>
      </c>
      <c r="AN440"/>
      <c r="AO440"/>
    </row>
    <row r="441" spans="1:41" ht="15.75" hidden="1" customHeight="1" x14ac:dyDescent="0.45">
      <c r="A441" s="2" t="s">
        <v>141</v>
      </c>
      <c r="B441" s="2" t="s">
        <v>142</v>
      </c>
      <c r="C441" s="2">
        <v>10</v>
      </c>
      <c r="D441" s="2"/>
      <c r="E441" s="2" t="s">
        <v>109</v>
      </c>
      <c r="F441" s="2" t="s">
        <v>84</v>
      </c>
      <c r="H441" s="2">
        <v>0.3</v>
      </c>
      <c r="J441" s="2">
        <v>0.3</v>
      </c>
      <c r="K441" s="2">
        <v>0</v>
      </c>
      <c r="L441" s="2"/>
      <c r="M441" s="2">
        <v>0</v>
      </c>
      <c r="N441" s="2">
        <v>18</v>
      </c>
      <c r="O441" s="2">
        <v>2.6822461565718698</v>
      </c>
      <c r="P441" s="2">
        <v>0</v>
      </c>
      <c r="Q441" s="2">
        <v>0</v>
      </c>
      <c r="R441" s="2">
        <v>0</v>
      </c>
      <c r="S441" s="2">
        <v>0</v>
      </c>
      <c r="T441" s="2">
        <v>95.499999999999901</v>
      </c>
      <c r="U441" s="2">
        <v>0.60092521257598597</v>
      </c>
      <c r="V441" s="2">
        <v>0</v>
      </c>
      <c r="W441" s="2">
        <v>0</v>
      </c>
      <c r="X441" s="2">
        <v>0.94444444444444398</v>
      </c>
      <c r="Y441" s="2">
        <v>0.25458753860865702</v>
      </c>
      <c r="Z441" s="7">
        <v>12.5374866982683</v>
      </c>
      <c r="AA441" s="2">
        <v>1.86825697275006</v>
      </c>
      <c r="AB441" s="7">
        <v>0</v>
      </c>
      <c r="AC441" s="2">
        <v>0</v>
      </c>
      <c r="AD441" s="2">
        <v>1953.4090909090901</v>
      </c>
      <c r="AE441" s="2">
        <v>12.2916520754179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41.975308641975303</v>
      </c>
      <c r="AM441" s="2">
        <v>11.3150017159403</v>
      </c>
      <c r="AN441"/>
      <c r="AO441"/>
    </row>
    <row r="442" spans="1:41" ht="15.75" hidden="1" customHeight="1" x14ac:dyDescent="0.45">
      <c r="A442" s="2" t="s">
        <v>141</v>
      </c>
      <c r="B442" s="2" t="s">
        <v>142</v>
      </c>
      <c r="C442" s="2">
        <v>3.0000000000000001E-3</v>
      </c>
      <c r="D442" s="2"/>
      <c r="E442" s="2" t="s">
        <v>109</v>
      </c>
      <c r="F442" s="2" t="s">
        <v>84</v>
      </c>
      <c r="H442" s="2">
        <v>0.3</v>
      </c>
      <c r="J442" s="2">
        <v>0.3</v>
      </c>
      <c r="K442" s="2">
        <v>32.5555555555555</v>
      </c>
      <c r="L442" s="2"/>
      <c r="M442" s="2">
        <v>2.5294560972960198</v>
      </c>
      <c r="N442" s="2">
        <v>260.444444444444</v>
      </c>
      <c r="O442" s="2">
        <v>12.3494639259882</v>
      </c>
      <c r="P442" s="2">
        <v>11.3888888888888</v>
      </c>
      <c r="Q442" s="2">
        <v>0.69388866648869996</v>
      </c>
      <c r="R442" s="2">
        <v>1.8333333333333299</v>
      </c>
      <c r="S442" s="2">
        <v>0.44095855184409699</v>
      </c>
      <c r="T442" s="2">
        <v>9.3333333333333304</v>
      </c>
      <c r="U442" s="2">
        <v>2.0275875100994001</v>
      </c>
      <c r="V442" s="2">
        <v>0.61111111111111105</v>
      </c>
      <c r="W442" s="2">
        <v>9.6225044864938394E-2</v>
      </c>
      <c r="X442" s="2">
        <v>3.9444444444444402</v>
      </c>
      <c r="Y442" s="2">
        <v>0.34694433324435497</v>
      </c>
      <c r="Z442" s="7">
        <v>109.898611029713</v>
      </c>
      <c r="AA442" s="2">
        <v>5.21104965522564</v>
      </c>
      <c r="AB442" s="7">
        <v>92.942109436954794</v>
      </c>
      <c r="AC442" s="2">
        <v>7.2212862412892003</v>
      </c>
      <c r="AD442" s="2">
        <v>117.07317073170699</v>
      </c>
      <c r="AE442" s="2">
        <v>25.433153436786899</v>
      </c>
      <c r="AF442" s="2">
        <v>82</v>
      </c>
      <c r="AG442" s="2">
        <v>4.9959983987186396</v>
      </c>
      <c r="AH442" s="2">
        <v>100.763358778625</v>
      </c>
      <c r="AI442" s="2">
        <v>24.2358898723473</v>
      </c>
      <c r="AJ442" s="2">
        <v>93.617021276595693</v>
      </c>
      <c r="AK442" s="2">
        <v>14.7408579367565</v>
      </c>
      <c r="AL442" s="2">
        <v>103.272727272727</v>
      </c>
      <c r="AM442" s="2">
        <v>9.0836334522158495</v>
      </c>
      <c r="AN442"/>
      <c r="AO442"/>
    </row>
    <row r="443" spans="1:41" ht="15.75" hidden="1" customHeight="1" x14ac:dyDescent="0.45">
      <c r="A443" s="2" t="s">
        <v>141</v>
      </c>
      <c r="B443" s="2" t="s">
        <v>142</v>
      </c>
      <c r="C443" s="2">
        <v>0.01</v>
      </c>
      <c r="D443" s="2"/>
      <c r="E443" s="2" t="s">
        <v>109</v>
      </c>
      <c r="F443" s="2" t="s">
        <v>84</v>
      </c>
      <c r="H443" s="2">
        <v>0.3</v>
      </c>
      <c r="J443" s="2">
        <v>0.3</v>
      </c>
      <c r="K443" s="2">
        <v>30.1111111111111</v>
      </c>
      <c r="L443" s="2"/>
      <c r="M443" s="2">
        <v>4.0184758488943997</v>
      </c>
      <c r="N443" s="2">
        <v>240.388888888888</v>
      </c>
      <c r="O443" s="2">
        <v>26.3361461226309</v>
      </c>
      <c r="P443" s="2">
        <v>11.8888888888888</v>
      </c>
      <c r="Q443" s="2">
        <v>2.2628235393795699</v>
      </c>
      <c r="R443" s="2">
        <v>2.1666666666666599</v>
      </c>
      <c r="S443" s="2">
        <v>0.76376261582597404</v>
      </c>
      <c r="T443" s="2">
        <v>8.8888888888888893</v>
      </c>
      <c r="U443" s="2">
        <v>1.3471506281091199</v>
      </c>
      <c r="V443" s="2">
        <v>0.27777777777777701</v>
      </c>
      <c r="W443" s="2">
        <v>9.6225044864937603E-2</v>
      </c>
      <c r="X443" s="2">
        <v>3.88888888888888</v>
      </c>
      <c r="Y443" s="2">
        <v>0.53575837561071704</v>
      </c>
      <c r="Z443" s="7">
        <v>101.435855359549</v>
      </c>
      <c r="AA443" s="2">
        <v>11.1129491931631</v>
      </c>
      <c r="AB443" s="7">
        <v>85.9635210150674</v>
      </c>
      <c r="AC443" s="2">
        <v>11.472254604298</v>
      </c>
      <c r="AD443" s="2">
        <v>111.49825783972101</v>
      </c>
      <c r="AE443" s="2">
        <v>16.8980566592085</v>
      </c>
      <c r="AF443" s="2">
        <v>85.6</v>
      </c>
      <c r="AG443" s="2">
        <v>16.2923294835329</v>
      </c>
      <c r="AH443" s="2">
        <v>119.083969465648</v>
      </c>
      <c r="AI443" s="2">
        <v>41.977792625549696</v>
      </c>
      <c r="AJ443" s="2">
        <v>42.553191489361602</v>
      </c>
      <c r="AK443" s="2">
        <v>14.740857936756299</v>
      </c>
      <c r="AL443" s="2">
        <v>101.818181818181</v>
      </c>
      <c r="AM443" s="2">
        <v>14.027128379625999</v>
      </c>
      <c r="AN443"/>
      <c r="AO443"/>
    </row>
    <row r="444" spans="1:41" ht="15.75" hidden="1" customHeight="1" x14ac:dyDescent="0.45">
      <c r="A444" s="2" t="s">
        <v>141</v>
      </c>
      <c r="B444" s="2" t="s">
        <v>142</v>
      </c>
      <c r="C444" s="2">
        <v>0.03</v>
      </c>
      <c r="D444" s="2"/>
      <c r="E444" s="2" t="s">
        <v>109</v>
      </c>
      <c r="F444" s="2" t="s">
        <v>84</v>
      </c>
      <c r="H444" s="2">
        <v>0.3</v>
      </c>
      <c r="J444" s="2">
        <v>0.3</v>
      </c>
      <c r="K444" s="2">
        <v>30.0555555555555</v>
      </c>
      <c r="L444" s="2"/>
      <c r="M444" s="2">
        <v>2.6475005683208699</v>
      </c>
      <c r="N444" s="2">
        <v>207.666666666666</v>
      </c>
      <c r="O444" s="2">
        <v>16.575584454251398</v>
      </c>
      <c r="P444" s="2">
        <v>12.9444444444444</v>
      </c>
      <c r="Q444" s="2">
        <v>1.29457557752565</v>
      </c>
      <c r="R444" s="2">
        <v>1.7777777777777699</v>
      </c>
      <c r="S444" s="2">
        <v>0.38490017945975002</v>
      </c>
      <c r="T444" s="2">
        <v>8.2777777777777697</v>
      </c>
      <c r="U444" s="2">
        <v>0.419435246403978</v>
      </c>
      <c r="V444" s="2">
        <v>0.5</v>
      </c>
      <c r="W444" s="2">
        <v>0.28867513459481298</v>
      </c>
      <c r="X444" s="2">
        <v>4.6666666666666599</v>
      </c>
      <c r="Y444" s="2">
        <v>0.60092521257732801</v>
      </c>
      <c r="Z444" s="7">
        <v>87.6282013713883</v>
      </c>
      <c r="AA444" s="2">
        <v>6.9943273791601897</v>
      </c>
      <c r="AB444" s="7">
        <v>85.804916732751806</v>
      </c>
      <c r="AC444" s="2">
        <v>7.5582886962372298</v>
      </c>
      <c r="AD444" s="2">
        <v>103.83275261324</v>
      </c>
      <c r="AE444" s="2">
        <v>5.2612086656945003</v>
      </c>
      <c r="AF444" s="2">
        <v>93.199999999999903</v>
      </c>
      <c r="AG444" s="2">
        <v>9.3209441581847496</v>
      </c>
      <c r="AH444" s="2">
        <v>97.709923664122101</v>
      </c>
      <c r="AI444" s="2">
        <v>21.154819023742</v>
      </c>
      <c r="AJ444" s="2">
        <v>76.595744680850999</v>
      </c>
      <c r="AK444" s="2">
        <v>44.222573810269203</v>
      </c>
      <c r="AL444" s="2">
        <v>122.181818181818</v>
      </c>
      <c r="AM444" s="2">
        <v>15.73331465657</v>
      </c>
      <c r="AN444"/>
      <c r="AO444"/>
    </row>
    <row r="445" spans="1:41" ht="15.75" hidden="1" customHeight="1" x14ac:dyDescent="0.45">
      <c r="A445" s="2" t="s">
        <v>141</v>
      </c>
      <c r="B445" s="2" t="s">
        <v>142</v>
      </c>
      <c r="C445" s="2">
        <v>0.1</v>
      </c>
      <c r="D445" s="2"/>
      <c r="E445" s="2" t="s">
        <v>109</v>
      </c>
      <c r="F445" s="2" t="s">
        <v>84</v>
      </c>
      <c r="H445" s="2">
        <v>0.3</v>
      </c>
      <c r="J445" s="2">
        <v>0.3</v>
      </c>
      <c r="K445" s="2">
        <v>25.7777777777777</v>
      </c>
      <c r="L445" s="2"/>
      <c r="M445" s="2">
        <v>2.3114048958572599</v>
      </c>
      <c r="N445" s="2">
        <v>213.5</v>
      </c>
      <c r="O445" s="2">
        <v>30.254935318243898</v>
      </c>
      <c r="P445" s="2">
        <v>13.7222222222222</v>
      </c>
      <c r="Q445" s="2">
        <v>2.2194427061597799</v>
      </c>
      <c r="R445" s="2">
        <v>2.05555555555555</v>
      </c>
      <c r="S445" s="2">
        <v>0.76980035891950205</v>
      </c>
      <c r="T445" s="2">
        <v>7.3333333333333304</v>
      </c>
      <c r="U445" s="2">
        <v>1.3333333333333299</v>
      </c>
      <c r="V445" s="2">
        <v>0.66666666666666596</v>
      </c>
      <c r="W445" s="2">
        <v>0.16666666666666699</v>
      </c>
      <c r="X445" s="2">
        <v>4</v>
      </c>
      <c r="Y445" s="2">
        <v>0.600925212577334</v>
      </c>
      <c r="Z445" s="7">
        <v>90.089667702045304</v>
      </c>
      <c r="AA445" s="2">
        <v>12.766543649496301</v>
      </c>
      <c r="AB445" s="7">
        <v>73.592386994448802</v>
      </c>
      <c r="AC445" s="2">
        <v>6.5987768636686397</v>
      </c>
      <c r="AD445" s="2">
        <v>91.986062717769997</v>
      </c>
      <c r="AE445" s="2">
        <v>16.7247386759581</v>
      </c>
      <c r="AF445" s="2">
        <v>98.799999999999898</v>
      </c>
      <c r="AG445" s="2">
        <v>15.979987484350399</v>
      </c>
      <c r="AH445" s="2">
        <v>112.977099236641</v>
      </c>
      <c r="AI445" s="2">
        <v>42.3096380474841</v>
      </c>
      <c r="AJ445" s="2">
        <v>102.127659574468</v>
      </c>
      <c r="AK445" s="2">
        <v>25.531914893617</v>
      </c>
      <c r="AL445" s="2">
        <v>104.72727272727199</v>
      </c>
      <c r="AM445" s="2">
        <v>15.733314656570199</v>
      </c>
      <c r="AN445"/>
      <c r="AO445"/>
    </row>
    <row r="446" spans="1:41" ht="15.75" hidden="1" customHeight="1" x14ac:dyDescent="0.45">
      <c r="A446" s="2" t="s">
        <v>141</v>
      </c>
      <c r="B446" s="2" t="s">
        <v>142</v>
      </c>
      <c r="C446" s="2">
        <v>0.3</v>
      </c>
      <c r="D446" s="2"/>
      <c r="E446" s="2" t="s">
        <v>109</v>
      </c>
      <c r="F446" s="2" t="s">
        <v>84</v>
      </c>
      <c r="H446" s="2">
        <v>0.3</v>
      </c>
      <c r="J446" s="2">
        <v>0.3</v>
      </c>
      <c r="K446" s="2">
        <v>11.4444444444444</v>
      </c>
      <c r="L446" s="2"/>
      <c r="M446" s="2">
        <v>4.3376047324318101</v>
      </c>
      <c r="N446" s="2">
        <v>103</v>
      </c>
      <c r="O446" s="2">
        <v>34.392747943586997</v>
      </c>
      <c r="P446" s="2">
        <v>13.7222222222222</v>
      </c>
      <c r="Q446" s="2">
        <v>1.7023948273382601</v>
      </c>
      <c r="R446" s="2">
        <v>0.22222222222222199</v>
      </c>
      <c r="S446" s="2">
        <v>0.25458753860865702</v>
      </c>
      <c r="T446" s="2">
        <v>10.1111111111111</v>
      </c>
      <c r="U446" s="2">
        <v>2.1688023662159002</v>
      </c>
      <c r="V446" s="2">
        <v>1.05555555555555</v>
      </c>
      <c r="W446" s="2">
        <v>0.53575837561071904</v>
      </c>
      <c r="X446" s="2">
        <v>5.6111111111111098</v>
      </c>
      <c r="Y446" s="2">
        <v>1.0584754935142999</v>
      </c>
      <c r="Z446" s="7">
        <v>43.462462638457403</v>
      </c>
      <c r="AA446" s="2">
        <v>14.5125584711848</v>
      </c>
      <c r="AB446" s="7">
        <v>32.672482157018202</v>
      </c>
      <c r="AC446" s="2">
        <v>12.3833283400115</v>
      </c>
      <c r="AD446" s="2">
        <v>126.829268292682</v>
      </c>
      <c r="AE446" s="2">
        <v>27.2044896110705</v>
      </c>
      <c r="AF446" s="2">
        <v>98.799999999999898</v>
      </c>
      <c r="AG446" s="2">
        <v>12.257242756835501</v>
      </c>
      <c r="AH446" s="2">
        <v>12.2137404580152</v>
      </c>
      <c r="AI446" s="2">
        <v>13.9925975418499</v>
      </c>
      <c r="AJ446" s="2">
        <v>161.70212765957399</v>
      </c>
      <c r="AK446" s="2">
        <v>82.073623497812306</v>
      </c>
      <c r="AL446" s="2">
        <v>146.90909090909</v>
      </c>
      <c r="AM446" s="2">
        <v>27.7128129211019</v>
      </c>
      <c r="AN446"/>
      <c r="AO446"/>
    </row>
    <row r="447" spans="1:41" ht="15.75" hidden="1" customHeight="1" x14ac:dyDescent="0.45">
      <c r="A447" s="2" t="s">
        <v>141</v>
      </c>
      <c r="B447" s="2" t="s">
        <v>142</v>
      </c>
      <c r="C447" s="2">
        <v>1</v>
      </c>
      <c r="D447" s="2"/>
      <c r="E447" s="2" t="s">
        <v>109</v>
      </c>
      <c r="F447" s="2" t="s">
        <v>84</v>
      </c>
      <c r="H447" s="2">
        <v>0.3</v>
      </c>
      <c r="J447" s="2">
        <v>0.3</v>
      </c>
      <c r="K447" s="2">
        <v>3.6111111111111098</v>
      </c>
      <c r="L447" s="2"/>
      <c r="M447" s="2">
        <v>0.69388866648871805</v>
      </c>
      <c r="N447" s="2">
        <v>47.4444444444444</v>
      </c>
      <c r="O447" s="2">
        <v>10.2528225562705</v>
      </c>
      <c r="P447" s="2">
        <v>18.1666666666666</v>
      </c>
      <c r="Q447" s="2">
        <v>7.3276493123268702</v>
      </c>
      <c r="R447" s="2">
        <v>0.5</v>
      </c>
      <c r="S447" s="2">
        <v>0.600925212577331</v>
      </c>
      <c r="T447" s="2">
        <v>13.4444444444444</v>
      </c>
      <c r="U447" s="2">
        <v>8.0903463277973202</v>
      </c>
      <c r="V447" s="2">
        <v>0.72222222222222199</v>
      </c>
      <c r="W447" s="2">
        <v>0.25458753860865801</v>
      </c>
      <c r="X447" s="2">
        <v>8.55555555555555</v>
      </c>
      <c r="Y447" s="2">
        <v>2.42861033271048</v>
      </c>
      <c r="Z447" s="7">
        <v>20.019926156010001</v>
      </c>
      <c r="AA447" s="2">
        <v>4.3263390028217898</v>
      </c>
      <c r="AB447" s="7">
        <v>10.309278350515401</v>
      </c>
      <c r="AC447" s="2">
        <v>1.98096685119697</v>
      </c>
      <c r="AD447" s="2">
        <v>168.64111498257799</v>
      </c>
      <c r="AE447" s="2">
        <v>101.48169609780599</v>
      </c>
      <c r="AF447" s="2">
        <v>130.80000000000001</v>
      </c>
      <c r="AG447" s="2">
        <v>52.759075048753502</v>
      </c>
      <c r="AH447" s="2">
        <v>27.480916030534299</v>
      </c>
      <c r="AI447" s="2">
        <v>33.027950614937303</v>
      </c>
      <c r="AJ447" s="2">
        <v>110.63829787234</v>
      </c>
      <c r="AK447" s="2">
        <v>39.0006442123901</v>
      </c>
      <c r="AL447" s="2">
        <v>224</v>
      </c>
      <c r="AM447" s="2">
        <v>63.585434165510797</v>
      </c>
      <c r="AN447"/>
      <c r="AO447"/>
    </row>
    <row r="448" spans="1:41" ht="15.75" hidden="1" customHeight="1" x14ac:dyDescent="0.45">
      <c r="A448" s="2" t="s">
        <v>141</v>
      </c>
      <c r="B448" s="2" t="s">
        <v>142</v>
      </c>
      <c r="C448" s="2">
        <v>3</v>
      </c>
      <c r="D448" s="2"/>
      <c r="E448" s="2" t="s">
        <v>109</v>
      </c>
      <c r="F448" s="2" t="s">
        <v>84</v>
      </c>
      <c r="H448" s="2">
        <v>0.3</v>
      </c>
      <c r="J448" s="2">
        <v>0.3</v>
      </c>
      <c r="K448" s="2">
        <v>1.05555555555555</v>
      </c>
      <c r="L448" s="2"/>
      <c r="M448" s="2">
        <v>1.8282758524338101</v>
      </c>
      <c r="N448" s="2">
        <v>10.2666666666666</v>
      </c>
      <c r="O448" s="2">
        <v>2.8150389774289799</v>
      </c>
      <c r="P448" s="2">
        <v>10.7777777777777</v>
      </c>
      <c r="Q448" s="2">
        <v>13.4642874685976</v>
      </c>
      <c r="R448" s="2">
        <v>0</v>
      </c>
      <c r="S448" s="2">
        <v>0</v>
      </c>
      <c r="T448" s="2">
        <v>69.0555555555555</v>
      </c>
      <c r="U448" s="2">
        <v>16.774926174148899</v>
      </c>
      <c r="V448" s="2">
        <v>0.72222222222222199</v>
      </c>
      <c r="W448" s="2">
        <v>1.2509255832441799</v>
      </c>
      <c r="X448" s="2">
        <v>4.3222222222222202</v>
      </c>
      <c r="Y448" s="2">
        <v>2.29500262244665</v>
      </c>
      <c r="Z448" s="7">
        <v>4.3321807419562797</v>
      </c>
      <c r="AA448" s="2">
        <v>1.1878497707020199</v>
      </c>
      <c r="AB448" s="7">
        <v>3.0134813639968199</v>
      </c>
      <c r="AC448" s="2">
        <v>5.2195028301044601</v>
      </c>
      <c r="AD448" s="2">
        <v>866.202090592334</v>
      </c>
      <c r="AE448" s="2">
        <v>210.41719242834799</v>
      </c>
      <c r="AF448" s="2">
        <v>77.599999999999994</v>
      </c>
      <c r="AG448" s="2">
        <v>96.942869773903396</v>
      </c>
      <c r="AH448" s="2">
        <v>0</v>
      </c>
      <c r="AI448" s="2">
        <v>0</v>
      </c>
      <c r="AJ448" s="2">
        <v>110.63829787234</v>
      </c>
      <c r="AK448" s="2">
        <v>191.631153177833</v>
      </c>
      <c r="AL448" s="2">
        <v>113.163636363636</v>
      </c>
      <c r="AM448" s="2">
        <v>60.087341387694302</v>
      </c>
      <c r="AN448"/>
      <c r="AO448"/>
    </row>
    <row r="449" spans="1:41" ht="15.75" hidden="1" customHeight="1" x14ac:dyDescent="0.45">
      <c r="A449" s="2" t="s">
        <v>141</v>
      </c>
      <c r="B449" s="2" t="s">
        <v>142</v>
      </c>
      <c r="C449" s="2">
        <v>10</v>
      </c>
      <c r="D449" s="2"/>
      <c r="E449" s="2" t="s">
        <v>109</v>
      </c>
      <c r="F449" s="2" t="s">
        <v>84</v>
      </c>
      <c r="H449" s="2">
        <v>0.3</v>
      </c>
      <c r="J449" s="2">
        <v>0.3</v>
      </c>
      <c r="K449" s="2">
        <v>0</v>
      </c>
      <c r="L449" s="2"/>
      <c r="M449" s="2">
        <v>0</v>
      </c>
      <c r="N449" s="2">
        <v>12.7222222222222</v>
      </c>
      <c r="O449" s="2">
        <v>1.97437284932409</v>
      </c>
      <c r="P449" s="2">
        <v>0.61111111111111105</v>
      </c>
      <c r="Q449" s="2">
        <v>1.0584754935143099</v>
      </c>
      <c r="R449" s="2">
        <v>0.38888888888888801</v>
      </c>
      <c r="S449" s="2">
        <v>0.67357531405456295</v>
      </c>
      <c r="T449" s="2">
        <v>88.4444444444444</v>
      </c>
      <c r="U449" s="2">
        <v>7.6781315242512402</v>
      </c>
      <c r="V449" s="2">
        <v>0</v>
      </c>
      <c r="W449" s="2">
        <v>0</v>
      </c>
      <c r="X449" s="2">
        <v>1.05555555555555</v>
      </c>
      <c r="Y449" s="2">
        <v>0.91792842454768298</v>
      </c>
      <c r="Z449" s="7">
        <v>5.3683408544804498</v>
      </c>
      <c r="AA449" s="2">
        <v>0.83311753590420701</v>
      </c>
      <c r="AB449" s="7">
        <v>0</v>
      </c>
      <c r="AC449" s="2">
        <v>0</v>
      </c>
      <c r="AD449" s="2">
        <v>1109.4076655052199</v>
      </c>
      <c r="AE449" s="2">
        <v>96.311057447053898</v>
      </c>
      <c r="AF449" s="2">
        <v>4.3999999999999897</v>
      </c>
      <c r="AG449" s="2">
        <v>7.6210235533030497</v>
      </c>
      <c r="AH449" s="2">
        <v>21.374045801526702</v>
      </c>
      <c r="AI449" s="2">
        <v>37.020933291548502</v>
      </c>
      <c r="AJ449" s="2">
        <v>0</v>
      </c>
      <c r="AK449" s="2">
        <v>0</v>
      </c>
      <c r="AL449" s="2">
        <v>27.636363636363601</v>
      </c>
      <c r="AM449" s="2">
        <v>24.033035115430199</v>
      </c>
      <c r="AN449"/>
      <c r="AO449"/>
    </row>
    <row r="450" spans="1:41" ht="15.75" hidden="1" customHeight="1" x14ac:dyDescent="0.45">
      <c r="A450" s="2" t="s">
        <v>141</v>
      </c>
      <c r="B450" s="2" t="s">
        <v>142</v>
      </c>
      <c r="C450" s="2">
        <v>3.0000000000000001E-3</v>
      </c>
      <c r="D450" s="2"/>
      <c r="E450" s="2" t="s">
        <v>83</v>
      </c>
      <c r="F450" s="2" t="s">
        <v>110</v>
      </c>
      <c r="H450" s="2">
        <v>0.6</v>
      </c>
      <c r="J450" s="2">
        <v>0.6</v>
      </c>
      <c r="K450" s="2">
        <v>32</v>
      </c>
      <c r="L450" s="2"/>
      <c r="M450" s="2">
        <v>2.6457513110645898</v>
      </c>
      <c r="N450" s="2">
        <v>221.555555555555</v>
      </c>
      <c r="O450" s="2">
        <v>5.2290144953517297</v>
      </c>
      <c r="P450" s="2">
        <v>9.8888888888888893</v>
      </c>
      <c r="Q450" s="2">
        <v>1.9531550923607699</v>
      </c>
      <c r="R450" s="2">
        <v>2.7222222222222201</v>
      </c>
      <c r="S450" s="2">
        <v>0.78763593770876705</v>
      </c>
      <c r="T450" s="2">
        <v>10.8333333333333</v>
      </c>
      <c r="U450" s="2">
        <v>0.92796072713833799</v>
      </c>
      <c r="V450" s="2">
        <v>1.1111111111111101</v>
      </c>
      <c r="W450" s="2">
        <v>0.25458753860865801</v>
      </c>
      <c r="X450" s="2">
        <v>2</v>
      </c>
      <c r="Y450" s="2">
        <v>0.44095855184409499</v>
      </c>
      <c r="Z450" s="7">
        <v>96.890184645286595</v>
      </c>
      <c r="AA450" s="2">
        <v>2.2867410329526501</v>
      </c>
      <c r="AB450" s="7">
        <v>88.957528957528893</v>
      </c>
      <c r="AC450" s="2">
        <v>7.3549843396390102</v>
      </c>
      <c r="AD450" s="2">
        <v>123.41772151898699</v>
      </c>
      <c r="AE450" s="2">
        <v>10.5717044863861</v>
      </c>
      <c r="AF450" s="2">
        <v>94.429708222811598</v>
      </c>
      <c r="AG450" s="2">
        <v>18.650817858086899</v>
      </c>
      <c r="AH450" s="2">
        <v>100</v>
      </c>
      <c r="AI450" s="2">
        <v>28.9335650586894</v>
      </c>
      <c r="AJ450" s="2">
        <v>235.29411764705799</v>
      </c>
      <c r="AK450" s="2">
        <v>53.912655234774697</v>
      </c>
      <c r="AL450" s="2">
        <v>116.129032258064</v>
      </c>
      <c r="AM450" s="2">
        <v>25.6040449457861</v>
      </c>
      <c r="AN450"/>
      <c r="AO450"/>
    </row>
    <row r="451" spans="1:41" ht="15.75" hidden="1" customHeight="1" x14ac:dyDescent="0.45">
      <c r="A451" s="2" t="s">
        <v>141</v>
      </c>
      <c r="B451" s="2" t="s">
        <v>142</v>
      </c>
      <c r="C451" s="2">
        <v>0.01</v>
      </c>
      <c r="D451" s="2"/>
      <c r="E451" s="2" t="s">
        <v>83</v>
      </c>
      <c r="F451" s="2" t="s">
        <v>110</v>
      </c>
      <c r="H451" s="2">
        <v>0.6</v>
      </c>
      <c r="J451" s="2">
        <v>0.6</v>
      </c>
      <c r="K451" s="2">
        <v>34.7222222222222</v>
      </c>
      <c r="L451" s="2"/>
      <c r="M451" s="2">
        <v>2.7504208432192701</v>
      </c>
      <c r="N451" s="2">
        <v>202.277777777777</v>
      </c>
      <c r="O451" s="2">
        <v>34.1655826386298</v>
      </c>
      <c r="P451" s="2">
        <v>11</v>
      </c>
      <c r="Q451" s="2">
        <v>0.44095855184404797</v>
      </c>
      <c r="R451" s="2">
        <v>4.8888888888888804</v>
      </c>
      <c r="S451" s="2">
        <v>3.8490017945975001</v>
      </c>
      <c r="T451" s="2">
        <v>9.6111111111111107</v>
      </c>
      <c r="U451" s="2">
        <v>1.5840641588203599</v>
      </c>
      <c r="V451" s="2">
        <v>1</v>
      </c>
      <c r="W451" s="2">
        <v>0.5</v>
      </c>
      <c r="X451" s="2">
        <v>2.1111111111111098</v>
      </c>
      <c r="Y451" s="2">
        <v>0.25458753860865702</v>
      </c>
      <c r="Z451" s="7">
        <v>88.459669582118494</v>
      </c>
      <c r="AA451" s="2">
        <v>14.941216897359901</v>
      </c>
      <c r="AB451" s="7">
        <v>96.525096525096501</v>
      </c>
      <c r="AC451" s="2">
        <v>7.6459575564396696</v>
      </c>
      <c r="AD451" s="2">
        <v>109.49367088607499</v>
      </c>
      <c r="AE451" s="2">
        <v>18.046300543523099</v>
      </c>
      <c r="AF451" s="2">
        <v>105.039787798408</v>
      </c>
      <c r="AG451" s="2">
        <v>4.2107447921447498</v>
      </c>
      <c r="AH451" s="2">
        <v>179.591836734693</v>
      </c>
      <c r="AI451" s="2">
        <v>141.39190265868299</v>
      </c>
      <c r="AJ451" s="2">
        <v>211.76470588235199</v>
      </c>
      <c r="AK451" s="2">
        <v>105.88235294117599</v>
      </c>
      <c r="AL451" s="2">
        <v>122.58064516128999</v>
      </c>
      <c r="AM451" s="2">
        <v>14.782502241793001</v>
      </c>
      <c r="AN451"/>
      <c r="AO451"/>
    </row>
    <row r="452" spans="1:41" ht="15.75" hidden="1" customHeight="1" x14ac:dyDescent="0.45">
      <c r="A452" s="2" t="s">
        <v>141</v>
      </c>
      <c r="B452" s="2" t="s">
        <v>142</v>
      </c>
      <c r="C452" s="2">
        <v>0.03</v>
      </c>
      <c r="D452" s="2"/>
      <c r="E452" s="2" t="s">
        <v>83</v>
      </c>
      <c r="F452" s="2" t="s">
        <v>110</v>
      </c>
      <c r="H452" s="2">
        <v>0.6</v>
      </c>
      <c r="J452" s="2">
        <v>0.6</v>
      </c>
      <c r="K452" s="2">
        <v>28.8888888888888</v>
      </c>
      <c r="L452" s="2"/>
      <c r="M452" s="2">
        <v>4.8371632335644801</v>
      </c>
      <c r="N452" s="2">
        <v>227.944444444444</v>
      </c>
      <c r="O452" s="2">
        <v>41.1046541475854</v>
      </c>
      <c r="P452" s="2">
        <v>8.7777777777777697</v>
      </c>
      <c r="Q452" s="2">
        <v>0.48112522432468702</v>
      </c>
      <c r="R452" s="2">
        <v>2.4444444444444402</v>
      </c>
      <c r="S452" s="2">
        <v>1.49381440663875</v>
      </c>
      <c r="T452" s="2">
        <v>11.6666666666666</v>
      </c>
      <c r="U452" s="2">
        <v>4.7696960070847201</v>
      </c>
      <c r="V452" s="2">
        <v>0.88888888888888795</v>
      </c>
      <c r="W452" s="2">
        <v>0.67357531405456295</v>
      </c>
      <c r="X452" s="2">
        <v>1.94444444444444</v>
      </c>
      <c r="Y452" s="2">
        <v>0.67357531405456295</v>
      </c>
      <c r="Z452" s="7">
        <v>99.684159378036895</v>
      </c>
      <c r="AA452" s="2">
        <v>17.975796274454201</v>
      </c>
      <c r="AB452" s="7">
        <v>80.308880308880305</v>
      </c>
      <c r="AC452" s="2">
        <v>13.4469402631908</v>
      </c>
      <c r="AD452" s="2">
        <v>132.911392405063</v>
      </c>
      <c r="AE452" s="2">
        <v>54.338308941471503</v>
      </c>
      <c r="AF452" s="2">
        <v>83.819628647214799</v>
      </c>
      <c r="AG452" s="2">
        <v>4.5942992243206202</v>
      </c>
      <c r="AH452" s="2">
        <v>89.7959183673469</v>
      </c>
      <c r="AI452" s="2">
        <v>54.874814937750003</v>
      </c>
      <c r="AJ452" s="2">
        <v>188.23529411764699</v>
      </c>
      <c r="AK452" s="2">
        <v>142.63947827037799</v>
      </c>
      <c r="AL452" s="2">
        <v>112.903225806451</v>
      </c>
      <c r="AM452" s="2">
        <v>39.110824687039099</v>
      </c>
      <c r="AN452"/>
      <c r="AO452"/>
    </row>
    <row r="453" spans="1:41" ht="15.75" hidden="1" customHeight="1" x14ac:dyDescent="0.45">
      <c r="A453" s="2" t="s">
        <v>141</v>
      </c>
      <c r="B453" s="2" t="s">
        <v>142</v>
      </c>
      <c r="C453" s="2">
        <v>0.1</v>
      </c>
      <c r="D453" s="2"/>
      <c r="E453" s="2" t="s">
        <v>83</v>
      </c>
      <c r="F453" s="2" t="s">
        <v>110</v>
      </c>
      <c r="H453" s="2">
        <v>0.6</v>
      </c>
      <c r="J453" s="2">
        <v>0.6</v>
      </c>
      <c r="K453" s="2">
        <v>9.6666666666666607</v>
      </c>
      <c r="L453" s="2"/>
      <c r="M453" s="2">
        <v>3.7230513172814299</v>
      </c>
      <c r="N453" s="2">
        <v>187</v>
      </c>
      <c r="O453" s="2">
        <v>26.520956074604602</v>
      </c>
      <c r="P453" s="2">
        <v>9.9444444444444393</v>
      </c>
      <c r="Q453" s="2">
        <v>0.83887049280785597</v>
      </c>
      <c r="R453" s="2">
        <v>2.1666666666666599</v>
      </c>
      <c r="S453" s="2">
        <v>1.0408329997330601</v>
      </c>
      <c r="T453" s="2">
        <v>8.3333333333333304</v>
      </c>
      <c r="U453" s="2">
        <v>1.0408329997330601</v>
      </c>
      <c r="V453" s="2">
        <v>0.66666666666666596</v>
      </c>
      <c r="W453" s="2">
        <v>0.16666666666666699</v>
      </c>
      <c r="X453" s="2">
        <v>2.2222222222222201</v>
      </c>
      <c r="Y453" s="2">
        <v>0.53575837561071804</v>
      </c>
      <c r="Z453" s="7">
        <v>81.778425655976605</v>
      </c>
      <c r="AA453" s="2">
        <v>11.5980857469116</v>
      </c>
      <c r="AB453" s="7">
        <v>26.872586872586801</v>
      </c>
      <c r="AC453" s="2">
        <v>10.349795167732101</v>
      </c>
      <c r="AD453" s="2">
        <v>94.936708860759396</v>
      </c>
      <c r="AE453" s="2">
        <v>11.8575911361994</v>
      </c>
      <c r="AF453" s="2">
        <v>94.960212201591403</v>
      </c>
      <c r="AG453" s="2">
        <v>8.0104344140803203</v>
      </c>
      <c r="AH453" s="2">
        <v>79.5918367346938</v>
      </c>
      <c r="AI453" s="2">
        <v>38.234681622847297</v>
      </c>
      <c r="AJ453" s="2">
        <v>141.17647058823499</v>
      </c>
      <c r="AK453" s="2">
        <v>35.294117647058897</v>
      </c>
      <c r="AL453" s="2">
        <v>129.03225806451599</v>
      </c>
      <c r="AM453" s="2">
        <v>31.108550841912599</v>
      </c>
      <c r="AN453"/>
      <c r="AO453"/>
    </row>
    <row r="454" spans="1:41" ht="15.75" hidden="1" customHeight="1" x14ac:dyDescent="0.45">
      <c r="A454" s="2" t="s">
        <v>141</v>
      </c>
      <c r="B454" s="2" t="s">
        <v>142</v>
      </c>
      <c r="C454" s="2">
        <v>0.3</v>
      </c>
      <c r="D454" s="2"/>
      <c r="E454" s="2" t="s">
        <v>83</v>
      </c>
      <c r="F454" s="2" t="s">
        <v>110</v>
      </c>
      <c r="H454" s="2">
        <v>0.6</v>
      </c>
      <c r="J454" s="2">
        <v>0.6</v>
      </c>
      <c r="K454" s="2">
        <v>5.7777777777777697</v>
      </c>
      <c r="L454" s="2"/>
      <c r="M454" s="2">
        <v>1.6694421334796301</v>
      </c>
      <c r="N454" s="2">
        <v>156.388888888888</v>
      </c>
      <c r="O454" s="2">
        <v>13.9605926861342</v>
      </c>
      <c r="P454" s="2">
        <v>8.05555555555555</v>
      </c>
      <c r="Q454" s="2">
        <v>0.50917507721730804</v>
      </c>
      <c r="R454" s="2">
        <v>1.5</v>
      </c>
      <c r="S454" s="2">
        <v>1.0137937550497</v>
      </c>
      <c r="T454" s="2">
        <v>11.8888888888888</v>
      </c>
      <c r="U454" s="2">
        <v>1.5122952876462299</v>
      </c>
      <c r="V454" s="2">
        <v>0.77777777777777701</v>
      </c>
      <c r="W454" s="2">
        <v>0.50917507721731503</v>
      </c>
      <c r="X454" s="2">
        <v>2.9444444444444402</v>
      </c>
      <c r="Y454" s="2">
        <v>9.6225044864948206E-2</v>
      </c>
      <c r="Z454" s="7">
        <v>68.391642371234198</v>
      </c>
      <c r="AA454" s="2">
        <v>6.1052154604085702</v>
      </c>
      <c r="AB454" s="7">
        <v>16.061776061776001</v>
      </c>
      <c r="AC454" s="2">
        <v>4.6409202166229102</v>
      </c>
      <c r="AD454" s="2">
        <v>135.44303797468299</v>
      </c>
      <c r="AE454" s="2">
        <v>17.228680492172298</v>
      </c>
      <c r="AF454" s="2">
        <v>76.923076923076906</v>
      </c>
      <c r="AG454" s="2">
        <v>4.8621492784676601</v>
      </c>
      <c r="AH454" s="2">
        <v>55.1020408163265</v>
      </c>
      <c r="AI454" s="2">
        <v>37.241403246723799</v>
      </c>
      <c r="AJ454" s="2">
        <v>164.70588235294099</v>
      </c>
      <c r="AK454" s="2">
        <v>107.825310469549</v>
      </c>
      <c r="AL454" s="2">
        <v>170.96774193548299</v>
      </c>
      <c r="AM454" s="2">
        <v>5.5872606695776303</v>
      </c>
      <c r="AN454"/>
      <c r="AO454"/>
    </row>
    <row r="455" spans="1:41" ht="15.75" hidden="1" customHeight="1" x14ac:dyDescent="0.45">
      <c r="A455" s="2" t="s">
        <v>141</v>
      </c>
      <c r="B455" s="2" t="s">
        <v>142</v>
      </c>
      <c r="C455" s="2">
        <v>1</v>
      </c>
      <c r="D455" s="2"/>
      <c r="E455" s="2" t="s">
        <v>83</v>
      </c>
      <c r="F455" s="2" t="s">
        <v>110</v>
      </c>
      <c r="H455" s="2">
        <v>0.6</v>
      </c>
      <c r="J455" s="2">
        <v>0.6</v>
      </c>
      <c r="K455" s="2">
        <v>4.3333333333333304</v>
      </c>
      <c r="L455" s="2"/>
      <c r="M455" s="2">
        <v>1.1666666666666601</v>
      </c>
      <c r="N455" s="2">
        <v>84.5</v>
      </c>
      <c r="O455" s="2">
        <v>17.881554742247701</v>
      </c>
      <c r="P455" s="2">
        <v>23.3888888888888</v>
      </c>
      <c r="Q455" s="2">
        <v>3.2885885748775401</v>
      </c>
      <c r="R455" s="2">
        <v>3.2222222222222201</v>
      </c>
      <c r="S455" s="2">
        <v>1.22851913263866</v>
      </c>
      <c r="T455" s="2">
        <v>13.8333333333333</v>
      </c>
      <c r="U455" s="2">
        <v>1.3017082793177499</v>
      </c>
      <c r="V455" s="2">
        <v>1.94444444444444</v>
      </c>
      <c r="W455" s="2">
        <v>1.20569635634503</v>
      </c>
      <c r="X455" s="2">
        <v>3.55555555555555</v>
      </c>
      <c r="Y455" s="2">
        <v>0.82214714371937503</v>
      </c>
      <c r="Z455" s="7">
        <v>36.953352769679199</v>
      </c>
      <c r="AA455" s="2">
        <v>7.8199218989421402</v>
      </c>
      <c r="AB455" s="7">
        <v>12.046332046331999</v>
      </c>
      <c r="AC455" s="2">
        <v>3.2432432432432399</v>
      </c>
      <c r="AD455" s="2">
        <v>157.59493670885999</v>
      </c>
      <c r="AE455" s="2">
        <v>14.8295879922276</v>
      </c>
      <c r="AF455" s="2">
        <v>223.342175066312</v>
      </c>
      <c r="AG455" s="2">
        <v>31.4029678237643</v>
      </c>
      <c r="AH455" s="2">
        <v>118.367346938775</v>
      </c>
      <c r="AI455" s="2">
        <v>45.1292742601958</v>
      </c>
      <c r="AJ455" s="2">
        <v>411.76470588235202</v>
      </c>
      <c r="AK455" s="2">
        <v>255.32393428483101</v>
      </c>
      <c r="AL455" s="2">
        <v>206.451612903225</v>
      </c>
      <c r="AM455" s="2">
        <v>47.737576086931398</v>
      </c>
      <c r="AN455"/>
      <c r="AO455"/>
    </row>
    <row r="456" spans="1:41" ht="15.75" hidden="1" customHeight="1" x14ac:dyDescent="0.45">
      <c r="A456" s="2" t="s">
        <v>141</v>
      </c>
      <c r="B456" s="2" t="s">
        <v>142</v>
      </c>
      <c r="C456" s="2">
        <v>3</v>
      </c>
      <c r="D456" s="2"/>
      <c r="E456" s="2" t="s">
        <v>83</v>
      </c>
      <c r="F456" s="2" t="s">
        <v>110</v>
      </c>
      <c r="H456" s="2">
        <v>0.6</v>
      </c>
      <c r="J456" s="2">
        <v>0.6</v>
      </c>
      <c r="K456" s="2">
        <v>1</v>
      </c>
      <c r="L456" s="2"/>
      <c r="M456" s="2">
        <v>0.92796072713833699</v>
      </c>
      <c r="N456" s="2">
        <v>25.0555555555555</v>
      </c>
      <c r="O456" s="2">
        <v>1.85841429818647</v>
      </c>
      <c r="P456" s="2">
        <v>9.1666666666666607</v>
      </c>
      <c r="Q456" s="2">
        <v>4.0926763859362199</v>
      </c>
      <c r="R456" s="2">
        <v>13.3888888888888</v>
      </c>
      <c r="S456" s="2">
        <v>2.41139271269008</v>
      </c>
      <c r="T456" s="2">
        <v>46.6666666666666</v>
      </c>
      <c r="U456" s="2">
        <v>7.8810602783579604</v>
      </c>
      <c r="V456" s="2">
        <v>0.33333333333333298</v>
      </c>
      <c r="W456" s="2">
        <v>0.28867513459481198</v>
      </c>
      <c r="X456" s="2">
        <v>3.7222222222222201</v>
      </c>
      <c r="Y456" s="2">
        <v>2.9360467248275102</v>
      </c>
      <c r="Z456" s="7">
        <v>10.9572400388726</v>
      </c>
      <c r="AA456" s="2">
        <v>0.81271762311361795</v>
      </c>
      <c r="AB456" s="7">
        <v>2.7799227799227699</v>
      </c>
      <c r="AC456" s="2">
        <v>2.57965916424557</v>
      </c>
      <c r="AD456" s="2">
        <v>531.64556962025301</v>
      </c>
      <c r="AE456" s="2">
        <v>89.784231019267907</v>
      </c>
      <c r="AF456" s="2">
        <v>87.533156498673705</v>
      </c>
      <c r="AG456" s="2">
        <v>39.081259918754299</v>
      </c>
      <c r="AH456" s="2">
        <v>491.83673469387702</v>
      </c>
      <c r="AI456" s="2">
        <v>88.581773119227506</v>
      </c>
      <c r="AJ456" s="2">
        <v>70.588235294117595</v>
      </c>
      <c r="AK456" s="2">
        <v>61.131204973019202</v>
      </c>
      <c r="AL456" s="2">
        <v>216.129032258064</v>
      </c>
      <c r="AM456" s="2">
        <v>170.48013240933901</v>
      </c>
      <c r="AN456"/>
      <c r="AO456"/>
    </row>
    <row r="457" spans="1:41" ht="15.75" hidden="1" customHeight="1" x14ac:dyDescent="0.45">
      <c r="A457" s="2" t="s">
        <v>141</v>
      </c>
      <c r="B457" s="2" t="s">
        <v>142</v>
      </c>
      <c r="C457" s="2">
        <v>10</v>
      </c>
      <c r="D457" s="2"/>
      <c r="E457" s="2" t="s">
        <v>83</v>
      </c>
      <c r="F457" s="2" t="s">
        <v>110</v>
      </c>
      <c r="H457" s="2">
        <v>0.6</v>
      </c>
      <c r="J457" s="2">
        <v>0.6</v>
      </c>
      <c r="K457" s="2">
        <v>0.44444444444444398</v>
      </c>
      <c r="L457" s="2"/>
      <c r="M457" s="2">
        <v>0.76980035891950105</v>
      </c>
      <c r="N457" s="2">
        <v>23.288888888888799</v>
      </c>
      <c r="O457" s="2">
        <v>2.6750562472452502</v>
      </c>
      <c r="P457" s="2">
        <v>0</v>
      </c>
      <c r="Q457" s="2">
        <v>0</v>
      </c>
      <c r="R457" s="2">
        <v>45.5555555555555</v>
      </c>
      <c r="S457" s="2">
        <v>10.9624780923806</v>
      </c>
      <c r="T457" s="2">
        <v>89.5</v>
      </c>
      <c r="U457" s="2">
        <v>1.5000000000006</v>
      </c>
      <c r="V457" s="2">
        <v>0</v>
      </c>
      <c r="W457" s="2">
        <v>0</v>
      </c>
      <c r="X457" s="2">
        <v>0.33333333333333298</v>
      </c>
      <c r="Y457" s="2">
        <v>0.33333333333333298</v>
      </c>
      <c r="Z457" s="7">
        <v>10.1846452866861</v>
      </c>
      <c r="AA457" s="2">
        <v>1.1698496708069599</v>
      </c>
      <c r="AB457" s="7">
        <v>1.2355212355212299</v>
      </c>
      <c r="AC457" s="2">
        <v>2.1399855537530499</v>
      </c>
      <c r="AD457" s="2">
        <v>1019.62025316455</v>
      </c>
      <c r="AE457" s="2">
        <v>17.0886075949436</v>
      </c>
      <c r="AF457" s="2">
        <v>0</v>
      </c>
      <c r="AG457" s="2">
        <v>0</v>
      </c>
      <c r="AH457" s="2">
        <v>1673.4693877550999</v>
      </c>
      <c r="AI457" s="2">
        <v>402.70327686296201</v>
      </c>
      <c r="AJ457" s="2">
        <v>0</v>
      </c>
      <c r="AK457" s="2">
        <v>0</v>
      </c>
      <c r="AL457" s="2">
        <v>19.354838709677399</v>
      </c>
      <c r="AM457" s="2">
        <v>19.354838709677399</v>
      </c>
      <c r="AN457"/>
      <c r="AO457"/>
    </row>
    <row r="458" spans="1:41" ht="15.75" hidden="1" customHeight="1" x14ac:dyDescent="0.45">
      <c r="A458" s="2" t="s">
        <v>141</v>
      </c>
      <c r="B458" s="2" t="s">
        <v>142</v>
      </c>
      <c r="C458" s="2">
        <v>3.0000000000000001E-3</v>
      </c>
      <c r="D458" s="2"/>
      <c r="E458" s="2" t="s">
        <v>83</v>
      </c>
      <c r="F458" s="2" t="s">
        <v>110</v>
      </c>
      <c r="H458" s="2">
        <v>0.4</v>
      </c>
      <c r="J458" s="2">
        <v>0.4</v>
      </c>
      <c r="K458" s="2">
        <v>26.1666666666666</v>
      </c>
      <c r="L458" s="2"/>
      <c r="M458" s="2">
        <v>1.3017082793177299</v>
      </c>
      <c r="N458" s="2">
        <v>153.222222222222</v>
      </c>
      <c r="O458" s="2">
        <v>22.511930993076401</v>
      </c>
      <c r="P458" s="2">
        <v>12.8333333333333</v>
      </c>
      <c r="Q458" s="2">
        <v>2.4209731743890002</v>
      </c>
      <c r="R458" s="2">
        <v>2.55555555555555</v>
      </c>
      <c r="S458" s="2">
        <v>0.50917507721731703</v>
      </c>
      <c r="T458" s="2">
        <v>9.05555555555555</v>
      </c>
      <c r="U458" s="2">
        <v>1.98839224090814</v>
      </c>
      <c r="V458" s="2">
        <v>1.1666666666666601</v>
      </c>
      <c r="W458" s="2">
        <v>0.28867513459481298</v>
      </c>
      <c r="X458" s="2">
        <v>3.3333333333333299</v>
      </c>
      <c r="Y458" s="2">
        <v>0.166666666666658</v>
      </c>
      <c r="Z458" s="7">
        <v>120.095797953407</v>
      </c>
      <c r="AA458" s="2">
        <v>17.644883861326999</v>
      </c>
      <c r="AB458" s="7">
        <v>107.16723549488</v>
      </c>
      <c r="AC458" s="2">
        <v>5.3312284477176899</v>
      </c>
      <c r="AD458" s="2">
        <v>99.390243902438996</v>
      </c>
      <c r="AE458" s="2">
        <v>21.823817278260002</v>
      </c>
      <c r="AF458" s="2">
        <v>92.399999999999906</v>
      </c>
      <c r="AG458" s="2">
        <v>17.431006855600799</v>
      </c>
      <c r="AH458" s="2">
        <v>76.033057851239604</v>
      </c>
      <c r="AI458" s="2">
        <v>15.1490105618375</v>
      </c>
      <c r="AJ458" s="2">
        <v>161.53846153846101</v>
      </c>
      <c r="AK458" s="2">
        <v>39.970403251589502</v>
      </c>
      <c r="AL458" s="2">
        <v>92.307692307692193</v>
      </c>
      <c r="AM458" s="2">
        <v>4.6153846153843796</v>
      </c>
      <c r="AN458"/>
      <c r="AO458"/>
    </row>
    <row r="459" spans="1:41" ht="15.75" hidden="1" customHeight="1" x14ac:dyDescent="0.45">
      <c r="A459" s="2" t="s">
        <v>141</v>
      </c>
      <c r="B459" s="2" t="s">
        <v>142</v>
      </c>
      <c r="C459" s="2">
        <v>0.01</v>
      </c>
      <c r="D459" s="2"/>
      <c r="E459" s="2" t="s">
        <v>83</v>
      </c>
      <c r="F459" s="2" t="s">
        <v>110</v>
      </c>
      <c r="H459" s="2">
        <v>0.4</v>
      </c>
      <c r="J459" s="2">
        <v>0.4</v>
      </c>
      <c r="K459" s="2">
        <v>23.7222222222222</v>
      </c>
      <c r="L459" s="2"/>
      <c r="M459" s="2">
        <v>2.6369876191791302</v>
      </c>
      <c r="N459" s="2">
        <v>121.111111111111</v>
      </c>
      <c r="O459" s="2">
        <v>29.194906963246002</v>
      </c>
      <c r="P459" s="2">
        <v>14.4444444444444</v>
      </c>
      <c r="Q459" s="2">
        <v>0.58531409738067297</v>
      </c>
      <c r="R459" s="2">
        <v>3.05555555555555</v>
      </c>
      <c r="S459" s="2">
        <v>1.6777409856157199</v>
      </c>
      <c r="T459" s="2">
        <v>8.8888888888888893</v>
      </c>
      <c r="U459" s="2">
        <v>0.53575837561072004</v>
      </c>
      <c r="V459" s="2">
        <v>1.1111111111111101</v>
      </c>
      <c r="W459" s="2">
        <v>0.34694433324435497</v>
      </c>
      <c r="X459" s="2">
        <v>4.6666666666666599</v>
      </c>
      <c r="Y459" s="2">
        <v>0.88191710368820098</v>
      </c>
      <c r="Z459" s="7">
        <v>94.927062921837503</v>
      </c>
      <c r="AA459" s="2">
        <v>22.8830100299772</v>
      </c>
      <c r="AB459" s="7">
        <v>97.155858930602903</v>
      </c>
      <c r="AC459" s="2">
        <v>10.799949293566399</v>
      </c>
      <c r="AD459" s="2">
        <v>97.560975609755999</v>
      </c>
      <c r="AE459" s="2">
        <v>5.880274854264</v>
      </c>
      <c r="AF459" s="2">
        <v>103.99999999999901</v>
      </c>
      <c r="AG459" s="2">
        <v>4.2142615011408404</v>
      </c>
      <c r="AH459" s="2">
        <v>90.909090909090907</v>
      </c>
      <c r="AI459" s="2">
        <v>49.916260729062799</v>
      </c>
      <c r="AJ459" s="2">
        <v>153.84615384615299</v>
      </c>
      <c r="AK459" s="2">
        <v>48.038446141526201</v>
      </c>
      <c r="AL459" s="2">
        <v>129.230769230769</v>
      </c>
      <c r="AM459" s="2">
        <v>24.422319794442402</v>
      </c>
      <c r="AN459"/>
      <c r="AO459"/>
    </row>
    <row r="460" spans="1:41" ht="15.75" hidden="1" customHeight="1" x14ac:dyDescent="0.45">
      <c r="A460" s="2" t="s">
        <v>141</v>
      </c>
      <c r="B460" s="2" t="s">
        <v>142</v>
      </c>
      <c r="C460" s="2">
        <v>0.03</v>
      </c>
      <c r="D460" s="2"/>
      <c r="E460" s="2" t="s">
        <v>83</v>
      </c>
      <c r="F460" s="2" t="s">
        <v>110</v>
      </c>
      <c r="H460" s="2">
        <v>0.4</v>
      </c>
      <c r="J460" s="2">
        <v>0.4</v>
      </c>
      <c r="K460" s="2">
        <v>22.6111111111111</v>
      </c>
      <c r="L460" s="2"/>
      <c r="M460" s="2">
        <v>8.7501322741324703</v>
      </c>
      <c r="N460" s="2">
        <v>139.888888888888</v>
      </c>
      <c r="O460" s="2">
        <v>17.148318133706798</v>
      </c>
      <c r="P460" s="2">
        <v>11.7222222222222</v>
      </c>
      <c r="Q460" s="2">
        <v>1.0183501544346301</v>
      </c>
      <c r="R460" s="2">
        <v>2.9444444444444402</v>
      </c>
      <c r="S460" s="2">
        <v>2.07051612817602</v>
      </c>
      <c r="T460" s="2">
        <v>11.8888888888888</v>
      </c>
      <c r="U460" s="2">
        <v>3.27589399729013</v>
      </c>
      <c r="V460" s="2">
        <v>1.1666666666666601</v>
      </c>
      <c r="W460" s="2">
        <v>0.44095855184409899</v>
      </c>
      <c r="X460" s="2">
        <v>3.8333333333333299</v>
      </c>
      <c r="Y460" s="2">
        <v>0.600925212577334</v>
      </c>
      <c r="Z460" s="7">
        <v>109.64511212715</v>
      </c>
      <c r="AA460" s="2">
        <v>13.4408763948061</v>
      </c>
      <c r="AB460" s="7">
        <v>92.605233219567594</v>
      </c>
      <c r="AC460" s="2">
        <v>35.836719211464001</v>
      </c>
      <c r="AD460" s="2">
        <v>130.487804878048</v>
      </c>
      <c r="AE460" s="2">
        <v>35.954934116598999</v>
      </c>
      <c r="AF460" s="2">
        <v>84.399999999999906</v>
      </c>
      <c r="AG460" s="2">
        <v>7.3321211119293404</v>
      </c>
      <c r="AH460" s="2">
        <v>87.603305785123894</v>
      </c>
      <c r="AI460" s="2">
        <v>61.602132739121302</v>
      </c>
      <c r="AJ460" s="2">
        <v>161.53846153846101</v>
      </c>
      <c r="AK460" s="2">
        <v>61.055799486105997</v>
      </c>
      <c r="AL460" s="2">
        <v>106.153846153846</v>
      </c>
      <c r="AM460" s="2">
        <v>16.641005886756901</v>
      </c>
      <c r="AN460"/>
      <c r="AO460"/>
    </row>
    <row r="461" spans="1:41" ht="15.75" hidden="1" customHeight="1" x14ac:dyDescent="0.45">
      <c r="A461" s="2" t="s">
        <v>141</v>
      </c>
      <c r="B461" s="2" t="s">
        <v>142</v>
      </c>
      <c r="C461" s="2">
        <v>0.1</v>
      </c>
      <c r="D461" s="2"/>
      <c r="E461" s="2" t="s">
        <v>83</v>
      </c>
      <c r="F461" s="2" t="s">
        <v>110</v>
      </c>
      <c r="H461" s="2">
        <v>0.4</v>
      </c>
      <c r="J461" s="2">
        <v>0.4</v>
      </c>
      <c r="K461" s="2">
        <v>8.3333333333333304</v>
      </c>
      <c r="L461" s="2"/>
      <c r="M461" s="2">
        <v>2.3511226632776401</v>
      </c>
      <c r="N461" s="2">
        <v>111.388888888888</v>
      </c>
      <c r="O461" s="2">
        <v>33.6089990153651</v>
      </c>
      <c r="P461" s="2">
        <v>12.2222222222222</v>
      </c>
      <c r="Q461" s="2">
        <v>0.91792842454767698</v>
      </c>
      <c r="R461" s="2">
        <v>3</v>
      </c>
      <c r="S461" s="2">
        <v>1.64147630029935</v>
      </c>
      <c r="T461" s="2">
        <v>6.1111111111111098</v>
      </c>
      <c r="U461" s="2">
        <v>2.6158349704430002</v>
      </c>
      <c r="V461" s="2">
        <v>0.77777777777777701</v>
      </c>
      <c r="W461" s="2">
        <v>0.25458753860865702</v>
      </c>
      <c r="X461" s="2">
        <v>3.3333333333333299</v>
      </c>
      <c r="Y461" s="2">
        <v>1.64147630029935</v>
      </c>
      <c r="Z461" s="7">
        <v>87.306771173524893</v>
      </c>
      <c r="AA461" s="2">
        <v>26.342781723342998</v>
      </c>
      <c r="AB461" s="7">
        <v>34.129692832764398</v>
      </c>
      <c r="AC461" s="2">
        <v>9.6291713171780806</v>
      </c>
      <c r="AD461" s="2">
        <v>67.073170731707293</v>
      </c>
      <c r="AE461" s="2">
        <v>28.710383821935402</v>
      </c>
      <c r="AF461" s="2">
        <v>87.999999999999901</v>
      </c>
      <c r="AG461" s="2">
        <v>6.6090846567432697</v>
      </c>
      <c r="AH461" s="2">
        <v>89.2561983471074</v>
      </c>
      <c r="AI461" s="2">
        <v>48.837311413864903</v>
      </c>
      <c r="AJ461" s="2">
        <v>107.692307692307</v>
      </c>
      <c r="AK461" s="2">
        <v>35.250582268891002</v>
      </c>
      <c r="AL461" s="2">
        <v>92.307692307692193</v>
      </c>
      <c r="AM461" s="2">
        <v>45.456266777520398</v>
      </c>
      <c r="AN461"/>
      <c r="AO461"/>
    </row>
    <row r="462" spans="1:41" ht="15.75" hidden="1" customHeight="1" x14ac:dyDescent="0.45">
      <c r="A462" s="2" t="s">
        <v>141</v>
      </c>
      <c r="B462" s="2" t="s">
        <v>142</v>
      </c>
      <c r="C462" s="2">
        <v>0.3</v>
      </c>
      <c r="D462" s="2"/>
      <c r="E462" s="2" t="s">
        <v>83</v>
      </c>
      <c r="F462" s="2" t="s">
        <v>110</v>
      </c>
      <c r="H462" s="2">
        <v>0.4</v>
      </c>
      <c r="J462" s="2">
        <v>0.4</v>
      </c>
      <c r="K462" s="2">
        <v>3.6666666666666599</v>
      </c>
      <c r="L462" s="2"/>
      <c r="M462" s="2">
        <v>1.64147630029935</v>
      </c>
      <c r="N462" s="2">
        <v>89.8333333333333</v>
      </c>
      <c r="O462" s="2">
        <v>18.186533479473201</v>
      </c>
      <c r="P462" s="2">
        <v>10.6666666666666</v>
      </c>
      <c r="Q462" s="2">
        <v>1.6914819275153801</v>
      </c>
      <c r="R462" s="2">
        <v>1.8333333333333299</v>
      </c>
      <c r="S462" s="2">
        <v>1.1547005383792499</v>
      </c>
      <c r="T462" s="2">
        <v>9.1666666666666607</v>
      </c>
      <c r="U462" s="2">
        <v>0.288675134594853</v>
      </c>
      <c r="V462" s="2">
        <v>0.72222222222222199</v>
      </c>
      <c r="W462" s="2">
        <v>0.19245008972987501</v>
      </c>
      <c r="X462" s="2">
        <v>5.1111111111111098</v>
      </c>
      <c r="Y462" s="2">
        <v>1.2509255832441899</v>
      </c>
      <c r="Z462" s="7">
        <v>70.411495754408804</v>
      </c>
      <c r="AA462" s="2">
        <v>14.2546310747014</v>
      </c>
      <c r="AB462" s="7">
        <v>15.0170648464163</v>
      </c>
      <c r="AC462" s="2">
        <v>6.7227698305775396</v>
      </c>
      <c r="AD462" s="2">
        <v>100.60975609755999</v>
      </c>
      <c r="AE462" s="2">
        <v>3.1683856236020498</v>
      </c>
      <c r="AF462" s="2">
        <v>76.8</v>
      </c>
      <c r="AG462" s="2">
        <v>12.1786698781107</v>
      </c>
      <c r="AH462" s="2">
        <v>54.545454545454497</v>
      </c>
      <c r="AI462" s="2">
        <v>34.354726761696703</v>
      </c>
      <c r="AJ462" s="2">
        <v>100</v>
      </c>
      <c r="AK462" s="2">
        <v>26.646935501059598</v>
      </c>
      <c r="AL462" s="2">
        <v>141.53846153846101</v>
      </c>
      <c r="AM462" s="2">
        <v>34.641016151377499</v>
      </c>
      <c r="AN462"/>
      <c r="AO462"/>
    </row>
    <row r="463" spans="1:41" ht="15.75" hidden="1" customHeight="1" x14ac:dyDescent="0.45">
      <c r="A463" s="2" t="s">
        <v>141</v>
      </c>
      <c r="B463" s="2" t="s">
        <v>142</v>
      </c>
      <c r="C463" s="2">
        <v>1</v>
      </c>
      <c r="D463" s="2"/>
      <c r="E463" s="2" t="s">
        <v>83</v>
      </c>
      <c r="F463" s="2" t="s">
        <v>110</v>
      </c>
      <c r="H463" s="2">
        <v>0.4</v>
      </c>
      <c r="J463" s="2">
        <v>0.4</v>
      </c>
      <c r="K463" s="2">
        <v>1.6111111111111101</v>
      </c>
      <c r="L463" s="2"/>
      <c r="M463" s="2">
        <v>1.0046189622236099</v>
      </c>
      <c r="N463" s="2">
        <v>38.8888888888888</v>
      </c>
      <c r="O463" s="2">
        <v>21.567293482218499</v>
      </c>
      <c r="P463" s="2">
        <v>38</v>
      </c>
      <c r="Q463" s="2">
        <v>15.089547522853101</v>
      </c>
      <c r="R463" s="2">
        <v>4.05555555555555</v>
      </c>
      <c r="S463" s="2">
        <v>3.8163876656879099</v>
      </c>
      <c r="T463" s="2">
        <v>13.3333333333333</v>
      </c>
      <c r="U463" s="2">
        <v>0.49999999999994299</v>
      </c>
      <c r="V463" s="2">
        <v>0.5</v>
      </c>
      <c r="W463" s="2">
        <v>0.44095855184409799</v>
      </c>
      <c r="X463" s="2">
        <v>6.4444444444444402</v>
      </c>
      <c r="Y463" s="2">
        <v>0.34694433324433899</v>
      </c>
      <c r="Z463" s="7">
        <v>30.4811669932505</v>
      </c>
      <c r="AA463" s="2">
        <v>16.904475622901501</v>
      </c>
      <c r="AB463" s="7">
        <v>6.5984072810011298</v>
      </c>
      <c r="AC463" s="2">
        <v>4.1144803913595203</v>
      </c>
      <c r="AD463" s="2">
        <v>146.34146341463401</v>
      </c>
      <c r="AE463" s="2">
        <v>5.4878048780481503</v>
      </c>
      <c r="AF463" s="2">
        <v>273.599999999999</v>
      </c>
      <c r="AG463" s="2">
        <v>108.644742164542</v>
      </c>
      <c r="AH463" s="2">
        <v>120.661157024793</v>
      </c>
      <c r="AI463" s="2">
        <v>113.54541815269801</v>
      </c>
      <c r="AJ463" s="2">
        <v>69.230769230769198</v>
      </c>
      <c r="AK463" s="2">
        <v>61.055799486105897</v>
      </c>
      <c r="AL463" s="2">
        <v>178.461538461538</v>
      </c>
      <c r="AM463" s="2">
        <v>9.6076892283047908</v>
      </c>
      <c r="AN463"/>
      <c r="AO463"/>
    </row>
    <row r="464" spans="1:41" ht="15.75" hidden="1" customHeight="1" x14ac:dyDescent="0.45">
      <c r="A464" s="2" t="s">
        <v>141</v>
      </c>
      <c r="B464" s="2" t="s">
        <v>142</v>
      </c>
      <c r="C464" s="2">
        <v>3</v>
      </c>
      <c r="D464" s="2"/>
      <c r="E464" s="2" t="s">
        <v>83</v>
      </c>
      <c r="F464" s="2" t="s">
        <v>110</v>
      </c>
      <c r="H464" s="2">
        <v>0.4</v>
      </c>
      <c r="J464" s="2">
        <v>0.4</v>
      </c>
      <c r="K464" s="2">
        <v>0</v>
      </c>
      <c r="L464" s="2"/>
      <c r="M464" s="2">
        <v>0</v>
      </c>
      <c r="N464" s="2">
        <v>15.6666666666666</v>
      </c>
      <c r="O464" s="2">
        <v>0.88191710368819298</v>
      </c>
      <c r="P464" s="2">
        <v>10.1666666666666</v>
      </c>
      <c r="Q464" s="2">
        <v>3.25320354932385</v>
      </c>
      <c r="R464" s="2">
        <v>10.5555555555555</v>
      </c>
      <c r="S464" s="2">
        <v>8.6672008382389691</v>
      </c>
      <c r="T464" s="2">
        <v>48.3333333333333</v>
      </c>
      <c r="U464" s="2">
        <v>5.89019901569075</v>
      </c>
      <c r="V464" s="2">
        <v>0.27777777777777701</v>
      </c>
      <c r="W464" s="2">
        <v>0.48112522432468802</v>
      </c>
      <c r="X464" s="2">
        <v>6.3333333333333304</v>
      </c>
      <c r="Y464" s="2">
        <v>0.44095855184411997</v>
      </c>
      <c r="Z464" s="7">
        <v>12.2795558458523</v>
      </c>
      <c r="AA464" s="2">
        <v>0.69124789315860902</v>
      </c>
      <c r="AB464" s="7">
        <v>0</v>
      </c>
      <c r="AC464" s="2">
        <v>0</v>
      </c>
      <c r="AD464" s="2">
        <v>530.487804878048</v>
      </c>
      <c r="AE464" s="2">
        <v>64.648525781971699</v>
      </c>
      <c r="AF464" s="2">
        <v>73.2</v>
      </c>
      <c r="AG464" s="2">
        <v>23.4230655551317</v>
      </c>
      <c r="AH464" s="2">
        <v>314.04958677685897</v>
      </c>
      <c r="AI464" s="2">
        <v>257.867132377357</v>
      </c>
      <c r="AJ464" s="2">
        <v>38.461538461538403</v>
      </c>
      <c r="AK464" s="2">
        <v>66.617338752649104</v>
      </c>
      <c r="AL464" s="2">
        <v>175.38461538461499</v>
      </c>
      <c r="AM464" s="2">
        <v>12.211159897221799</v>
      </c>
      <c r="AN464"/>
      <c r="AO464"/>
    </row>
    <row r="465" spans="1:41" ht="15.75" hidden="1" customHeight="1" x14ac:dyDescent="0.45">
      <c r="A465" s="2" t="s">
        <v>141</v>
      </c>
      <c r="B465" s="2" t="s">
        <v>142</v>
      </c>
      <c r="C465" s="2">
        <v>10</v>
      </c>
      <c r="D465" s="2"/>
      <c r="E465" s="2" t="s">
        <v>83</v>
      </c>
      <c r="F465" s="2" t="s">
        <v>110</v>
      </c>
      <c r="H465" s="2">
        <v>0.4</v>
      </c>
      <c r="J465" s="2">
        <v>0.4</v>
      </c>
      <c r="K465" s="2">
        <v>0</v>
      </c>
      <c r="L465" s="2"/>
      <c r="M465" s="2">
        <v>0</v>
      </c>
      <c r="N465" s="2">
        <v>17.6666666666666</v>
      </c>
      <c r="O465" s="2">
        <v>2.0480342879074001</v>
      </c>
      <c r="P465" s="2">
        <v>0</v>
      </c>
      <c r="Q465" s="2">
        <v>0</v>
      </c>
      <c r="R465" s="2">
        <v>18.3888888888888</v>
      </c>
      <c r="S465" s="2">
        <v>23.4771362377511</v>
      </c>
      <c r="T465" s="2">
        <v>86.0555555555555</v>
      </c>
      <c r="U465" s="2">
        <v>3.3761143564968501</v>
      </c>
      <c r="V465" s="2">
        <v>0</v>
      </c>
      <c r="W465" s="2">
        <v>0</v>
      </c>
      <c r="X465" s="2">
        <v>1.6666666666666601</v>
      </c>
      <c r="Y465" s="2">
        <v>2.3333333333333299</v>
      </c>
      <c r="Z465" s="7">
        <v>13.847158719790899</v>
      </c>
      <c r="AA465" s="2">
        <v>1.6052522178242199</v>
      </c>
      <c r="AB465" s="7">
        <v>0</v>
      </c>
      <c r="AC465" s="2">
        <v>0</v>
      </c>
      <c r="AD465" s="2">
        <v>944.51219512195098</v>
      </c>
      <c r="AE465" s="2">
        <v>37.054913668867897</v>
      </c>
      <c r="AF465" s="2">
        <v>0</v>
      </c>
      <c r="AG465" s="2">
        <v>0</v>
      </c>
      <c r="AH465" s="2">
        <v>547.10743801652802</v>
      </c>
      <c r="AI465" s="2">
        <v>698.49330955292498</v>
      </c>
      <c r="AJ465" s="2">
        <v>0</v>
      </c>
      <c r="AK465" s="2">
        <v>0</v>
      </c>
      <c r="AL465" s="2">
        <v>46.153846153846096</v>
      </c>
      <c r="AM465" s="2">
        <v>64.6153846153845</v>
      </c>
      <c r="AN465"/>
      <c r="AO465"/>
    </row>
    <row r="466" spans="1:41" ht="15.75" hidden="1" customHeight="1" x14ac:dyDescent="0.45">
      <c r="A466" s="2" t="s">
        <v>141</v>
      </c>
      <c r="B466" s="2" t="s">
        <v>142</v>
      </c>
      <c r="C466" s="2">
        <v>3.0000000000000001E-3</v>
      </c>
      <c r="D466" s="2"/>
      <c r="E466" s="2" t="s">
        <v>85</v>
      </c>
      <c r="F466" s="2" t="s">
        <v>84</v>
      </c>
      <c r="G466" s="2" t="s">
        <v>111</v>
      </c>
      <c r="H466" s="2">
        <v>4</v>
      </c>
      <c r="I466" s="2">
        <v>3539</v>
      </c>
      <c r="J466" s="2">
        <v>4</v>
      </c>
      <c r="K466" s="2">
        <v>3.05555555555555</v>
      </c>
      <c r="L466" s="2"/>
      <c r="M466" s="2">
        <v>1.0844011831079501</v>
      </c>
      <c r="N466" s="2">
        <v>314.5</v>
      </c>
      <c r="O466" s="2">
        <v>45.199864798224802</v>
      </c>
      <c r="P466" s="2">
        <v>0.66666666666666596</v>
      </c>
      <c r="Q466" s="2">
        <v>0.16666666666666599</v>
      </c>
      <c r="R466" s="2">
        <v>0.44444444444444398</v>
      </c>
      <c r="S466" s="2">
        <v>0.76980035891950105</v>
      </c>
      <c r="T466" s="2">
        <v>6</v>
      </c>
      <c r="U466" s="2">
        <v>0.600925212577334</v>
      </c>
      <c r="V466" s="2">
        <v>5.5555555555555497E-2</v>
      </c>
      <c r="W466" s="2">
        <v>9.6225044864937603E-2</v>
      </c>
      <c r="X466" s="2">
        <v>0.66666666666666596</v>
      </c>
      <c r="Y466" s="2">
        <v>0.33333333333333298</v>
      </c>
      <c r="Z466" s="7">
        <v>104.62988633213099</v>
      </c>
      <c r="AA466" s="2">
        <v>15.037382245042901</v>
      </c>
      <c r="AB466" s="7">
        <v>96.491228070175396</v>
      </c>
      <c r="AC466" s="2">
        <v>34.244247887619501</v>
      </c>
      <c r="AD466" s="2">
        <v>106.666666666666</v>
      </c>
      <c r="AE466" s="2">
        <v>10.683114890263701</v>
      </c>
      <c r="AF466" s="2">
        <v>114.28571428571399</v>
      </c>
      <c r="AG466" s="2">
        <v>28.571428571428498</v>
      </c>
      <c r="AH466" s="2">
        <v>28.070175438596401</v>
      </c>
      <c r="AI466" s="2">
        <v>48.6189700370211</v>
      </c>
      <c r="AJ466" s="2">
        <v>66.6666666666666</v>
      </c>
      <c r="AK466" s="2">
        <v>115.47005383792499</v>
      </c>
      <c r="AL466" s="2">
        <v>114.28571428571399</v>
      </c>
      <c r="AM466" s="2">
        <v>57.142857142857103</v>
      </c>
      <c r="AN466"/>
      <c r="AO466"/>
    </row>
    <row r="467" spans="1:41" ht="15.75" hidden="1" customHeight="1" x14ac:dyDescent="0.45">
      <c r="A467" s="2" t="s">
        <v>141</v>
      </c>
      <c r="B467" s="2" t="s">
        <v>142</v>
      </c>
      <c r="C467" s="2">
        <v>0.01</v>
      </c>
      <c r="D467" s="2"/>
      <c r="E467" s="2" t="s">
        <v>85</v>
      </c>
      <c r="F467" s="2" t="s">
        <v>84</v>
      </c>
      <c r="G467" s="2" t="s">
        <v>111</v>
      </c>
      <c r="H467" s="2">
        <v>4</v>
      </c>
      <c r="I467" s="2">
        <v>3539</v>
      </c>
      <c r="J467" s="2">
        <v>4</v>
      </c>
      <c r="K467" s="2">
        <v>3</v>
      </c>
      <c r="L467" s="2"/>
      <c r="M467" s="2">
        <v>0.44095855184409999</v>
      </c>
      <c r="N467" s="2">
        <v>342.388888888888</v>
      </c>
      <c r="O467" s="2">
        <v>29.441247205868301</v>
      </c>
      <c r="P467" s="2">
        <v>0.55555555555555503</v>
      </c>
      <c r="Q467" s="2">
        <v>0.34694433324435497</v>
      </c>
      <c r="R467" s="2">
        <v>5.5555555555555497E-2</v>
      </c>
      <c r="S467" s="2">
        <v>9.6225044864937603E-2</v>
      </c>
      <c r="T467" s="2">
        <v>5.8333333333333304</v>
      </c>
      <c r="U467" s="2">
        <v>1.4433756729740701</v>
      </c>
      <c r="V467" s="2">
        <v>0</v>
      </c>
      <c r="W467" s="2">
        <v>0</v>
      </c>
      <c r="X467" s="2">
        <v>0.66666666666666596</v>
      </c>
      <c r="Y467" s="2">
        <v>0.33333333333333298</v>
      </c>
      <c r="Z467" s="7">
        <v>113.90814157656401</v>
      </c>
      <c r="AA467" s="2">
        <v>9.7947038112120897</v>
      </c>
      <c r="AB467" s="7">
        <v>94.736842105263094</v>
      </c>
      <c r="AC467" s="2">
        <v>13.92500690034</v>
      </c>
      <c r="AD467" s="2">
        <v>103.703703703703</v>
      </c>
      <c r="AE467" s="2">
        <v>25.660011963983401</v>
      </c>
      <c r="AF467" s="2">
        <v>95.238095238095198</v>
      </c>
      <c r="AG467" s="2">
        <v>59.476171413317999</v>
      </c>
      <c r="AH467" s="2">
        <v>3.5087719298245599</v>
      </c>
      <c r="AI467" s="2">
        <v>6.0773712546276304</v>
      </c>
      <c r="AJ467" s="2">
        <v>0</v>
      </c>
      <c r="AK467" s="2">
        <v>0</v>
      </c>
      <c r="AL467" s="2">
        <v>114.28571428571399</v>
      </c>
      <c r="AM467" s="2">
        <v>57.142857142857103</v>
      </c>
      <c r="AN467"/>
      <c r="AO467"/>
    </row>
    <row r="468" spans="1:41" ht="15.75" hidden="1" customHeight="1" x14ac:dyDescent="0.45">
      <c r="A468" s="2" t="s">
        <v>141</v>
      </c>
      <c r="B468" s="2" t="s">
        <v>142</v>
      </c>
      <c r="C468" s="2">
        <v>0.03</v>
      </c>
      <c r="D468" s="2"/>
      <c r="E468" s="2" t="s">
        <v>85</v>
      </c>
      <c r="F468" s="2" t="s">
        <v>84</v>
      </c>
      <c r="G468" s="2" t="s">
        <v>111</v>
      </c>
      <c r="H468" s="2">
        <v>4</v>
      </c>
      <c r="I468" s="2">
        <v>3539</v>
      </c>
      <c r="J468" s="2">
        <v>4</v>
      </c>
      <c r="K468" s="2">
        <v>2.55555555555555</v>
      </c>
      <c r="L468" s="2"/>
      <c r="M468" s="2">
        <v>0.67357531405456195</v>
      </c>
      <c r="N468" s="2">
        <v>326.61111111111097</v>
      </c>
      <c r="O468" s="2">
        <v>47.112552388854702</v>
      </c>
      <c r="P468" s="2">
        <v>0.77777777777777701</v>
      </c>
      <c r="Q468" s="2">
        <v>0.19245008972987501</v>
      </c>
      <c r="R468" s="2">
        <v>0</v>
      </c>
      <c r="S468" s="2">
        <v>0</v>
      </c>
      <c r="T468" s="2">
        <v>5.4444444444444402</v>
      </c>
      <c r="U468" s="2">
        <v>1.29457557752567</v>
      </c>
      <c r="V468" s="2">
        <v>0</v>
      </c>
      <c r="W468" s="2">
        <v>0</v>
      </c>
      <c r="X468" s="2">
        <v>0.66666666666666596</v>
      </c>
      <c r="Y468" s="2">
        <v>0.5</v>
      </c>
      <c r="Z468" s="7">
        <v>108.65908880879699</v>
      </c>
      <c r="AA468" s="2">
        <v>15.6737074761923</v>
      </c>
      <c r="AB468" s="7">
        <v>80.701754385964904</v>
      </c>
      <c r="AC468" s="2">
        <v>21.2707993911967</v>
      </c>
      <c r="AD468" s="2">
        <v>96.790123456790099</v>
      </c>
      <c r="AE468" s="2">
        <v>23.014676933789701</v>
      </c>
      <c r="AF468" s="2">
        <v>133.333333333333</v>
      </c>
      <c r="AG468" s="2">
        <v>32.991443953692901</v>
      </c>
      <c r="AH468" s="2">
        <v>0</v>
      </c>
      <c r="AI468" s="2">
        <v>0</v>
      </c>
      <c r="AJ468" s="2">
        <v>0</v>
      </c>
      <c r="AK468" s="2">
        <v>0</v>
      </c>
      <c r="AL468" s="2">
        <v>114.28571428571399</v>
      </c>
      <c r="AM468" s="2">
        <v>85.714285714285694</v>
      </c>
      <c r="AN468"/>
      <c r="AO468"/>
    </row>
    <row r="469" spans="1:41" ht="15.75" hidden="1" customHeight="1" x14ac:dyDescent="0.45">
      <c r="A469" s="2" t="s">
        <v>141</v>
      </c>
      <c r="B469" s="2" t="s">
        <v>142</v>
      </c>
      <c r="C469" s="2">
        <v>0.1</v>
      </c>
      <c r="D469" s="2"/>
      <c r="E469" s="2" t="s">
        <v>85</v>
      </c>
      <c r="F469" s="2" t="s">
        <v>84</v>
      </c>
      <c r="G469" s="2" t="s">
        <v>111</v>
      </c>
      <c r="H469" s="2">
        <v>4</v>
      </c>
      <c r="I469" s="2">
        <v>3539</v>
      </c>
      <c r="J469" s="2">
        <v>4</v>
      </c>
      <c r="K469" s="2">
        <v>3.2777777777777701</v>
      </c>
      <c r="L469" s="2"/>
      <c r="M469" s="2">
        <v>0.69388866648870795</v>
      </c>
      <c r="N469" s="2">
        <v>293.388888888888</v>
      </c>
      <c r="O469" s="2">
        <v>26.4177619821997</v>
      </c>
      <c r="P469" s="2">
        <v>0.38888888888888801</v>
      </c>
      <c r="Q469" s="2">
        <v>0.25458753860865702</v>
      </c>
      <c r="R469" s="2">
        <v>5.5555555555555497E-2</v>
      </c>
      <c r="S469" s="2">
        <v>9.6225044864937603E-2</v>
      </c>
      <c r="T469" s="2">
        <v>5.2777777777777697</v>
      </c>
      <c r="U469" s="2">
        <v>0.83887049280785597</v>
      </c>
      <c r="V469" s="2">
        <v>5.5555555555555497E-2</v>
      </c>
      <c r="W469" s="2">
        <v>9.6225044864937603E-2</v>
      </c>
      <c r="X469" s="2">
        <v>0.44444444444444398</v>
      </c>
      <c r="Y469" s="2">
        <v>9.6225044864938103E-2</v>
      </c>
      <c r="Z469" s="7">
        <v>97.606505868219102</v>
      </c>
      <c r="AA469" s="2">
        <v>8.7888312666037507</v>
      </c>
      <c r="AB469" s="7">
        <v>103.50877192982399</v>
      </c>
      <c r="AC469" s="2">
        <v>21.912273678590701</v>
      </c>
      <c r="AD469" s="2">
        <v>93.827160493827094</v>
      </c>
      <c r="AE469" s="2">
        <v>14.9132532054729</v>
      </c>
      <c r="AF469" s="2">
        <v>66.6666666666666</v>
      </c>
      <c r="AG469" s="2">
        <v>43.643578047198403</v>
      </c>
      <c r="AH469" s="2">
        <v>3.5087719298245599</v>
      </c>
      <c r="AI469" s="2">
        <v>6.0773712546276304</v>
      </c>
      <c r="AJ469" s="2">
        <v>66.6666666666666</v>
      </c>
      <c r="AK469" s="2">
        <v>115.47005383792499</v>
      </c>
      <c r="AL469" s="2">
        <v>76.190476190476105</v>
      </c>
      <c r="AM469" s="2">
        <v>16.4957219768465</v>
      </c>
      <c r="AN469"/>
      <c r="AO469"/>
    </row>
    <row r="470" spans="1:41" ht="15.75" hidden="1" customHeight="1" x14ac:dyDescent="0.45">
      <c r="A470" s="2" t="s">
        <v>141</v>
      </c>
      <c r="B470" s="2" t="s">
        <v>142</v>
      </c>
      <c r="C470" s="2">
        <v>0.3</v>
      </c>
      <c r="D470" s="2"/>
      <c r="E470" s="2" t="s">
        <v>85</v>
      </c>
      <c r="F470" s="2" t="s">
        <v>84</v>
      </c>
      <c r="G470" s="2" t="s">
        <v>111</v>
      </c>
      <c r="H470" s="2">
        <v>4</v>
      </c>
      <c r="I470" s="2">
        <v>3539</v>
      </c>
      <c r="J470" s="2">
        <v>4</v>
      </c>
      <c r="K470" s="2">
        <v>2.2222222222222201</v>
      </c>
      <c r="L470" s="2"/>
      <c r="M470" s="2">
        <v>0.82214714371937403</v>
      </c>
      <c r="N470" s="2">
        <v>293</v>
      </c>
      <c r="O470" s="2">
        <v>57.432810986210498</v>
      </c>
      <c r="P470" s="2">
        <v>0.66666666666666596</v>
      </c>
      <c r="Q470" s="2">
        <v>0.16666666666666699</v>
      </c>
      <c r="R470" s="2">
        <v>0.22222222222222199</v>
      </c>
      <c r="S470" s="2">
        <v>0.19245008972987501</v>
      </c>
      <c r="T470" s="2">
        <v>7.6111111111111098</v>
      </c>
      <c r="U470" s="2">
        <v>2.1751968833835398</v>
      </c>
      <c r="V470" s="2">
        <v>5.5555555555555497E-2</v>
      </c>
      <c r="W470" s="2">
        <v>9.6225044864937603E-2</v>
      </c>
      <c r="X470" s="2">
        <v>0.94444444444444398</v>
      </c>
      <c r="Y470" s="2">
        <v>0.50917507721731503</v>
      </c>
      <c r="Z470" s="7">
        <v>97.477127807041796</v>
      </c>
      <c r="AA470" s="2">
        <v>19.107117600070001</v>
      </c>
      <c r="AB470" s="7">
        <v>70.175438596491205</v>
      </c>
      <c r="AC470" s="2">
        <v>25.9625413806118</v>
      </c>
      <c r="AD470" s="2">
        <v>135.30864197530801</v>
      </c>
      <c r="AE470" s="2">
        <v>38.670166815707397</v>
      </c>
      <c r="AF470" s="2">
        <v>114.28571428571399</v>
      </c>
      <c r="AG470" s="2">
        <v>28.571428571428601</v>
      </c>
      <c r="AH470" s="2">
        <v>14.0350877192982</v>
      </c>
      <c r="AI470" s="2">
        <v>12.1547425092552</v>
      </c>
      <c r="AJ470" s="2">
        <v>66.6666666666666</v>
      </c>
      <c r="AK470" s="2">
        <v>115.47005383792499</v>
      </c>
      <c r="AL470" s="2">
        <v>161.90476190476099</v>
      </c>
      <c r="AM470" s="2">
        <v>87.287156094396906</v>
      </c>
      <c r="AN470"/>
      <c r="AO470"/>
    </row>
    <row r="471" spans="1:41" ht="15.75" hidden="1" customHeight="1" x14ac:dyDescent="0.45">
      <c r="A471" s="2" t="s">
        <v>141</v>
      </c>
      <c r="B471" s="2" t="s">
        <v>142</v>
      </c>
      <c r="C471" s="2">
        <v>1</v>
      </c>
      <c r="D471" s="2"/>
      <c r="E471" s="2" t="s">
        <v>85</v>
      </c>
      <c r="F471" s="2" t="s">
        <v>84</v>
      </c>
      <c r="G471" s="2" t="s">
        <v>111</v>
      </c>
      <c r="H471" s="2">
        <v>4</v>
      </c>
      <c r="I471" s="2">
        <v>3539</v>
      </c>
      <c r="J471" s="2">
        <v>4</v>
      </c>
      <c r="K471" s="2">
        <v>0.33333333333333298</v>
      </c>
      <c r="L471" s="2"/>
      <c r="M471" s="2">
        <v>0.28867513459481198</v>
      </c>
      <c r="N471" s="2">
        <v>301.77777777777698</v>
      </c>
      <c r="O471" s="2">
        <v>70.250411887549305</v>
      </c>
      <c r="P471" s="2">
        <v>0.5</v>
      </c>
      <c r="Q471" s="2">
        <v>0.16666666666666599</v>
      </c>
      <c r="R471" s="2">
        <v>0.66666666666666596</v>
      </c>
      <c r="S471" s="2">
        <v>1.1547005383792499</v>
      </c>
      <c r="T471" s="2">
        <v>10.8333333333333</v>
      </c>
      <c r="U471" s="2">
        <v>2.0275875100994201</v>
      </c>
      <c r="V471" s="2">
        <v>0</v>
      </c>
      <c r="W471" s="2">
        <v>0</v>
      </c>
      <c r="X471" s="2">
        <v>1.2222222222222201</v>
      </c>
      <c r="Y471" s="2">
        <v>9.6225044864941295E-2</v>
      </c>
      <c r="Z471" s="7">
        <v>100.39737547361599</v>
      </c>
      <c r="AA471" s="2">
        <v>23.3713596520818</v>
      </c>
      <c r="AB471" s="7">
        <v>10.5263157894736</v>
      </c>
      <c r="AC471" s="2">
        <v>9.1160568819414607</v>
      </c>
      <c r="AD471" s="2">
        <v>192.59259259259201</v>
      </c>
      <c r="AE471" s="2">
        <v>36.046000179545203</v>
      </c>
      <c r="AF471" s="2">
        <v>85.714285714285694</v>
      </c>
      <c r="AG471" s="2">
        <v>28.571428571428601</v>
      </c>
      <c r="AH471" s="2">
        <v>42.105263157894697</v>
      </c>
      <c r="AI471" s="2">
        <v>72.9284550555316</v>
      </c>
      <c r="AJ471" s="2">
        <v>0</v>
      </c>
      <c r="AK471" s="2">
        <v>0</v>
      </c>
      <c r="AL471" s="2">
        <v>209.52380952380901</v>
      </c>
      <c r="AM471" s="2">
        <v>16.495721976847001</v>
      </c>
      <c r="AN471"/>
      <c r="AO471"/>
    </row>
    <row r="472" spans="1:41" ht="15.75" hidden="1" customHeight="1" x14ac:dyDescent="0.45">
      <c r="A472" s="2" t="s">
        <v>141</v>
      </c>
      <c r="B472" s="2" t="s">
        <v>142</v>
      </c>
      <c r="C472" s="2">
        <v>3</v>
      </c>
      <c r="D472" s="2"/>
      <c r="E472" s="2" t="s">
        <v>85</v>
      </c>
      <c r="F472" s="2" t="s">
        <v>84</v>
      </c>
      <c r="G472" s="2" t="s">
        <v>111</v>
      </c>
      <c r="H472" s="2">
        <v>4</v>
      </c>
      <c r="I472" s="2">
        <v>3539</v>
      </c>
      <c r="J472" s="2">
        <v>4</v>
      </c>
      <c r="K472" s="2">
        <v>0</v>
      </c>
      <c r="L472" s="2"/>
      <c r="M472" s="2">
        <v>0</v>
      </c>
      <c r="N472" s="2">
        <v>188.777777777777</v>
      </c>
      <c r="O472" s="2">
        <v>34.660790100203599</v>
      </c>
      <c r="P472" s="2">
        <v>0.35555555555555501</v>
      </c>
      <c r="Q472" s="2">
        <v>0.171053381314896</v>
      </c>
      <c r="R472" s="2">
        <v>0.22222222222222199</v>
      </c>
      <c r="S472" s="2">
        <v>0.25458753860865702</v>
      </c>
      <c r="T472" s="2">
        <v>17.8333333333333</v>
      </c>
      <c r="U472" s="2">
        <v>1.92209376577845</v>
      </c>
      <c r="V472" s="2">
        <v>5.5555555555555497E-2</v>
      </c>
      <c r="W472" s="2">
        <v>9.6225044864937603E-2</v>
      </c>
      <c r="X472" s="2">
        <v>2.43333333333333</v>
      </c>
      <c r="Y472" s="2">
        <v>0.32829526005986798</v>
      </c>
      <c r="Z472" s="7">
        <v>62.803807411514597</v>
      </c>
      <c r="AA472" s="2">
        <v>11.531174970957601</v>
      </c>
      <c r="AB472" s="7">
        <v>0</v>
      </c>
      <c r="AC472" s="2">
        <v>0</v>
      </c>
      <c r="AD472" s="2">
        <v>317.03703703703701</v>
      </c>
      <c r="AE472" s="2">
        <v>34.170555836061403</v>
      </c>
      <c r="AF472" s="2">
        <v>60.952380952380899</v>
      </c>
      <c r="AG472" s="2">
        <v>29.323436796839299</v>
      </c>
      <c r="AH472" s="2">
        <v>14.0350877192982</v>
      </c>
      <c r="AI472" s="2">
        <v>16.0792129647573</v>
      </c>
      <c r="AJ472" s="2">
        <v>66.6666666666666</v>
      </c>
      <c r="AK472" s="2">
        <v>115.47005383792499</v>
      </c>
      <c r="AL472" s="2">
        <v>417.142857142857</v>
      </c>
      <c r="AM472" s="2">
        <v>56.279187438834597</v>
      </c>
      <c r="AN472"/>
      <c r="AO472"/>
    </row>
    <row r="473" spans="1:41" ht="15.75" hidden="1" customHeight="1" x14ac:dyDescent="0.45">
      <c r="A473" s="2" t="s">
        <v>141</v>
      </c>
      <c r="B473" s="2" t="s">
        <v>142</v>
      </c>
      <c r="C473" s="2">
        <v>10</v>
      </c>
      <c r="D473" s="2"/>
      <c r="E473" s="2" t="s">
        <v>85</v>
      </c>
      <c r="F473" s="2" t="s">
        <v>84</v>
      </c>
      <c r="G473" s="2" t="s">
        <v>111</v>
      </c>
      <c r="H473" s="2">
        <v>4</v>
      </c>
      <c r="I473" s="2">
        <v>3539</v>
      </c>
      <c r="J473" s="2">
        <v>4</v>
      </c>
      <c r="K473" s="2">
        <v>0</v>
      </c>
      <c r="L473" s="2"/>
      <c r="M473" s="2">
        <v>0</v>
      </c>
      <c r="N473" s="2">
        <v>51.6111111111111</v>
      </c>
      <c r="O473" s="2">
        <v>16.128247591427002</v>
      </c>
      <c r="P473" s="2">
        <v>0</v>
      </c>
      <c r="Q473" s="2">
        <v>0</v>
      </c>
      <c r="R473" s="2">
        <v>3.7777777777777701</v>
      </c>
      <c r="S473" s="2">
        <v>2.2689530951846799</v>
      </c>
      <c r="T473" s="2">
        <v>72.788888888888806</v>
      </c>
      <c r="U473" s="2">
        <v>2.2435916971907699</v>
      </c>
      <c r="V473" s="2">
        <v>6.6666666666666596E-2</v>
      </c>
      <c r="W473" s="2">
        <v>0.115470053837925</v>
      </c>
      <c r="X473" s="2">
        <v>1.86666666666666</v>
      </c>
      <c r="Y473" s="2">
        <v>0.65659052011974095</v>
      </c>
      <c r="Z473" s="7">
        <v>17.170316976249801</v>
      </c>
      <c r="AA473" s="2">
        <v>5.3656493234578297</v>
      </c>
      <c r="AB473" s="7">
        <v>0</v>
      </c>
      <c r="AC473" s="2">
        <v>0</v>
      </c>
      <c r="AD473" s="2">
        <v>1294.0246913580199</v>
      </c>
      <c r="AE473" s="2">
        <v>39.886074616724898</v>
      </c>
      <c r="AF473" s="2">
        <v>0</v>
      </c>
      <c r="AG473" s="2">
        <v>0</v>
      </c>
      <c r="AH473" s="2">
        <v>238.59649122806999</v>
      </c>
      <c r="AI473" s="2">
        <v>143.30230074850601</v>
      </c>
      <c r="AJ473" s="2">
        <v>80</v>
      </c>
      <c r="AK473" s="2">
        <v>138.56406460551</v>
      </c>
      <c r="AL473" s="2">
        <v>320</v>
      </c>
      <c r="AM473" s="2">
        <v>112.558374877669</v>
      </c>
      <c r="AN473"/>
      <c r="AO473"/>
    </row>
    <row r="474" spans="1:41" ht="15.75" hidden="1" customHeight="1" x14ac:dyDescent="0.45">
      <c r="A474" s="2" t="s">
        <v>141</v>
      </c>
      <c r="B474" s="2" t="s">
        <v>142</v>
      </c>
      <c r="C474" s="2">
        <v>3.0000000000000001E-3</v>
      </c>
      <c r="D474" s="2"/>
      <c r="E474" s="2" t="s">
        <v>85</v>
      </c>
      <c r="F474" s="2" t="s">
        <v>84</v>
      </c>
      <c r="G474" s="2" t="s">
        <v>86</v>
      </c>
      <c r="H474" s="2">
        <v>4.5999999999999996</v>
      </c>
      <c r="I474" s="2">
        <v>3539</v>
      </c>
      <c r="J474" s="2">
        <v>4.5999999999999996</v>
      </c>
      <c r="K474" s="2">
        <v>10.3333333333333</v>
      </c>
      <c r="L474" s="2"/>
      <c r="M474" s="2">
        <v>0.49999999999997102</v>
      </c>
      <c r="N474" s="2">
        <v>325.5</v>
      </c>
      <c r="O474" s="2">
        <v>33.016830724815897</v>
      </c>
      <c r="P474" s="2">
        <v>1.05555555555555</v>
      </c>
      <c r="Q474" s="2">
        <v>0.58531409738070705</v>
      </c>
      <c r="R474" s="2">
        <v>1.5</v>
      </c>
      <c r="S474" s="2">
        <v>0.92796072713833699</v>
      </c>
      <c r="T474" s="2">
        <v>2.38888888888888</v>
      </c>
      <c r="U474" s="2">
        <v>0.48112522432468902</v>
      </c>
      <c r="V474" s="2">
        <v>0</v>
      </c>
      <c r="W474" s="2">
        <v>0</v>
      </c>
      <c r="X474" s="2">
        <v>0.94444444444444398</v>
      </c>
      <c r="Y474" s="2">
        <v>0.38490017945975002</v>
      </c>
      <c r="Z474" s="7">
        <v>86.569148936170194</v>
      </c>
      <c r="AA474" s="2">
        <v>8.7810720012808492</v>
      </c>
      <c r="AB474" s="7">
        <v>112.72727272727199</v>
      </c>
      <c r="AC474" s="2">
        <v>5.4545454545451397</v>
      </c>
      <c r="AD474" s="2">
        <v>61.648745519713202</v>
      </c>
      <c r="AE474" s="2">
        <v>12.4161348212823</v>
      </c>
      <c r="AF474" s="2">
        <v>211.111111111111</v>
      </c>
      <c r="AG474" s="2">
        <v>117.062819476141</v>
      </c>
      <c r="AH474" s="2">
        <v>143.99999999999901</v>
      </c>
      <c r="AI474" s="2">
        <v>89.084229805280302</v>
      </c>
      <c r="AJ474"/>
      <c r="AK474"/>
      <c r="AL474" s="2">
        <v>174.358974358974</v>
      </c>
      <c r="AM474" s="2">
        <v>71.058494669492404</v>
      </c>
      <c r="AN474"/>
      <c r="AO474"/>
    </row>
    <row r="475" spans="1:41" ht="15.75" hidden="1" customHeight="1" x14ac:dyDescent="0.45">
      <c r="A475" s="2" t="s">
        <v>141</v>
      </c>
      <c r="B475" s="2" t="s">
        <v>142</v>
      </c>
      <c r="C475" s="2">
        <v>0.01</v>
      </c>
      <c r="D475" s="2"/>
      <c r="E475" s="2" t="s">
        <v>85</v>
      </c>
      <c r="F475" s="2" t="s">
        <v>84</v>
      </c>
      <c r="G475" s="2" t="s">
        <v>86</v>
      </c>
      <c r="H475" s="2">
        <v>4.5999999999999996</v>
      </c>
      <c r="I475" s="2">
        <v>3539</v>
      </c>
      <c r="J475" s="2">
        <v>4.5999999999999996</v>
      </c>
      <c r="K475" s="2">
        <v>8.4444444444444393</v>
      </c>
      <c r="L475" s="2"/>
      <c r="M475" s="2">
        <v>9.6225044864975906E-2</v>
      </c>
      <c r="N475" s="2">
        <v>379.888888888888</v>
      </c>
      <c r="O475" s="2">
        <v>24.0192823774129</v>
      </c>
      <c r="P475" s="2">
        <v>0.38888888888888801</v>
      </c>
      <c r="Q475" s="2">
        <v>0.19245008972987501</v>
      </c>
      <c r="R475" s="2">
        <v>2.2777777777777701</v>
      </c>
      <c r="S475" s="2">
        <v>1.3368010461684401</v>
      </c>
      <c r="T475" s="2">
        <v>3.8333333333333299</v>
      </c>
      <c r="U475" s="2">
        <v>0.86602540378443804</v>
      </c>
      <c r="V475" s="2">
        <v>5.5555555555555497E-2</v>
      </c>
      <c r="W475" s="2">
        <v>9.6225044864937603E-2</v>
      </c>
      <c r="X475" s="2">
        <v>0.61111111111111105</v>
      </c>
      <c r="Y475" s="2">
        <v>9.6225044864937201E-2</v>
      </c>
      <c r="Z475" s="7">
        <v>101.03427895981</v>
      </c>
      <c r="AA475" s="2">
        <v>6.3881070152693802</v>
      </c>
      <c r="AB475" s="7">
        <v>92.121212121212096</v>
      </c>
      <c r="AC475" s="2">
        <v>1.04972776216337</v>
      </c>
      <c r="AD475" s="2">
        <v>98.924731182795696</v>
      </c>
      <c r="AE475" s="2">
        <v>22.349042678307999</v>
      </c>
      <c r="AF475" s="2">
        <v>77.7777777777777</v>
      </c>
      <c r="AG475" s="2">
        <v>38.490017945974998</v>
      </c>
      <c r="AH475" s="2">
        <v>218.666666666666</v>
      </c>
      <c r="AI475" s="2">
        <v>128.33290043216999</v>
      </c>
      <c r="AJ475"/>
      <c r="AK475"/>
      <c r="AL475" s="2">
        <v>112.82051282051199</v>
      </c>
      <c r="AM475" s="2">
        <v>17.764623667373002</v>
      </c>
      <c r="AN475"/>
      <c r="AO475"/>
    </row>
    <row r="476" spans="1:41" ht="15.75" hidden="1" customHeight="1" x14ac:dyDescent="0.45">
      <c r="A476" s="2" t="s">
        <v>141</v>
      </c>
      <c r="B476" s="2" t="s">
        <v>142</v>
      </c>
      <c r="C476" s="2">
        <v>0.03</v>
      </c>
      <c r="D476" s="2"/>
      <c r="E476" s="2" t="s">
        <v>85</v>
      </c>
      <c r="F476" s="2" t="s">
        <v>84</v>
      </c>
      <c r="G476" s="2" t="s">
        <v>86</v>
      </c>
      <c r="H476" s="2">
        <v>4.5999999999999996</v>
      </c>
      <c r="I476" s="2">
        <v>3539</v>
      </c>
      <c r="J476" s="2">
        <v>4.5999999999999996</v>
      </c>
      <c r="K476" s="2">
        <v>8.8888888888888804</v>
      </c>
      <c r="L476" s="2"/>
      <c r="M476" s="2">
        <v>1.9172704363041499</v>
      </c>
      <c r="N476" s="2">
        <v>309.61111111111097</v>
      </c>
      <c r="O476" s="2">
        <v>66.1996838976454</v>
      </c>
      <c r="P476" s="2">
        <v>0.72222222222222199</v>
      </c>
      <c r="Q476" s="2">
        <v>9.6225044864937201E-2</v>
      </c>
      <c r="R476" s="2">
        <v>1.2777777777777699</v>
      </c>
      <c r="S476" s="2">
        <v>0.48112522432468802</v>
      </c>
      <c r="T476" s="2">
        <v>2.2777777777777701</v>
      </c>
      <c r="U476" s="2">
        <v>0.25458753860866101</v>
      </c>
      <c r="V476" s="2">
        <v>0</v>
      </c>
      <c r="W476" s="2">
        <v>0</v>
      </c>
      <c r="X476" s="2">
        <v>1.1111111111111101</v>
      </c>
      <c r="Y476" s="2">
        <v>0.25458753860865801</v>
      </c>
      <c r="Z476" s="7">
        <v>82.343380614657207</v>
      </c>
      <c r="AA476" s="2">
        <v>17.606298908948201</v>
      </c>
      <c r="AB476" s="7">
        <v>96.969696969696898</v>
      </c>
      <c r="AC476" s="2">
        <v>20.915677486954401</v>
      </c>
      <c r="AD476" s="2">
        <v>58.781362007168397</v>
      </c>
      <c r="AE476" s="2">
        <v>6.5700009963525501</v>
      </c>
      <c r="AF476" s="2">
        <v>144.444444444444</v>
      </c>
      <c r="AG476" s="2">
        <v>19.245008972987399</v>
      </c>
      <c r="AH476" s="2">
        <v>122.666666666666</v>
      </c>
      <c r="AI476" s="2">
        <v>46.188021535170002</v>
      </c>
      <c r="AJ476"/>
      <c r="AK476"/>
      <c r="AL476" s="2">
        <v>205.128205128205</v>
      </c>
      <c r="AM476" s="2">
        <v>47.000776358521499</v>
      </c>
      <c r="AN476"/>
      <c r="AO476"/>
    </row>
    <row r="477" spans="1:41" ht="15.75" hidden="1" customHeight="1" x14ac:dyDescent="0.45">
      <c r="A477" s="2" t="s">
        <v>141</v>
      </c>
      <c r="B477" s="2" t="s">
        <v>142</v>
      </c>
      <c r="C477" s="2">
        <v>0.1</v>
      </c>
      <c r="D477" s="2"/>
      <c r="E477" s="2" t="s">
        <v>85</v>
      </c>
      <c r="F477" s="2" t="s">
        <v>84</v>
      </c>
      <c r="G477" s="2" t="s">
        <v>86</v>
      </c>
      <c r="H477" s="2">
        <v>4.5999999999999996</v>
      </c>
      <c r="I477" s="2">
        <v>3539</v>
      </c>
      <c r="J477" s="2">
        <v>4.5999999999999996</v>
      </c>
      <c r="K477" s="2">
        <v>8.2222222222222197</v>
      </c>
      <c r="L477" s="2"/>
      <c r="M477" s="2">
        <v>1.85841429818641</v>
      </c>
      <c r="N477" s="2">
        <v>364.83333333333297</v>
      </c>
      <c r="O477" s="2">
        <v>82.905066190191107</v>
      </c>
      <c r="P477" s="2">
        <v>0.61111111111111105</v>
      </c>
      <c r="Q477" s="2">
        <v>0.50917507721731503</v>
      </c>
      <c r="R477" s="2">
        <v>0.88888888888888895</v>
      </c>
      <c r="S477" s="2">
        <v>0.41943524640392998</v>
      </c>
      <c r="T477" s="2">
        <v>4.7222222222222197</v>
      </c>
      <c r="U477" s="2">
        <v>1.29457557752567</v>
      </c>
      <c r="V477" s="2">
        <v>0</v>
      </c>
      <c r="W477" s="2">
        <v>0</v>
      </c>
      <c r="X477" s="2">
        <v>1.2222222222222201</v>
      </c>
      <c r="Y477" s="2">
        <v>0.41943524640392998</v>
      </c>
      <c r="Z477" s="7">
        <v>97.030141843971606</v>
      </c>
      <c r="AA477" s="2">
        <v>22.049219731433801</v>
      </c>
      <c r="AB477" s="7">
        <v>89.696969696969703</v>
      </c>
      <c r="AC477" s="2">
        <v>20.273610525669898</v>
      </c>
      <c r="AD477" s="2">
        <v>121.86379928315399</v>
      </c>
      <c r="AE477" s="2">
        <v>33.408402000662498</v>
      </c>
      <c r="AF477" s="2">
        <v>122.222222222222</v>
      </c>
      <c r="AG477" s="2">
        <v>101.83501544346301</v>
      </c>
      <c r="AH477" s="2">
        <v>85.3333333333333</v>
      </c>
      <c r="AI477" s="2">
        <v>40.265783654777302</v>
      </c>
      <c r="AJ477"/>
      <c r="AK477"/>
      <c r="AL477" s="2">
        <v>225.64102564102501</v>
      </c>
      <c r="AM477" s="2">
        <v>77.434199336110197</v>
      </c>
      <c r="AN477"/>
      <c r="AO477"/>
    </row>
    <row r="478" spans="1:41" ht="15.75" hidden="1" customHeight="1" x14ac:dyDescent="0.45">
      <c r="A478" s="2" t="s">
        <v>141</v>
      </c>
      <c r="B478" s="2" t="s">
        <v>142</v>
      </c>
      <c r="C478" s="2">
        <v>0.3</v>
      </c>
      <c r="D478" s="2"/>
      <c r="E478" s="2" t="s">
        <v>85</v>
      </c>
      <c r="F478" s="2" t="s">
        <v>84</v>
      </c>
      <c r="G478" s="2" t="s">
        <v>86</v>
      </c>
      <c r="H478" s="2">
        <v>4.5999999999999996</v>
      </c>
      <c r="I478" s="2">
        <v>3539</v>
      </c>
      <c r="J478" s="2">
        <v>4.5999999999999996</v>
      </c>
      <c r="K478" s="2">
        <v>9.8888888888888804</v>
      </c>
      <c r="L478" s="2"/>
      <c r="M478" s="2">
        <v>1.8358568490953699</v>
      </c>
      <c r="N478" s="2">
        <v>339.444444444444</v>
      </c>
      <c r="O478" s="2">
        <v>63.429167259701899</v>
      </c>
      <c r="P478" s="2">
        <v>0.66666666666666596</v>
      </c>
      <c r="Q478" s="2">
        <v>0.57735026918962495</v>
      </c>
      <c r="R478" s="2">
        <v>0.77777777777777701</v>
      </c>
      <c r="S478" s="2">
        <v>0.63098981620003003</v>
      </c>
      <c r="T478" s="2">
        <v>3.6666666666666599</v>
      </c>
      <c r="U478" s="2">
        <v>0.86602540378444004</v>
      </c>
      <c r="V478" s="2">
        <v>0</v>
      </c>
      <c r="W478" s="2">
        <v>0</v>
      </c>
      <c r="X478" s="2">
        <v>0.88888888888888895</v>
      </c>
      <c r="Y478" s="2">
        <v>9.6225044864937798E-2</v>
      </c>
      <c r="Z478" s="7">
        <v>90.2777777777777</v>
      </c>
      <c r="AA478" s="2">
        <v>16.869459377580199</v>
      </c>
      <c r="AB478" s="7">
        <v>107.87878787878699</v>
      </c>
      <c r="AC478" s="2">
        <v>20.027529262858501</v>
      </c>
      <c r="AD478" s="2">
        <v>94.623655913978396</v>
      </c>
      <c r="AE478" s="2">
        <v>22.349042678308098</v>
      </c>
      <c r="AF478" s="2">
        <v>133.333333333333</v>
      </c>
      <c r="AG478" s="2">
        <v>115.47005383792499</v>
      </c>
      <c r="AH478" s="2">
        <v>74.6666666666666</v>
      </c>
      <c r="AI478" s="2">
        <v>60.575022355202897</v>
      </c>
      <c r="AJ478"/>
      <c r="AK478"/>
      <c r="AL478" s="2">
        <v>164.102564102564</v>
      </c>
      <c r="AM478" s="2">
        <v>17.764623667373101</v>
      </c>
      <c r="AN478"/>
      <c r="AO478"/>
    </row>
    <row r="479" spans="1:41" ht="15.75" hidden="1" customHeight="1" x14ac:dyDescent="0.45">
      <c r="A479" s="2" t="s">
        <v>141</v>
      </c>
      <c r="B479" s="2" t="s">
        <v>142</v>
      </c>
      <c r="C479" s="2">
        <v>1</v>
      </c>
      <c r="D479" s="2"/>
      <c r="E479" s="2" t="s">
        <v>85</v>
      </c>
      <c r="F479" s="2" t="s">
        <v>84</v>
      </c>
      <c r="G479" s="2" t="s">
        <v>86</v>
      </c>
      <c r="H479" s="2">
        <v>4.5999999999999996</v>
      </c>
      <c r="I479" s="2">
        <v>3539</v>
      </c>
      <c r="J479" s="2">
        <v>4.5999999999999996</v>
      </c>
      <c r="K479" s="2">
        <v>5.8333333333333304</v>
      </c>
      <c r="L479" s="2"/>
      <c r="M479" s="2">
        <v>0.72648315725678902</v>
      </c>
      <c r="N479" s="2">
        <v>313.444444444444</v>
      </c>
      <c r="O479" s="2">
        <v>1.61875580936872</v>
      </c>
      <c r="P479" s="2">
        <v>0.44444444444444398</v>
      </c>
      <c r="Q479" s="2">
        <v>0.25458753860865702</v>
      </c>
      <c r="R479" s="2">
        <v>0.33333333333333298</v>
      </c>
      <c r="S479" s="2">
        <v>5.2683560638617502E-9</v>
      </c>
      <c r="T479" s="2">
        <v>4.9444444444444402</v>
      </c>
      <c r="U479" s="2">
        <v>0.67357531405456705</v>
      </c>
      <c r="V479" s="2">
        <v>0</v>
      </c>
      <c r="W479" s="2">
        <v>0</v>
      </c>
      <c r="X479" s="2">
        <v>0.66666666666666596</v>
      </c>
      <c r="Y479" s="2">
        <v>0.57735026918962495</v>
      </c>
      <c r="Z479" s="7">
        <v>83.362884160756494</v>
      </c>
      <c r="AA479" s="2">
        <v>0.43052016206614901</v>
      </c>
      <c r="AB479" s="7">
        <v>63.636363636363598</v>
      </c>
      <c r="AC479" s="2">
        <v>7.9252708064377</v>
      </c>
      <c r="AD479" s="2">
        <v>127.59856630824299</v>
      </c>
      <c r="AE479" s="2">
        <v>17.3825887497952</v>
      </c>
      <c r="AF479" s="2">
        <v>88.8888888888889</v>
      </c>
      <c r="AG479" s="2">
        <v>50.917507721731504</v>
      </c>
      <c r="AH479" s="2">
        <v>31.999999999999901</v>
      </c>
      <c r="AI479" s="2">
        <v>5.0576218213072802E-7</v>
      </c>
      <c r="AJ479"/>
      <c r="AK479"/>
      <c r="AL479" s="2">
        <v>123.07692307692299</v>
      </c>
      <c r="AM479" s="2">
        <v>106.587742004238</v>
      </c>
      <c r="AN479"/>
      <c r="AO479"/>
    </row>
    <row r="480" spans="1:41" ht="15.75" hidden="1" customHeight="1" x14ac:dyDescent="0.45">
      <c r="A480" s="2" t="s">
        <v>141</v>
      </c>
      <c r="B480" s="2" t="s">
        <v>142</v>
      </c>
      <c r="C480" s="2">
        <v>3</v>
      </c>
      <c r="D480" s="2"/>
      <c r="E480" s="2" t="s">
        <v>85</v>
      </c>
      <c r="F480" s="2" t="s">
        <v>84</v>
      </c>
      <c r="G480" s="2" t="s">
        <v>86</v>
      </c>
      <c r="H480" s="2">
        <v>4.5999999999999996</v>
      </c>
      <c r="I480" s="2">
        <v>3539</v>
      </c>
      <c r="J480" s="2">
        <v>4.5999999999999996</v>
      </c>
      <c r="K480" s="2">
        <v>0.83333333333333304</v>
      </c>
      <c r="L480" s="2"/>
      <c r="M480" s="2">
        <v>0</v>
      </c>
      <c r="N480" s="2">
        <v>238.166666666666</v>
      </c>
      <c r="O480" s="2">
        <v>54.9123038226506</v>
      </c>
      <c r="P480" s="2">
        <v>0.38888888888888801</v>
      </c>
      <c r="Q480" s="2">
        <v>9.6225044864937506E-2</v>
      </c>
      <c r="R480" s="2">
        <v>0</v>
      </c>
      <c r="S480" s="2">
        <v>0</v>
      </c>
      <c r="T480" s="2">
        <v>6.1666666666666599</v>
      </c>
      <c r="U480" s="2">
        <v>1.58989866902824</v>
      </c>
      <c r="V480" s="2">
        <v>5.5555555555555497E-2</v>
      </c>
      <c r="W480" s="2">
        <v>9.6225044864937603E-2</v>
      </c>
      <c r="X480" s="2">
        <v>1.2222222222222201</v>
      </c>
      <c r="Y480" s="2">
        <v>0.69388866648870995</v>
      </c>
      <c r="Z480" s="7">
        <v>63.342198581560297</v>
      </c>
      <c r="AA480" s="2">
        <v>14.6043361230453</v>
      </c>
      <c r="AB480" s="7">
        <v>9.0909090909090899</v>
      </c>
      <c r="AC480" s="2">
        <v>0</v>
      </c>
      <c r="AD480" s="2">
        <v>159.13978494623601</v>
      </c>
      <c r="AE480" s="2">
        <v>41.029643071696697</v>
      </c>
      <c r="AF480" s="2">
        <v>77.7777777777777</v>
      </c>
      <c r="AG480" s="2">
        <v>19.245008972987499</v>
      </c>
      <c r="AH480" s="2">
        <v>0</v>
      </c>
      <c r="AI480" s="2">
        <v>0</v>
      </c>
      <c r="AJ480"/>
      <c r="AK480"/>
      <c r="AL480" s="2">
        <v>225.64102564102501</v>
      </c>
      <c r="AM480" s="2">
        <v>128.10252304406899</v>
      </c>
      <c r="AN480"/>
      <c r="AO480"/>
    </row>
    <row r="481" spans="1:41" ht="15.75" hidden="1" customHeight="1" x14ac:dyDescent="0.45">
      <c r="A481" s="2" t="s">
        <v>141</v>
      </c>
      <c r="B481" s="2" t="s">
        <v>142</v>
      </c>
      <c r="C481" s="2">
        <v>10</v>
      </c>
      <c r="D481" s="2"/>
      <c r="E481" s="2" t="s">
        <v>85</v>
      </c>
      <c r="F481" s="2" t="s">
        <v>84</v>
      </c>
      <c r="G481" s="2" t="s">
        <v>86</v>
      </c>
      <c r="H481" s="2">
        <v>4.5999999999999996</v>
      </c>
      <c r="I481" s="2">
        <v>3539</v>
      </c>
      <c r="J481" s="2">
        <v>4.5999999999999996</v>
      </c>
      <c r="K481" s="2">
        <v>0</v>
      </c>
      <c r="L481" s="2"/>
      <c r="M481" s="2">
        <v>0</v>
      </c>
      <c r="N481" s="2">
        <v>115.166666666666</v>
      </c>
      <c r="O481" s="2">
        <v>35.1508653283718</v>
      </c>
      <c r="P481" s="2">
        <v>5.5555555555555497E-2</v>
      </c>
      <c r="Q481" s="2">
        <v>9.6225044864937603E-2</v>
      </c>
      <c r="R481" s="2">
        <v>0.16666666666666599</v>
      </c>
      <c r="S481" s="2">
        <v>0.28867513459481198</v>
      </c>
      <c r="T481" s="2">
        <v>57.9444444444444</v>
      </c>
      <c r="U481" s="2">
        <v>3.8018026913168899</v>
      </c>
      <c r="V481" s="2">
        <v>5.5555555555555497E-2</v>
      </c>
      <c r="W481" s="2">
        <v>9.6225044864937603E-2</v>
      </c>
      <c r="X481" s="2">
        <v>1.55555555555555</v>
      </c>
      <c r="Y481" s="2">
        <v>0.63098981620002903</v>
      </c>
      <c r="Z481" s="7">
        <v>30.629432624113399</v>
      </c>
      <c r="AA481" s="2">
        <v>9.3486343958435594</v>
      </c>
      <c r="AB481" s="7">
        <v>0</v>
      </c>
      <c r="AC481" s="2">
        <v>0</v>
      </c>
      <c r="AD481" s="2">
        <v>1495.34050179211</v>
      </c>
      <c r="AE481" s="2">
        <v>98.111037195274605</v>
      </c>
      <c r="AF481" s="2">
        <v>11.1111111111111</v>
      </c>
      <c r="AG481" s="2">
        <v>19.245008972987499</v>
      </c>
      <c r="AH481" s="2">
        <v>15.999999999999901</v>
      </c>
      <c r="AI481" s="2">
        <v>27.712812921102</v>
      </c>
      <c r="AJ481"/>
      <c r="AK481"/>
      <c r="AL481" s="2">
        <v>287.17948717948701</v>
      </c>
      <c r="AM481" s="2">
        <v>116.490427606159</v>
      </c>
      <c r="AN481"/>
      <c r="AO481"/>
    </row>
    <row r="482" spans="1:41" ht="15.75" hidden="1" customHeight="1" x14ac:dyDescent="0.45">
      <c r="A482" s="2" t="s">
        <v>141</v>
      </c>
      <c r="B482" s="2" t="s">
        <v>142</v>
      </c>
      <c r="C482" s="2">
        <v>3.0000000000000001E-3</v>
      </c>
      <c r="D482" s="2"/>
      <c r="E482" s="2" t="s">
        <v>85</v>
      </c>
      <c r="F482" s="2" t="s">
        <v>84</v>
      </c>
      <c r="G482" s="2" t="s">
        <v>111</v>
      </c>
      <c r="H482" s="2">
        <v>5.8</v>
      </c>
      <c r="I482" s="2">
        <v>3539</v>
      </c>
      <c r="J482" s="2">
        <v>5.8</v>
      </c>
      <c r="K482" s="2">
        <v>4.7222222222222197</v>
      </c>
      <c r="L482" s="2"/>
      <c r="M482" s="2">
        <v>0.58531409738070395</v>
      </c>
      <c r="N482" s="2">
        <v>256.666666666666</v>
      </c>
      <c r="O482" s="2">
        <v>10.6418983268963</v>
      </c>
      <c r="P482" s="2">
        <v>0.72222222222222199</v>
      </c>
      <c r="Q482" s="2">
        <v>0.19245008972987501</v>
      </c>
      <c r="R482" s="2">
        <v>0.11111111111111099</v>
      </c>
      <c r="S482" s="2">
        <v>0.19245008972987501</v>
      </c>
      <c r="T482" s="2">
        <v>3.2777777777777701</v>
      </c>
      <c r="U482" s="2">
        <v>0.67357531405456195</v>
      </c>
      <c r="V482" s="2">
        <v>0</v>
      </c>
      <c r="W482" s="2">
        <v>0</v>
      </c>
      <c r="X482" s="2">
        <v>0.61111111111111105</v>
      </c>
      <c r="Y482" s="2">
        <v>9.6225044864937201E-2</v>
      </c>
      <c r="Z482" s="7">
        <v>98.733771437730397</v>
      </c>
      <c r="AA482" s="2">
        <v>4.0936938587195497</v>
      </c>
      <c r="AB482" s="7">
        <v>107.936507936507</v>
      </c>
      <c r="AC482" s="2">
        <v>13.3786079401303</v>
      </c>
      <c r="AD482" s="2">
        <v>89.393939393939306</v>
      </c>
      <c r="AE482" s="2">
        <v>18.370235837851698</v>
      </c>
      <c r="AF482" s="2">
        <v>82.539682539682502</v>
      </c>
      <c r="AG482" s="2">
        <v>21.994295969128601</v>
      </c>
      <c r="AH482" s="2">
        <v>133.333333333333</v>
      </c>
      <c r="AI482" s="2">
        <v>230.94010767584999</v>
      </c>
      <c r="AJ482" s="2">
        <v>0</v>
      </c>
      <c r="AK482" s="2">
        <v>0</v>
      </c>
      <c r="AL482" s="2">
        <v>162.96296296296299</v>
      </c>
      <c r="AM482" s="2">
        <v>25.660011963983202</v>
      </c>
      <c r="AN482"/>
      <c r="AO482"/>
    </row>
    <row r="483" spans="1:41" ht="15.75" hidden="1" customHeight="1" x14ac:dyDescent="0.45">
      <c r="A483" s="2" t="s">
        <v>141</v>
      </c>
      <c r="B483" s="2" t="s">
        <v>142</v>
      </c>
      <c r="C483" s="2">
        <v>0.01</v>
      </c>
      <c r="D483" s="2"/>
      <c r="E483" s="2" t="s">
        <v>85</v>
      </c>
      <c r="F483" s="2" t="s">
        <v>84</v>
      </c>
      <c r="G483" s="2" t="s">
        <v>111</v>
      </c>
      <c r="H483" s="2">
        <v>5.8</v>
      </c>
      <c r="I483" s="2">
        <v>3539</v>
      </c>
      <c r="J483" s="2">
        <v>5.8</v>
      </c>
      <c r="K483" s="2">
        <v>4.55555555555555</v>
      </c>
      <c r="L483" s="2"/>
      <c r="M483" s="2">
        <v>0.78763593770877005</v>
      </c>
      <c r="N483" s="2">
        <v>275.27777777777698</v>
      </c>
      <c r="O483" s="2">
        <v>25.2764346407502</v>
      </c>
      <c r="P483" s="2">
        <v>0.66666666666666596</v>
      </c>
      <c r="Q483" s="2">
        <v>0.28867513459481298</v>
      </c>
      <c r="R483" s="2">
        <v>0.27777777777777701</v>
      </c>
      <c r="S483" s="2">
        <v>0.34694433324435497</v>
      </c>
      <c r="T483" s="2">
        <v>3.5</v>
      </c>
      <c r="U483" s="2">
        <v>1.42400062421958</v>
      </c>
      <c r="V483" s="2">
        <v>0</v>
      </c>
      <c r="W483" s="2">
        <v>0</v>
      </c>
      <c r="X483" s="2">
        <v>0.5</v>
      </c>
      <c r="Y483" s="2">
        <v>0.16666666666666599</v>
      </c>
      <c r="Z483" s="7">
        <v>105.893038414275</v>
      </c>
      <c r="AA483" s="2">
        <v>9.7232638464177708</v>
      </c>
      <c r="AB483" s="7">
        <v>104.126984126984</v>
      </c>
      <c r="AC483" s="2">
        <v>18.003107147628999</v>
      </c>
      <c r="AD483" s="2">
        <v>95.454545454545396</v>
      </c>
      <c r="AE483" s="2">
        <v>38.836380660534203</v>
      </c>
      <c r="AF483" s="2">
        <v>76.190476190476105</v>
      </c>
      <c r="AG483" s="2">
        <v>32.991443953692901</v>
      </c>
      <c r="AH483" s="2">
        <v>333.33333333333297</v>
      </c>
      <c r="AI483" s="2">
        <v>416.33319989322598</v>
      </c>
      <c r="AJ483" s="2">
        <v>0</v>
      </c>
      <c r="AK483" s="2">
        <v>0</v>
      </c>
      <c r="AL483" s="2">
        <v>133.333333333333</v>
      </c>
      <c r="AM483" s="2">
        <v>44.444444444444301</v>
      </c>
      <c r="AN483"/>
      <c r="AO483"/>
    </row>
    <row r="484" spans="1:41" ht="15.75" hidden="1" customHeight="1" x14ac:dyDescent="0.45">
      <c r="A484" s="2" t="s">
        <v>141</v>
      </c>
      <c r="B484" s="2" t="s">
        <v>142</v>
      </c>
      <c r="C484" s="2">
        <v>0.03</v>
      </c>
      <c r="D484" s="2"/>
      <c r="E484" s="2" t="s">
        <v>85</v>
      </c>
      <c r="F484" s="2" t="s">
        <v>84</v>
      </c>
      <c r="G484" s="2" t="s">
        <v>111</v>
      </c>
      <c r="H484" s="2">
        <v>5.8</v>
      </c>
      <c r="I484" s="2">
        <v>3539</v>
      </c>
      <c r="J484" s="2">
        <v>5.8</v>
      </c>
      <c r="K484" s="2">
        <v>4.2777777777777697</v>
      </c>
      <c r="L484" s="2"/>
      <c r="M484" s="2">
        <v>1.3574213025411701</v>
      </c>
      <c r="N484" s="2">
        <v>287.33333333333297</v>
      </c>
      <c r="O484" s="2">
        <v>35.659267145208197</v>
      </c>
      <c r="P484" s="2">
        <v>0.72222222222222199</v>
      </c>
      <c r="Q484" s="2">
        <v>0.34694433324435497</v>
      </c>
      <c r="R484" s="2">
        <v>0.88888888888888795</v>
      </c>
      <c r="S484" s="2">
        <v>0.63098981620003003</v>
      </c>
      <c r="T484" s="2">
        <v>3.7777777777777701</v>
      </c>
      <c r="U484" s="2">
        <v>1.1824331474329299</v>
      </c>
      <c r="V484" s="2">
        <v>5.5555555555555497E-2</v>
      </c>
      <c r="W484" s="2">
        <v>9.6225044864937603E-2</v>
      </c>
      <c r="X484" s="2">
        <v>0.66666666666666596</v>
      </c>
      <c r="Y484" s="2">
        <v>0.16666666666666699</v>
      </c>
      <c r="Z484" s="7">
        <v>110.530533739381</v>
      </c>
      <c r="AA484" s="2">
        <v>13.717301033579</v>
      </c>
      <c r="AB484" s="7">
        <v>97.7777777777777</v>
      </c>
      <c r="AC484" s="2">
        <v>31.0267726295126</v>
      </c>
      <c r="AD484" s="2">
        <v>103.030303030303</v>
      </c>
      <c r="AE484" s="2">
        <v>32.248176748170799</v>
      </c>
      <c r="AF484" s="2">
        <v>82.539682539682502</v>
      </c>
      <c r="AG484" s="2">
        <v>39.650780942212002</v>
      </c>
      <c r="AH484" s="2">
        <v>1066.6666666666599</v>
      </c>
      <c r="AI484" s="2">
        <v>757.18777944003602</v>
      </c>
      <c r="AJ484" s="2">
        <v>133.333333333333</v>
      </c>
      <c r="AK484" s="2">
        <v>230.94010767584999</v>
      </c>
      <c r="AL484" s="2">
        <v>177.777777777777</v>
      </c>
      <c r="AM484" s="2">
        <v>44.4444444444445</v>
      </c>
      <c r="AN484"/>
      <c r="AO484"/>
    </row>
    <row r="485" spans="1:41" ht="15.75" hidden="1" customHeight="1" x14ac:dyDescent="0.45">
      <c r="A485" s="2" t="s">
        <v>141</v>
      </c>
      <c r="B485" s="2" t="s">
        <v>142</v>
      </c>
      <c r="C485" s="2">
        <v>0.1</v>
      </c>
      <c r="D485" s="2"/>
      <c r="E485" s="2" t="s">
        <v>85</v>
      </c>
      <c r="F485" s="2" t="s">
        <v>84</v>
      </c>
      <c r="G485" s="2" t="s">
        <v>111</v>
      </c>
      <c r="H485" s="2">
        <v>5.8</v>
      </c>
      <c r="I485" s="2">
        <v>3539</v>
      </c>
      <c r="J485" s="2">
        <v>5.8</v>
      </c>
      <c r="K485" s="2">
        <v>3.9444444444444402</v>
      </c>
      <c r="L485" s="2"/>
      <c r="M485" s="2">
        <v>0.34694433324435497</v>
      </c>
      <c r="N485" s="2">
        <v>254.5</v>
      </c>
      <c r="O485" s="2">
        <v>16.630794729456799</v>
      </c>
      <c r="P485" s="2">
        <v>0.83333333333333304</v>
      </c>
      <c r="Q485" s="2">
        <v>0.600925212577331</v>
      </c>
      <c r="R485" s="2">
        <v>0.16666666666666599</v>
      </c>
      <c r="S485" s="2">
        <v>0.16666666666666599</v>
      </c>
      <c r="T485" s="2">
        <v>3.2777777777777701</v>
      </c>
      <c r="U485" s="2">
        <v>0.38490017945975102</v>
      </c>
      <c r="V485" s="2">
        <v>5.5555555555555497E-2</v>
      </c>
      <c r="W485" s="2">
        <v>9.6225044864937603E-2</v>
      </c>
      <c r="X485" s="2">
        <v>0.55555555555555503</v>
      </c>
      <c r="Y485" s="2">
        <v>9.6225044864937506E-2</v>
      </c>
      <c r="Z485" s="7">
        <v>97.900304535983295</v>
      </c>
      <c r="AA485" s="2">
        <v>6.3974847492701299</v>
      </c>
      <c r="AB485" s="7">
        <v>90.158730158730094</v>
      </c>
      <c r="AC485" s="2">
        <v>7.9301561884423997</v>
      </c>
      <c r="AD485" s="2">
        <v>89.393939393939306</v>
      </c>
      <c r="AE485" s="2">
        <v>10.4972776216295</v>
      </c>
      <c r="AF485" s="2">
        <v>95.238095238095198</v>
      </c>
      <c r="AG485" s="2">
        <v>68.677167151695002</v>
      </c>
      <c r="AH485" s="2">
        <v>199.99999999999901</v>
      </c>
      <c r="AI485" s="2">
        <v>200</v>
      </c>
      <c r="AJ485" s="2">
        <v>133.333333333333</v>
      </c>
      <c r="AK485" s="2">
        <v>230.94010767584999</v>
      </c>
      <c r="AL485" s="2">
        <v>148.14814814814801</v>
      </c>
      <c r="AM485" s="2">
        <v>25.660011963983301</v>
      </c>
      <c r="AN485"/>
      <c r="AO485"/>
    </row>
    <row r="486" spans="1:41" ht="15.75" hidden="1" customHeight="1" x14ac:dyDescent="0.45">
      <c r="A486" s="2" t="s">
        <v>141</v>
      </c>
      <c r="B486" s="2" t="s">
        <v>142</v>
      </c>
      <c r="C486" s="2">
        <v>0.3</v>
      </c>
      <c r="D486" s="2"/>
      <c r="E486" s="2" t="s">
        <v>85</v>
      </c>
      <c r="F486" s="2" t="s">
        <v>84</v>
      </c>
      <c r="G486" s="2" t="s">
        <v>111</v>
      </c>
      <c r="H486" s="2">
        <v>5.8</v>
      </c>
      <c r="I486" s="2">
        <v>3539</v>
      </c>
      <c r="J486" s="2">
        <v>5.8</v>
      </c>
      <c r="K486" s="2">
        <v>3.3333333333333299</v>
      </c>
      <c r="L486" s="2"/>
      <c r="M486" s="2">
        <v>1.76383420737639</v>
      </c>
      <c r="N486" s="2">
        <v>250.222222222222</v>
      </c>
      <c r="O486" s="2">
        <v>22.671772300798199</v>
      </c>
      <c r="P486" s="2">
        <v>0.77777777777777701</v>
      </c>
      <c r="Q486" s="2">
        <v>9.6225044864937201E-2</v>
      </c>
      <c r="R486" s="2">
        <v>3.8333333333333299</v>
      </c>
      <c r="S486" s="2">
        <v>6.6395280956806904</v>
      </c>
      <c r="T486" s="2">
        <v>5.05555555555555</v>
      </c>
      <c r="U486" s="2">
        <v>2.12350165040182</v>
      </c>
      <c r="V486" s="2">
        <v>0</v>
      </c>
      <c r="W486" s="2">
        <v>0</v>
      </c>
      <c r="X486" s="2">
        <v>0.77777777777777701</v>
      </c>
      <c r="Y486" s="2">
        <v>0.25458753860865702</v>
      </c>
      <c r="Z486" s="7">
        <v>96.254741678687793</v>
      </c>
      <c r="AA486" s="2">
        <v>8.7213100692283501</v>
      </c>
      <c r="AB486" s="7">
        <v>76.190476190476105</v>
      </c>
      <c r="AC486" s="2">
        <v>40.316210454317499</v>
      </c>
      <c r="AD486" s="2">
        <v>137.87878787878699</v>
      </c>
      <c r="AE486" s="2">
        <v>57.9136813745951</v>
      </c>
      <c r="AF486" s="2">
        <v>88.8888888888888</v>
      </c>
      <c r="AG486" s="2">
        <v>10.997147984564201</v>
      </c>
      <c r="AH486" s="2">
        <v>4599.99999999999</v>
      </c>
      <c r="AI486" s="2">
        <v>7967.4337148168297</v>
      </c>
      <c r="AJ486" s="2">
        <v>0</v>
      </c>
      <c r="AK486" s="2">
        <v>0</v>
      </c>
      <c r="AL486" s="2">
        <v>207.40740740740699</v>
      </c>
      <c r="AM486" s="2">
        <v>67.890010295642</v>
      </c>
      <c r="AN486"/>
      <c r="AO486"/>
    </row>
    <row r="487" spans="1:41" ht="15.75" hidden="1" customHeight="1" x14ac:dyDescent="0.45">
      <c r="A487" s="2" t="s">
        <v>141</v>
      </c>
      <c r="B487" s="2" t="s">
        <v>142</v>
      </c>
      <c r="C487" s="2">
        <v>1</v>
      </c>
      <c r="D487" s="2"/>
      <c r="E487" s="2" t="s">
        <v>85</v>
      </c>
      <c r="F487" s="2" t="s">
        <v>84</v>
      </c>
      <c r="G487" s="2" t="s">
        <v>111</v>
      </c>
      <c r="H487" s="2">
        <v>5.8</v>
      </c>
      <c r="I487" s="2">
        <v>3539</v>
      </c>
      <c r="J487" s="2">
        <v>5.8</v>
      </c>
      <c r="K487" s="2">
        <v>0.94444444444444398</v>
      </c>
      <c r="L487" s="2"/>
      <c r="M487" s="2">
        <v>0.63098981620003003</v>
      </c>
      <c r="N487" s="2">
        <v>218.777777777777</v>
      </c>
      <c r="O487" s="2">
        <v>41.189714645680603</v>
      </c>
      <c r="P487" s="2">
        <v>0.38888888888888801</v>
      </c>
      <c r="Q487" s="2">
        <v>9.6225044864937506E-2</v>
      </c>
      <c r="R487" s="2">
        <v>0</v>
      </c>
      <c r="S487" s="2">
        <v>0</v>
      </c>
      <c r="T487" s="2">
        <v>5.8888888888888804</v>
      </c>
      <c r="U487" s="2">
        <v>1.5752718754175401</v>
      </c>
      <c r="V487" s="2">
        <v>5.5555555555555497E-2</v>
      </c>
      <c r="W487" s="2">
        <v>9.6225044864937603E-2</v>
      </c>
      <c r="X487" s="2">
        <v>0.55555555555555503</v>
      </c>
      <c r="Y487" s="2">
        <v>0.34694433324435497</v>
      </c>
      <c r="Z487" s="7">
        <v>84.158786130255905</v>
      </c>
      <c r="AA487" s="2">
        <v>15.8447371613453</v>
      </c>
      <c r="AB487" s="7">
        <v>21.5873015873015</v>
      </c>
      <c r="AC487" s="2">
        <v>14.4226243702864</v>
      </c>
      <c r="AD487" s="2">
        <v>160.60606060606</v>
      </c>
      <c r="AE487" s="2">
        <v>42.961960238660097</v>
      </c>
      <c r="AF487" s="2">
        <v>44.4444444444444</v>
      </c>
      <c r="AG487" s="2">
        <v>10.997147984564201</v>
      </c>
      <c r="AH487" s="2">
        <v>0</v>
      </c>
      <c r="AI487" s="2">
        <v>0</v>
      </c>
      <c r="AJ487" s="2">
        <v>133.333333333333</v>
      </c>
      <c r="AK487" s="2">
        <v>230.94010767584999</v>
      </c>
      <c r="AL487" s="2">
        <v>148.14814814814801</v>
      </c>
      <c r="AM487" s="2">
        <v>92.518488865161402</v>
      </c>
      <c r="AN487"/>
      <c r="AO487"/>
    </row>
    <row r="488" spans="1:41" ht="15.75" hidden="1" customHeight="1" x14ac:dyDescent="0.45">
      <c r="A488" s="2" t="s">
        <v>141</v>
      </c>
      <c r="B488" s="2" t="s">
        <v>142</v>
      </c>
      <c r="C488" s="2">
        <v>3</v>
      </c>
      <c r="D488" s="2"/>
      <c r="E488" s="2" t="s">
        <v>85</v>
      </c>
      <c r="F488" s="2" t="s">
        <v>84</v>
      </c>
      <c r="G488" s="2" t="s">
        <v>111</v>
      </c>
      <c r="H488" s="2">
        <v>5.8</v>
      </c>
      <c r="I488" s="2">
        <v>3539</v>
      </c>
      <c r="J488" s="2">
        <v>5.8</v>
      </c>
      <c r="K488" s="2">
        <v>0</v>
      </c>
      <c r="L488" s="2"/>
      <c r="M488" s="2">
        <v>0</v>
      </c>
      <c r="N488" s="2">
        <v>149.888888888888</v>
      </c>
      <c r="O488" s="2">
        <v>34.841838408782301</v>
      </c>
      <c r="P488" s="2">
        <v>0.27777777777777701</v>
      </c>
      <c r="Q488" s="2">
        <v>9.62250448649377E-2</v>
      </c>
      <c r="R488" s="2">
        <v>0.16666666666666599</v>
      </c>
      <c r="S488" s="2">
        <v>0.28867513459481198</v>
      </c>
      <c r="T488" s="2">
        <v>14.8333333333333</v>
      </c>
      <c r="U488" s="2">
        <v>2.6822461565718099</v>
      </c>
      <c r="V488" s="2">
        <v>0.11111111111111099</v>
      </c>
      <c r="W488" s="2">
        <v>9.6225044864937603E-2</v>
      </c>
      <c r="X488" s="2">
        <v>2.1666666666666599</v>
      </c>
      <c r="Y488" s="2">
        <v>0.44095855184409899</v>
      </c>
      <c r="Z488" s="7">
        <v>57.658812843938598</v>
      </c>
      <c r="AA488" s="2">
        <v>13.4028549737261</v>
      </c>
      <c r="AB488" s="7">
        <v>0</v>
      </c>
      <c r="AC488" s="2">
        <v>0</v>
      </c>
      <c r="AD488" s="2">
        <v>404.54545454545399</v>
      </c>
      <c r="AE488" s="2">
        <v>73.152167906504104</v>
      </c>
      <c r="AF488" s="2">
        <v>31.746031746031701</v>
      </c>
      <c r="AG488" s="2">
        <v>10.9971479845643</v>
      </c>
      <c r="AH488" s="2">
        <v>200</v>
      </c>
      <c r="AI488" s="2">
        <v>346.41016151377499</v>
      </c>
      <c r="AJ488" s="2">
        <v>266.666666666666</v>
      </c>
      <c r="AK488" s="2">
        <v>230.94010767584999</v>
      </c>
      <c r="AL488" s="2">
        <v>577.77777777777703</v>
      </c>
      <c r="AM488" s="2">
        <v>117.588947158426</v>
      </c>
      <c r="AN488"/>
      <c r="AO488"/>
    </row>
    <row r="489" spans="1:41" ht="15.75" hidden="1" customHeight="1" x14ac:dyDescent="0.45">
      <c r="A489" s="2" t="s">
        <v>141</v>
      </c>
      <c r="B489" s="2" t="s">
        <v>142</v>
      </c>
      <c r="C489" s="2">
        <v>10</v>
      </c>
      <c r="D489" s="2"/>
      <c r="E489" s="2" t="s">
        <v>85</v>
      </c>
      <c r="F489" s="2" t="s">
        <v>84</v>
      </c>
      <c r="G489" s="2" t="s">
        <v>111</v>
      </c>
      <c r="H489" s="2">
        <v>5.8</v>
      </c>
      <c r="I489" s="2">
        <v>3539</v>
      </c>
      <c r="J489" s="2">
        <v>5.8</v>
      </c>
      <c r="K489" s="2">
        <v>0</v>
      </c>
      <c r="L489" s="2"/>
      <c r="M489" s="2">
        <v>0</v>
      </c>
      <c r="N489" s="2">
        <v>113.222222222222</v>
      </c>
      <c r="O489" s="2">
        <v>48.005883127121102</v>
      </c>
      <c r="P489" s="2">
        <v>0</v>
      </c>
      <c r="Q489" s="2">
        <v>0</v>
      </c>
      <c r="R489" s="2">
        <v>2.4444444444444402</v>
      </c>
      <c r="S489" s="2">
        <v>2.7905263010831902</v>
      </c>
      <c r="T489" s="2">
        <v>73.5</v>
      </c>
      <c r="U489" s="2">
        <v>1.20185042515499</v>
      </c>
      <c r="V489" s="2">
        <v>0.11111111111111099</v>
      </c>
      <c r="W489" s="2">
        <v>0.19245008972987501</v>
      </c>
      <c r="X489" s="2">
        <v>1.1666666666666601</v>
      </c>
      <c r="Y489" s="2">
        <v>0.5</v>
      </c>
      <c r="Z489" s="7">
        <v>43.553988352834303</v>
      </c>
      <c r="AA489" s="2">
        <v>18.4667606195048</v>
      </c>
      <c r="AB489" s="7">
        <v>0</v>
      </c>
      <c r="AC489" s="2">
        <v>0</v>
      </c>
      <c r="AD489" s="2">
        <v>2004.54545454545</v>
      </c>
      <c r="AE489" s="2">
        <v>32.777738867863597</v>
      </c>
      <c r="AF489" s="2">
        <v>0</v>
      </c>
      <c r="AG489" s="2">
        <v>0</v>
      </c>
      <c r="AH489" s="2">
        <v>2933.3333333333298</v>
      </c>
      <c r="AI489" s="2">
        <v>3348.6315612998201</v>
      </c>
      <c r="AJ489" s="2">
        <v>266.666666666666</v>
      </c>
      <c r="AK489" s="2">
        <v>461.88021535169997</v>
      </c>
      <c r="AL489" s="2">
        <v>311.11111111111097</v>
      </c>
      <c r="AM489" s="2">
        <v>133.333333333333</v>
      </c>
      <c r="AN489"/>
      <c r="AO489"/>
    </row>
    <row r="490" spans="1:41" ht="15.75" hidden="1" customHeight="1" x14ac:dyDescent="0.45">
      <c r="A490" s="2" t="s">
        <v>141</v>
      </c>
      <c r="B490" s="2" t="s">
        <v>142</v>
      </c>
      <c r="C490" s="2">
        <v>3.0000000000000001E-3</v>
      </c>
      <c r="D490" s="2"/>
      <c r="E490" s="2" t="s">
        <v>85</v>
      </c>
      <c r="F490" s="2" t="s">
        <v>84</v>
      </c>
      <c r="G490" s="2" t="s">
        <v>86</v>
      </c>
      <c r="H490" s="2">
        <v>5.5</v>
      </c>
      <c r="I490" s="2">
        <v>3539</v>
      </c>
      <c r="J490" s="2">
        <v>5.5</v>
      </c>
      <c r="K490" s="2">
        <v>6.3333333333333304</v>
      </c>
      <c r="L490" s="2"/>
      <c r="M490" s="2">
        <v>1.58989866902824</v>
      </c>
      <c r="N490" s="2">
        <v>366.888888888888</v>
      </c>
      <c r="O490" s="2">
        <v>51.917759039693998</v>
      </c>
      <c r="P490" s="2">
        <v>0.94444444444444398</v>
      </c>
      <c r="Q490" s="2">
        <v>9.6225044864937798E-2</v>
      </c>
      <c r="R490" s="2">
        <v>1.55555555555555</v>
      </c>
      <c r="S490" s="2">
        <v>1.3977495139343401</v>
      </c>
      <c r="T490" s="2">
        <v>3.8333333333333299</v>
      </c>
      <c r="U490" s="2">
        <v>0.44095855184409999</v>
      </c>
      <c r="V490" s="2">
        <v>0</v>
      </c>
      <c r="W490" s="2">
        <v>0</v>
      </c>
      <c r="X490" s="2">
        <v>1.1111111111111101</v>
      </c>
      <c r="Y490" s="2">
        <v>0.19245008972987501</v>
      </c>
      <c r="Z490" s="7">
        <v>101.772229927569</v>
      </c>
      <c r="AA490" s="2">
        <v>14.401597514478199</v>
      </c>
      <c r="AB490" s="7">
        <v>109.352517985611</v>
      </c>
      <c r="AC490" s="2">
        <v>27.451487810559598</v>
      </c>
      <c r="AD490" s="2">
        <v>94.845360824742201</v>
      </c>
      <c r="AE490" s="2">
        <v>10.910314684802399</v>
      </c>
      <c r="AF490" s="2">
        <v>94.4444444444444</v>
      </c>
      <c r="AG490" s="2">
        <v>9.6225044864937797</v>
      </c>
      <c r="AH490" s="2">
        <v>120.430107526881</v>
      </c>
      <c r="AI490" s="2">
        <v>108.21286559491701</v>
      </c>
      <c r="AJ490"/>
      <c r="AK490"/>
      <c r="AL490" s="2">
        <v>190.47619047619</v>
      </c>
      <c r="AM490" s="2">
        <v>32.991443953692801</v>
      </c>
      <c r="AN490"/>
      <c r="AO490"/>
    </row>
    <row r="491" spans="1:41" ht="15.75" hidden="1" customHeight="1" x14ac:dyDescent="0.45">
      <c r="A491" s="2" t="s">
        <v>141</v>
      </c>
      <c r="B491" s="2" t="s">
        <v>142</v>
      </c>
      <c r="C491" s="2">
        <v>0.01</v>
      </c>
      <c r="D491" s="2"/>
      <c r="E491" s="2" t="s">
        <v>85</v>
      </c>
      <c r="F491" s="2" t="s">
        <v>84</v>
      </c>
      <c r="G491" s="2" t="s">
        <v>86</v>
      </c>
      <c r="H491" s="2">
        <v>5.5</v>
      </c>
      <c r="I491" s="2">
        <v>3539</v>
      </c>
      <c r="J491" s="2">
        <v>5.5</v>
      </c>
      <c r="K491" s="2">
        <v>5.3888888888888804</v>
      </c>
      <c r="L491" s="2"/>
      <c r="M491" s="2">
        <v>1.45614915800901</v>
      </c>
      <c r="N491" s="2">
        <v>381.388888888888</v>
      </c>
      <c r="O491" s="2">
        <v>46.760124671125602</v>
      </c>
      <c r="P491" s="2">
        <v>0.88888888888888795</v>
      </c>
      <c r="Q491" s="2">
        <v>0.19245008972987501</v>
      </c>
      <c r="R491" s="2">
        <v>0.88888888888888895</v>
      </c>
      <c r="S491" s="2">
        <v>0.53575837561071904</v>
      </c>
      <c r="T491" s="2">
        <v>4.6666666666666599</v>
      </c>
      <c r="U491" s="2">
        <v>1.6072751268321499</v>
      </c>
      <c r="V491" s="2">
        <v>0</v>
      </c>
      <c r="W491" s="2">
        <v>0</v>
      </c>
      <c r="X491" s="2">
        <v>0.61111111111111105</v>
      </c>
      <c r="Y491" s="2">
        <v>0.19245008972987501</v>
      </c>
      <c r="Z491" s="7">
        <v>105.794421328401</v>
      </c>
      <c r="AA491" s="2">
        <v>12.970908369244199</v>
      </c>
      <c r="AB491" s="7">
        <v>93.045563549160605</v>
      </c>
      <c r="AC491" s="2">
        <v>25.142143735407501</v>
      </c>
      <c r="AD491" s="2">
        <v>115.463917525773</v>
      </c>
      <c r="AE491" s="2">
        <v>39.767632004094601</v>
      </c>
      <c r="AF491" s="2">
        <v>88.8888888888888</v>
      </c>
      <c r="AG491" s="2">
        <v>19.245008972987499</v>
      </c>
      <c r="AH491" s="2">
        <v>68.817204301075193</v>
      </c>
      <c r="AI491" s="2">
        <v>41.478067789217</v>
      </c>
      <c r="AJ491"/>
      <c r="AK491"/>
      <c r="AL491" s="2">
        <v>104.76190476190401</v>
      </c>
      <c r="AM491" s="2">
        <v>32.991443953692901</v>
      </c>
      <c r="AN491"/>
      <c r="AO491"/>
    </row>
    <row r="492" spans="1:41" ht="15.75" hidden="1" customHeight="1" x14ac:dyDescent="0.45">
      <c r="A492" s="2" t="s">
        <v>141</v>
      </c>
      <c r="B492" s="2" t="s">
        <v>142</v>
      </c>
      <c r="C492" s="2">
        <v>0.03</v>
      </c>
      <c r="D492" s="2"/>
      <c r="E492" s="2" t="s">
        <v>85</v>
      </c>
      <c r="F492" s="2" t="s">
        <v>84</v>
      </c>
      <c r="G492" s="2" t="s">
        <v>86</v>
      </c>
      <c r="H492" s="2">
        <v>5.5</v>
      </c>
      <c r="I492" s="2">
        <v>3539</v>
      </c>
      <c r="J492" s="2">
        <v>5.5</v>
      </c>
      <c r="K492" s="2">
        <v>4.74444444444444</v>
      </c>
      <c r="L492" s="2"/>
      <c r="M492" s="2">
        <v>0.38920621973636998</v>
      </c>
      <c r="N492" s="2">
        <v>378.92222222222199</v>
      </c>
      <c r="O492" s="2">
        <v>35.458525590287003</v>
      </c>
      <c r="P492" s="2">
        <v>0.86666666666666603</v>
      </c>
      <c r="Q492" s="2">
        <v>0.28480012484391698</v>
      </c>
      <c r="R492" s="2">
        <v>1.12222222222222</v>
      </c>
      <c r="S492" s="2">
        <v>0.93709559178781099</v>
      </c>
      <c r="T492" s="2">
        <v>4.5777777777777704</v>
      </c>
      <c r="U492" s="2">
        <v>3.3101415433538501</v>
      </c>
      <c r="V492" s="2">
        <v>6.6666666666666596E-2</v>
      </c>
      <c r="W492" s="2">
        <v>0.115470053837925</v>
      </c>
      <c r="X492" s="2">
        <v>1.17777777777777</v>
      </c>
      <c r="Y492" s="2">
        <v>1.9245008972992798E-2</v>
      </c>
      <c r="Z492" s="7">
        <v>105.110186469409</v>
      </c>
      <c r="AA492" s="2">
        <v>9.8359294286510508</v>
      </c>
      <c r="AB492" s="7">
        <v>81.918465227817705</v>
      </c>
      <c r="AC492" s="2">
        <v>6.7201073911315596</v>
      </c>
      <c r="AD492" s="2">
        <v>113.264604810996</v>
      </c>
      <c r="AE492" s="2">
        <v>81.900409320095306</v>
      </c>
      <c r="AF492" s="2">
        <v>86.6666666666666</v>
      </c>
      <c r="AG492" s="2">
        <v>28.4800124843917</v>
      </c>
      <c r="AH492" s="2">
        <v>86.881720430107507</v>
      </c>
      <c r="AI492" s="2">
        <v>72.549336138411107</v>
      </c>
      <c r="AJ492"/>
      <c r="AK492"/>
      <c r="AL492" s="2">
        <v>201.90476190476099</v>
      </c>
      <c r="AM492" s="2">
        <v>3.2991443953702002</v>
      </c>
      <c r="AN492"/>
      <c r="AO492"/>
    </row>
    <row r="493" spans="1:41" ht="15.75" hidden="1" customHeight="1" x14ac:dyDescent="0.45">
      <c r="A493" s="2" t="s">
        <v>141</v>
      </c>
      <c r="B493" s="2" t="s">
        <v>142</v>
      </c>
      <c r="C493" s="2">
        <v>0.1</v>
      </c>
      <c r="D493" s="2"/>
      <c r="E493" s="2" t="s">
        <v>85</v>
      </c>
      <c r="F493" s="2" t="s">
        <v>84</v>
      </c>
      <c r="G493" s="2" t="s">
        <v>86</v>
      </c>
      <c r="H493" s="2">
        <v>5.5</v>
      </c>
      <c r="I493" s="2">
        <v>3539</v>
      </c>
      <c r="J493" s="2">
        <v>5.5</v>
      </c>
      <c r="K493" s="2">
        <v>4.5</v>
      </c>
      <c r="L493" s="2"/>
      <c r="M493" s="2">
        <v>1.25830573921179</v>
      </c>
      <c r="N493" s="2">
        <v>360</v>
      </c>
      <c r="O493" s="2">
        <v>45.266801668920301</v>
      </c>
      <c r="P493" s="2">
        <v>1.05555555555555</v>
      </c>
      <c r="Q493" s="2">
        <v>0.38490017945975002</v>
      </c>
      <c r="R493" s="2">
        <v>0.38888888888888801</v>
      </c>
      <c r="S493" s="2">
        <v>0.25458753860865702</v>
      </c>
      <c r="T493" s="2">
        <v>3.2222222222222201</v>
      </c>
      <c r="U493" s="2">
        <v>0.69388866648871095</v>
      </c>
      <c r="V493" s="2">
        <v>5.5555555555555497E-2</v>
      </c>
      <c r="W493" s="2">
        <v>9.6225044864937603E-2</v>
      </c>
      <c r="X493" s="2">
        <v>0.44444444444444398</v>
      </c>
      <c r="Y493" s="2">
        <v>0.25458753860865702</v>
      </c>
      <c r="Z493" s="7">
        <v>99.861303744798803</v>
      </c>
      <c r="AA493" s="2">
        <v>12.556671752821099</v>
      </c>
      <c r="AB493" s="7">
        <v>77.697841726618705</v>
      </c>
      <c r="AC493" s="2">
        <v>21.726142259771901</v>
      </c>
      <c r="AD493" s="2">
        <v>79.725085910652894</v>
      </c>
      <c r="AE493" s="2">
        <v>17.1683793770402</v>
      </c>
      <c r="AF493" s="2">
        <v>105.555555555555</v>
      </c>
      <c r="AG493" s="2">
        <v>38.490017945974998</v>
      </c>
      <c r="AH493" s="2">
        <v>30.1075268817204</v>
      </c>
      <c r="AI493" s="2">
        <v>19.710002989057301</v>
      </c>
      <c r="AJ493"/>
      <c r="AK493"/>
      <c r="AL493" s="2">
        <v>76.190476190476105</v>
      </c>
      <c r="AM493" s="2">
        <v>43.643578047198403</v>
      </c>
      <c r="AN493"/>
      <c r="AO493"/>
    </row>
    <row r="494" spans="1:41" ht="15.75" hidden="1" customHeight="1" x14ac:dyDescent="0.45">
      <c r="A494" s="2" t="s">
        <v>141</v>
      </c>
      <c r="B494" s="2" t="s">
        <v>142</v>
      </c>
      <c r="C494" s="2">
        <v>0.3</v>
      </c>
      <c r="D494" s="2"/>
      <c r="E494" s="2" t="s">
        <v>85</v>
      </c>
      <c r="F494" s="2" t="s">
        <v>84</v>
      </c>
      <c r="G494" s="2" t="s">
        <v>86</v>
      </c>
      <c r="H494" s="2">
        <v>5.5</v>
      </c>
      <c r="I494" s="2">
        <v>3539</v>
      </c>
      <c r="J494" s="2">
        <v>5.5</v>
      </c>
      <c r="K494" s="2">
        <v>5.6666666666666599</v>
      </c>
      <c r="L494" s="2"/>
      <c r="M494" s="2">
        <v>0.60092521257734</v>
      </c>
      <c r="N494" s="2">
        <v>389</v>
      </c>
      <c r="O494" s="2">
        <v>8.8881944173172194</v>
      </c>
      <c r="P494" s="2">
        <v>1.05555555555555</v>
      </c>
      <c r="Q494" s="2">
        <v>9.6225044864936604E-2</v>
      </c>
      <c r="R494" s="2">
        <v>1.7222222222222201</v>
      </c>
      <c r="S494" s="2">
        <v>0.67357531405456295</v>
      </c>
      <c r="T494" s="2">
        <v>4.9444444444444402</v>
      </c>
      <c r="U494" s="2">
        <v>0.67357531405456705</v>
      </c>
      <c r="V494" s="2">
        <v>0</v>
      </c>
      <c r="W494" s="2">
        <v>0</v>
      </c>
      <c r="X494" s="2">
        <v>0.94444444444444398</v>
      </c>
      <c r="Y494" s="2">
        <v>0.53575837561071904</v>
      </c>
      <c r="Z494" s="7">
        <v>107.905686546463</v>
      </c>
      <c r="AA494" s="2">
        <v>2.4655185623626101</v>
      </c>
      <c r="AB494" s="7">
        <v>97.841726618704996</v>
      </c>
      <c r="AC494" s="2">
        <v>10.375687123637499</v>
      </c>
      <c r="AD494" s="2">
        <v>122.33676975944999</v>
      </c>
      <c r="AE494" s="2">
        <v>16.665780966298499</v>
      </c>
      <c r="AF494" s="2">
        <v>105.555555555555</v>
      </c>
      <c r="AG494" s="2">
        <v>9.6225044864936695</v>
      </c>
      <c r="AH494" s="2">
        <v>133.333333333333</v>
      </c>
      <c r="AI494" s="2">
        <v>52.147766249385498</v>
      </c>
      <c r="AJ494"/>
      <c r="AK494"/>
      <c r="AL494" s="2">
        <v>161.90476190476099</v>
      </c>
      <c r="AM494" s="2">
        <v>91.844292961837695</v>
      </c>
      <c r="AN494"/>
      <c r="AO494"/>
    </row>
    <row r="495" spans="1:41" ht="15.75" hidden="1" customHeight="1" x14ac:dyDescent="0.45">
      <c r="A495" s="2" t="s">
        <v>141</v>
      </c>
      <c r="B495" s="2" t="s">
        <v>142</v>
      </c>
      <c r="C495" s="2">
        <v>1</v>
      </c>
      <c r="D495" s="2"/>
      <c r="E495" s="2" t="s">
        <v>85</v>
      </c>
      <c r="F495" s="2" t="s">
        <v>84</v>
      </c>
      <c r="G495" s="2" t="s">
        <v>86</v>
      </c>
      <c r="H495" s="2">
        <v>5.5</v>
      </c>
      <c r="I495" s="2">
        <v>3539</v>
      </c>
      <c r="J495" s="2">
        <v>5.5</v>
      </c>
      <c r="K495" s="2">
        <v>4.0111111111111102</v>
      </c>
      <c r="L495" s="2"/>
      <c r="M495" s="2">
        <v>0.60583581689846899</v>
      </c>
      <c r="N495" s="2">
        <v>311.06666666666598</v>
      </c>
      <c r="O495" s="2">
        <v>75.451912574242201</v>
      </c>
      <c r="P495" s="2">
        <v>1.3333333333333299</v>
      </c>
      <c r="Q495" s="2">
        <v>0.33333333333333298</v>
      </c>
      <c r="R495" s="2">
        <v>1.3</v>
      </c>
      <c r="S495" s="2">
        <v>1.0867893591267399</v>
      </c>
      <c r="T495" s="2">
        <v>5.8</v>
      </c>
      <c r="U495" s="2">
        <v>1.43100586224438</v>
      </c>
      <c r="V495" s="2">
        <v>0</v>
      </c>
      <c r="W495" s="2">
        <v>0</v>
      </c>
      <c r="X495" s="2">
        <v>0.86666666666666603</v>
      </c>
      <c r="Y495" s="2">
        <v>0.40551750201988002</v>
      </c>
      <c r="Z495" s="7">
        <v>86.287563569116898</v>
      </c>
      <c r="AA495" s="2">
        <v>20.929795443617799</v>
      </c>
      <c r="AB495" s="7">
        <v>69.256594724220605</v>
      </c>
      <c r="AC495" s="2">
        <v>10.460474536376401</v>
      </c>
      <c r="AD495" s="2">
        <v>143.505154639175</v>
      </c>
      <c r="AE495" s="2">
        <v>35.406330612232203</v>
      </c>
      <c r="AF495" s="2">
        <v>133.333333333333</v>
      </c>
      <c r="AG495" s="2">
        <v>33.3333333333333</v>
      </c>
      <c r="AH495" s="2">
        <v>100.64516129032199</v>
      </c>
      <c r="AI495" s="2">
        <v>84.138531029166998</v>
      </c>
      <c r="AJ495"/>
      <c r="AK495"/>
      <c r="AL495" s="2">
        <v>148.57142857142799</v>
      </c>
      <c r="AM495" s="2">
        <v>69.517286060551001</v>
      </c>
      <c r="AN495"/>
      <c r="AO495"/>
    </row>
    <row r="496" spans="1:41" ht="15.75" hidden="1" customHeight="1" x14ac:dyDescent="0.45">
      <c r="A496" s="2" t="s">
        <v>141</v>
      </c>
      <c r="B496" s="2" t="s">
        <v>142</v>
      </c>
      <c r="C496" s="2">
        <v>3</v>
      </c>
      <c r="D496" s="2"/>
      <c r="E496" s="2" t="s">
        <v>85</v>
      </c>
      <c r="F496" s="2" t="s">
        <v>84</v>
      </c>
      <c r="G496" s="2" t="s">
        <v>86</v>
      </c>
      <c r="H496" s="2">
        <v>5.5</v>
      </c>
      <c r="I496" s="2">
        <v>3539</v>
      </c>
      <c r="J496" s="2">
        <v>5.5</v>
      </c>
      <c r="K496" s="2">
        <v>5.5555555555555497E-2</v>
      </c>
      <c r="L496" s="2"/>
      <c r="M496" s="2">
        <v>9.6225044864937603E-2</v>
      </c>
      <c r="N496" s="2">
        <v>263.11111111111097</v>
      </c>
      <c r="O496" s="2">
        <v>24.097218219659901</v>
      </c>
      <c r="P496" s="2">
        <v>0.44444444444444398</v>
      </c>
      <c r="Q496" s="2">
        <v>0.34694433324435497</v>
      </c>
      <c r="R496" s="2">
        <v>1.8333333333333299</v>
      </c>
      <c r="S496" s="2">
        <v>1.6072751268321499</v>
      </c>
      <c r="T496" s="2">
        <v>8.7777777777777697</v>
      </c>
      <c r="U496" s="2">
        <v>1.5485955405295899</v>
      </c>
      <c r="V496" s="2">
        <v>0</v>
      </c>
      <c r="W496" s="2">
        <v>0</v>
      </c>
      <c r="X496" s="2">
        <v>1</v>
      </c>
      <c r="Y496" s="2">
        <v>0.33333333333333398</v>
      </c>
      <c r="Z496" s="7">
        <v>72.985051625828305</v>
      </c>
      <c r="AA496" s="2">
        <v>6.6843878556615701</v>
      </c>
      <c r="AB496" s="7">
        <v>0.95923261390887204</v>
      </c>
      <c r="AC496" s="2">
        <v>1.6614396235672599</v>
      </c>
      <c r="AD496" s="2">
        <v>217.18213058419201</v>
      </c>
      <c r="AE496" s="2">
        <v>38.315765951247599</v>
      </c>
      <c r="AF496" s="2">
        <v>44.4444444444444</v>
      </c>
      <c r="AG496" s="2">
        <v>34.694433324435501</v>
      </c>
      <c r="AH496" s="2">
        <v>141.935483870967</v>
      </c>
      <c r="AI496" s="2">
        <v>124.43420336765099</v>
      </c>
      <c r="AJ496"/>
      <c r="AK496"/>
      <c r="AL496" s="2">
        <v>171.42857142857099</v>
      </c>
      <c r="AM496" s="2">
        <v>57.142857142857203</v>
      </c>
      <c r="AN496"/>
      <c r="AO496"/>
    </row>
    <row r="497" spans="1:41" ht="15.75" hidden="1" customHeight="1" x14ac:dyDescent="0.45">
      <c r="A497" s="2" t="s">
        <v>141</v>
      </c>
      <c r="B497" s="2" t="s">
        <v>142</v>
      </c>
      <c r="C497" s="2">
        <v>10</v>
      </c>
      <c r="D497" s="2"/>
      <c r="E497" s="2" t="s">
        <v>85</v>
      </c>
      <c r="F497" s="2" t="s">
        <v>84</v>
      </c>
      <c r="G497" s="2" t="s">
        <v>86</v>
      </c>
      <c r="H497" s="2">
        <v>5.5</v>
      </c>
      <c r="I497" s="2">
        <v>3539</v>
      </c>
      <c r="J497" s="2">
        <v>5.5</v>
      </c>
      <c r="K497" s="2">
        <v>0</v>
      </c>
      <c r="L497" s="2"/>
      <c r="M497" s="2">
        <v>0</v>
      </c>
      <c r="N497" s="2">
        <v>108.722222222222</v>
      </c>
      <c r="O497" s="2">
        <v>44.6073403692128</v>
      </c>
      <c r="P497" s="2">
        <v>0.11111111111111099</v>
      </c>
      <c r="Q497" s="2">
        <v>9.6225044864937603E-2</v>
      </c>
      <c r="R497" s="2">
        <v>1.2777777777777699</v>
      </c>
      <c r="S497" s="2">
        <v>1.3368010461684401</v>
      </c>
      <c r="T497" s="2">
        <v>74.0555555555555</v>
      </c>
      <c r="U497" s="2">
        <v>3.3761143564971201</v>
      </c>
      <c r="V497" s="2">
        <v>0</v>
      </c>
      <c r="W497" s="2">
        <v>0</v>
      </c>
      <c r="X497" s="2">
        <v>1.6111111111111101</v>
      </c>
      <c r="Y497" s="2">
        <v>0.58531409738070705</v>
      </c>
      <c r="Z497" s="7">
        <v>30.158730158730101</v>
      </c>
      <c r="AA497" s="2">
        <v>12.373742127382201</v>
      </c>
      <c r="AB497" s="7">
        <v>0</v>
      </c>
      <c r="AC497" s="2">
        <v>0</v>
      </c>
      <c r="AD497" s="2">
        <v>1832.30240549828</v>
      </c>
      <c r="AE497" s="2">
        <v>83.532726346320601</v>
      </c>
      <c r="AF497" s="2">
        <v>11.1111111111111</v>
      </c>
      <c r="AG497" s="2">
        <v>9.6225044864937601</v>
      </c>
      <c r="AH497" s="2">
        <v>98.924731182795696</v>
      </c>
      <c r="AI497" s="2">
        <v>103.49427454207201</v>
      </c>
      <c r="AJ497"/>
      <c r="AK497"/>
      <c r="AL497" s="2">
        <v>276.19047619047598</v>
      </c>
      <c r="AM497" s="2">
        <v>100.339559550978</v>
      </c>
      <c r="AN497"/>
      <c r="AO497"/>
    </row>
    <row r="498" spans="1:41" ht="15.75" hidden="1" customHeight="1" x14ac:dyDescent="0.45">
      <c r="A498" s="2" t="s">
        <v>143</v>
      </c>
      <c r="B498" s="2" t="s">
        <v>144</v>
      </c>
      <c r="C498" s="2">
        <v>3.0000000000000001E-3</v>
      </c>
      <c r="D498" s="2"/>
      <c r="E498" s="2" t="s">
        <v>83</v>
      </c>
      <c r="F498" s="2" t="s">
        <v>84</v>
      </c>
      <c r="H498" s="2">
        <v>0.2</v>
      </c>
      <c r="J498" s="2">
        <v>0.2</v>
      </c>
      <c r="K498" s="2">
        <v>34.967366954100001</v>
      </c>
      <c r="L498" s="2"/>
      <c r="M498" s="2">
        <v>3.1507035650916699</v>
      </c>
      <c r="N498" s="2">
        <v>291.89999999999998</v>
      </c>
      <c r="O498" s="2">
        <v>18.273143620564301</v>
      </c>
      <c r="P498" s="2">
        <v>14.7026119734755</v>
      </c>
      <c r="Q498" s="2">
        <v>4.2499327411822296</v>
      </c>
      <c r="R498" s="2">
        <v>2.0944179589804399</v>
      </c>
      <c r="S498" s="2">
        <v>0.53054889438999397</v>
      </c>
      <c r="T498" s="2">
        <v>3.9516180138483299</v>
      </c>
      <c r="U498" s="2">
        <v>1.20788860020525</v>
      </c>
      <c r="V498" s="2">
        <v>0.37404285018399902</v>
      </c>
      <c r="W498" s="2">
        <v>0.115844222820777</v>
      </c>
      <c r="X498" s="2">
        <v>3.5974378862594398</v>
      </c>
      <c r="Y498" s="2">
        <v>0.38489109146954298</v>
      </c>
      <c r="Z498" s="7">
        <v>126.105595906327</v>
      </c>
      <c r="AA498" s="2">
        <v>6.8432054892054497</v>
      </c>
      <c r="AB498" s="7">
        <v>104.248310517638</v>
      </c>
      <c r="AC498" s="2">
        <v>3.2274838420041401</v>
      </c>
      <c r="AD498" s="2">
        <v>87.385140538305805</v>
      </c>
      <c r="AE498" s="2">
        <v>33.505886914982099</v>
      </c>
      <c r="AF498" s="2">
        <v>95.221598999468895</v>
      </c>
      <c r="AG498" s="2">
        <v>21.3585645979961</v>
      </c>
      <c r="AH498" s="2">
        <v>125.016874577474</v>
      </c>
      <c r="AI498" s="2">
        <v>43.245953993727198</v>
      </c>
      <c r="AJ498" s="2">
        <v>51.239142552987197</v>
      </c>
      <c r="AK498" s="2">
        <v>16.9319260633646</v>
      </c>
      <c r="AL498" s="2">
        <v>111.680345358704</v>
      </c>
      <c r="AM498" s="2">
        <v>26.307568975558301</v>
      </c>
      <c r="AN498"/>
      <c r="AO498"/>
    </row>
    <row r="499" spans="1:41" ht="15.75" hidden="1" customHeight="1" x14ac:dyDescent="0.45">
      <c r="A499" s="2" t="s">
        <v>143</v>
      </c>
      <c r="B499" s="2" t="s">
        <v>144</v>
      </c>
      <c r="C499" s="2">
        <v>0.01</v>
      </c>
      <c r="D499" s="2"/>
      <c r="E499" s="2" t="s">
        <v>83</v>
      </c>
      <c r="F499" s="2" t="s">
        <v>84</v>
      </c>
      <c r="H499" s="2">
        <v>0.2</v>
      </c>
      <c r="J499" s="2">
        <v>0.2</v>
      </c>
      <c r="K499" s="2">
        <v>31.547819910999898</v>
      </c>
      <c r="L499" s="2"/>
      <c r="M499" s="2">
        <v>4.2193403088600201</v>
      </c>
      <c r="N499" s="2">
        <v>256.55555555555497</v>
      </c>
      <c r="O499" s="2">
        <v>16.6552738839131</v>
      </c>
      <c r="P499" s="2">
        <v>18.320091724833301</v>
      </c>
      <c r="Q499" s="2">
        <v>1.01166940235907</v>
      </c>
      <c r="R499" s="2">
        <v>1.77638568357055</v>
      </c>
      <c r="S499" s="2">
        <v>8.2477908863869506E-2</v>
      </c>
      <c r="T499" s="2">
        <v>3.73798917373944</v>
      </c>
      <c r="U499" s="2">
        <v>0.75850136429693704</v>
      </c>
      <c r="V499" s="2">
        <v>0.98908372744444395</v>
      </c>
      <c r="W499" s="2">
        <v>0.27785237540725</v>
      </c>
      <c r="X499" s="2">
        <v>3.6997579900555499</v>
      </c>
      <c r="Y499" s="2">
        <v>0.21061232346797601</v>
      </c>
      <c r="Z499" s="7">
        <v>110.861853402205</v>
      </c>
      <c r="AA499" s="2">
        <v>6.90515188867227</v>
      </c>
      <c r="AB499" s="7">
        <v>93.891829658233902</v>
      </c>
      <c r="AC499" s="2">
        <v>7.3975660826884404</v>
      </c>
      <c r="AD499" s="2">
        <v>84.572725959226204</v>
      </c>
      <c r="AE499" s="2">
        <v>30.3593940858084</v>
      </c>
      <c r="AF499" s="2">
        <v>119.90100572368</v>
      </c>
      <c r="AG499" s="2">
        <v>7.8134197434988</v>
      </c>
      <c r="AH499" s="2">
        <v>108.676036236869</v>
      </c>
      <c r="AI499" s="2">
        <v>38.4727854504277</v>
      </c>
      <c r="AJ499" s="2">
        <v>131.82042831928101</v>
      </c>
      <c r="AK499" s="2">
        <v>26.9593836801577</v>
      </c>
      <c r="AL499" s="2">
        <v>115.527167407432</v>
      </c>
      <c r="AM499" s="2">
        <v>30.193030688928499</v>
      </c>
      <c r="AN499"/>
      <c r="AO499"/>
    </row>
    <row r="500" spans="1:41" ht="15.75" hidden="1" customHeight="1" x14ac:dyDescent="0.45">
      <c r="A500" s="2" t="s">
        <v>143</v>
      </c>
      <c r="B500" s="2" t="s">
        <v>144</v>
      </c>
      <c r="C500" s="2">
        <v>0.03</v>
      </c>
      <c r="D500" s="2"/>
      <c r="E500" s="2" t="s">
        <v>83</v>
      </c>
      <c r="F500" s="2" t="s">
        <v>84</v>
      </c>
      <c r="H500" s="2">
        <v>0.2</v>
      </c>
      <c r="J500" s="2">
        <v>0.2</v>
      </c>
      <c r="K500" s="2">
        <v>33.253013952722199</v>
      </c>
      <c r="L500" s="2"/>
      <c r="M500" s="2">
        <v>5.4808691389700801</v>
      </c>
      <c r="N500" s="2">
        <v>221</v>
      </c>
      <c r="O500" s="2">
        <v>53.9639797560476</v>
      </c>
      <c r="P500" s="2">
        <v>19.830161050888801</v>
      </c>
      <c r="Q500" s="2">
        <v>3.26648209811535</v>
      </c>
      <c r="R500" s="2">
        <v>2.4561405845377702</v>
      </c>
      <c r="S500" s="2">
        <v>0.97626335465222802</v>
      </c>
      <c r="T500" s="2">
        <v>3.9045728314333301</v>
      </c>
      <c r="U500" s="2">
        <v>1.98345389929218</v>
      </c>
      <c r="V500" s="2">
        <v>1.01364147987944</v>
      </c>
      <c r="W500" s="2">
        <v>0.60284940595705905</v>
      </c>
      <c r="X500" s="2">
        <v>3.49808558331</v>
      </c>
      <c r="Y500" s="2">
        <v>0.97515069882271599</v>
      </c>
      <c r="Z500" s="7">
        <v>95.093072064359902</v>
      </c>
      <c r="AA500" s="2">
        <v>20.600927529558302</v>
      </c>
      <c r="AB500" s="7">
        <v>99.363704491485706</v>
      </c>
      <c r="AC500" s="2">
        <v>16.378641816407001</v>
      </c>
      <c r="AD500" s="2">
        <v>81.264575746405697</v>
      </c>
      <c r="AE500" s="2">
        <v>25.163408914776699</v>
      </c>
      <c r="AF500" s="2">
        <v>128.91472069668299</v>
      </c>
      <c r="AG500" s="2">
        <v>10.6870796366414</v>
      </c>
      <c r="AH500" s="2">
        <v>143.15220793905399</v>
      </c>
      <c r="AI500" s="2">
        <v>62.020252642928099</v>
      </c>
      <c r="AJ500" s="2">
        <v>140.34764409880501</v>
      </c>
      <c r="AK500" s="2">
        <v>83.656847034102199</v>
      </c>
      <c r="AL500" s="2">
        <v>113.51378589738199</v>
      </c>
      <c r="AM500" s="2">
        <v>59.362509875896599</v>
      </c>
      <c r="AN500"/>
      <c r="AO500"/>
    </row>
    <row r="501" spans="1:41" ht="15.75" hidden="1" customHeight="1" x14ac:dyDescent="0.45">
      <c r="A501" s="2" t="s">
        <v>143</v>
      </c>
      <c r="B501" s="2" t="s">
        <v>144</v>
      </c>
      <c r="C501" s="2">
        <v>0.1</v>
      </c>
      <c r="D501" s="2"/>
      <c r="E501" s="2" t="s">
        <v>83</v>
      </c>
      <c r="F501" s="2" t="s">
        <v>84</v>
      </c>
      <c r="H501" s="2">
        <v>0.2</v>
      </c>
      <c r="J501" s="2">
        <v>0.2</v>
      </c>
      <c r="K501" s="2">
        <v>24.582290945783299</v>
      </c>
      <c r="L501" s="2"/>
      <c r="M501" s="2">
        <v>1.9624839238415801</v>
      </c>
      <c r="N501" s="2">
        <v>164.23333333333301</v>
      </c>
      <c r="O501" s="2">
        <v>25.709207170454299</v>
      </c>
      <c r="P501" s="2">
        <v>22.094165466388802</v>
      </c>
      <c r="Q501" s="2">
        <v>0.97472323420904505</v>
      </c>
      <c r="R501" s="2">
        <v>1.64784439524183</v>
      </c>
      <c r="S501" s="2">
        <v>0.59596398455018496</v>
      </c>
      <c r="T501" s="2">
        <v>8.6133976675583295</v>
      </c>
      <c r="U501" s="2">
        <v>1.3065046867379999</v>
      </c>
      <c r="V501" s="2">
        <v>0.93980106241749894</v>
      </c>
      <c r="W501" s="2">
        <v>0.59486636760108402</v>
      </c>
      <c r="X501" s="2">
        <v>3.90461338245666</v>
      </c>
      <c r="Y501" s="2">
        <v>1.18590868319929</v>
      </c>
      <c r="Z501" s="7">
        <v>70.837506978292296</v>
      </c>
      <c r="AA501" s="2">
        <v>9.5370232682343996</v>
      </c>
      <c r="AB501" s="7">
        <v>73.348429505650799</v>
      </c>
      <c r="AC501" s="2">
        <v>2.9856726548067498</v>
      </c>
      <c r="AD501" s="2">
        <v>191.596575095546</v>
      </c>
      <c r="AE501" s="2">
        <v>51.097353280037197</v>
      </c>
      <c r="AF501" s="2">
        <v>144.544631508533</v>
      </c>
      <c r="AG501" s="2">
        <v>6.1505385200001204</v>
      </c>
      <c r="AH501" s="2">
        <v>92.290091973096494</v>
      </c>
      <c r="AI501" s="2">
        <v>10.203542546128901</v>
      </c>
      <c r="AJ501" s="2">
        <v>156.399657430649</v>
      </c>
      <c r="AK501" s="2">
        <v>138.89346692661499</v>
      </c>
      <c r="AL501" s="2">
        <v>115.601098772735</v>
      </c>
      <c r="AM501" s="2">
        <v>12.0182758956526</v>
      </c>
      <c r="AN501"/>
      <c r="AO501"/>
    </row>
    <row r="502" spans="1:41" ht="15.75" hidden="1" customHeight="1" x14ac:dyDescent="0.45">
      <c r="A502" s="2" t="s">
        <v>143</v>
      </c>
      <c r="B502" s="2" t="s">
        <v>144</v>
      </c>
      <c r="C502" s="2">
        <v>0.3</v>
      </c>
      <c r="D502" s="2"/>
      <c r="E502" s="2" t="s">
        <v>83</v>
      </c>
      <c r="F502" s="2" t="s">
        <v>84</v>
      </c>
      <c r="H502" s="2">
        <v>0.2</v>
      </c>
      <c r="J502" s="2">
        <v>0.2</v>
      </c>
      <c r="K502" s="2">
        <v>20.134918243674999</v>
      </c>
      <c r="L502" s="2"/>
      <c r="M502" s="2">
        <v>2.2996583998195002</v>
      </c>
      <c r="N502" s="2">
        <v>98.949999999999903</v>
      </c>
      <c r="O502" s="2">
        <v>9.1216774773065499</v>
      </c>
      <c r="P502" s="2">
        <v>22.958064497549898</v>
      </c>
      <c r="Q502" s="2">
        <v>2.8873246564317898</v>
      </c>
      <c r="R502" s="2">
        <v>0.90610098912250003</v>
      </c>
      <c r="S502" s="2">
        <v>0.82814672999580696</v>
      </c>
      <c r="T502" s="2">
        <v>11.854275943085</v>
      </c>
      <c r="U502" s="2">
        <v>3.78445400378506</v>
      </c>
      <c r="V502" s="2">
        <v>1.0799154970475</v>
      </c>
      <c r="W502" s="2">
        <v>0.97873202292896699</v>
      </c>
      <c r="X502" s="2">
        <v>4.3851969895774996</v>
      </c>
      <c r="Y502" s="2">
        <v>0.20984774075211399</v>
      </c>
      <c r="Z502" s="7">
        <v>42.281841975415503</v>
      </c>
      <c r="AA502" s="2">
        <v>5.0851926234285898</v>
      </c>
      <c r="AB502" s="7">
        <v>60.494591604156199</v>
      </c>
      <c r="AC502" s="2">
        <v>12.060210760692099</v>
      </c>
      <c r="AD502" s="2">
        <v>260.309382963384</v>
      </c>
      <c r="AE502" s="2">
        <v>144.464703761377</v>
      </c>
      <c r="AF502" s="2">
        <v>156.812327820262</v>
      </c>
      <c r="AG502" s="2">
        <v>16.112274239898699</v>
      </c>
      <c r="AH502" s="2">
        <v>53.334248135487002</v>
      </c>
      <c r="AI502" s="2">
        <v>58.809758134390101</v>
      </c>
      <c r="AJ502" s="2">
        <v>220.69301756621999</v>
      </c>
      <c r="AK502" s="2">
        <v>246.87177578753801</v>
      </c>
      <c r="AL502" s="2">
        <v>115.823694633814</v>
      </c>
      <c r="AM502" s="2">
        <v>1.1261098474448701</v>
      </c>
      <c r="AN502"/>
      <c r="AO502"/>
    </row>
    <row r="503" spans="1:41" ht="15.75" hidden="1" customHeight="1" x14ac:dyDescent="0.45">
      <c r="A503" s="2" t="s">
        <v>143</v>
      </c>
      <c r="B503" s="2" t="s">
        <v>144</v>
      </c>
      <c r="C503" s="2">
        <v>1</v>
      </c>
      <c r="D503" s="2"/>
      <c r="E503" s="2" t="s">
        <v>83</v>
      </c>
      <c r="F503" s="2" t="s">
        <v>84</v>
      </c>
      <c r="H503" s="2">
        <v>0.2</v>
      </c>
      <c r="J503" s="2">
        <v>0.2</v>
      </c>
      <c r="K503" s="2">
        <v>20.281724661227699</v>
      </c>
      <c r="L503" s="2"/>
      <c r="M503" s="2">
        <v>8.3594718335324103</v>
      </c>
      <c r="N503" s="2">
        <v>36.3888888888888</v>
      </c>
      <c r="O503" s="2">
        <v>5.8030962361420704</v>
      </c>
      <c r="P503" s="2">
        <v>9.5541005791788791</v>
      </c>
      <c r="Q503" s="2">
        <v>5.2295271913370804</v>
      </c>
      <c r="R503" s="2">
        <v>0</v>
      </c>
      <c r="S503" s="2">
        <v>0</v>
      </c>
      <c r="T503" s="2">
        <v>14.7087498761388</v>
      </c>
      <c r="U503" s="2">
        <v>2.0939348280567498</v>
      </c>
      <c r="V503" s="2">
        <v>0.647346480677777</v>
      </c>
      <c r="W503" s="2">
        <v>0.67491105325871903</v>
      </c>
      <c r="X503" s="2">
        <v>7.9549955730166602</v>
      </c>
      <c r="Y503" s="2">
        <v>2.7861626729174498</v>
      </c>
      <c r="Z503" s="7">
        <v>15.736120872995</v>
      </c>
      <c r="AA503" s="2">
        <v>2.6356340887843102</v>
      </c>
      <c r="AB503" s="7">
        <v>61.431803626736297</v>
      </c>
      <c r="AC503" s="2">
        <v>28.703192063023199</v>
      </c>
      <c r="AD503" s="2">
        <v>322.68229688726097</v>
      </c>
      <c r="AE503" s="2">
        <v>56.552358081782899</v>
      </c>
      <c r="AF503" s="2">
        <v>62.136585663074101</v>
      </c>
      <c r="AG503" s="2">
        <v>33.957301531935997</v>
      </c>
      <c r="AH503" s="2">
        <v>0</v>
      </c>
      <c r="AI503" s="2">
        <v>0</v>
      </c>
      <c r="AJ503" s="2">
        <v>97.651395766984805</v>
      </c>
      <c r="AK503" s="2">
        <v>85.671668831807494</v>
      </c>
      <c r="AL503" s="2">
        <v>260.91483602702198</v>
      </c>
      <c r="AM503" s="2">
        <v>154.88032769920599</v>
      </c>
      <c r="AN503"/>
      <c r="AO503"/>
    </row>
    <row r="504" spans="1:41" ht="15.75" hidden="1" customHeight="1" x14ac:dyDescent="0.45">
      <c r="A504" s="2" t="s">
        <v>143</v>
      </c>
      <c r="B504" s="2" t="s">
        <v>144</v>
      </c>
      <c r="C504" s="2">
        <v>3</v>
      </c>
      <c r="D504" s="2"/>
      <c r="E504" s="2" t="s">
        <v>83</v>
      </c>
      <c r="F504" s="2" t="s">
        <v>84</v>
      </c>
      <c r="H504" s="2">
        <v>0.2</v>
      </c>
      <c r="J504" s="2">
        <v>0.2</v>
      </c>
      <c r="K504" s="2">
        <v>56.6231992599444</v>
      </c>
      <c r="L504" s="2"/>
      <c r="M504" s="2">
        <v>7.9155180217752701</v>
      </c>
      <c r="N504" s="2">
        <v>18.8055555555555</v>
      </c>
      <c r="O504" s="2">
        <v>5.3179030258733002</v>
      </c>
      <c r="P504" s="2">
        <v>7.78766586105555</v>
      </c>
      <c r="Q504" s="2">
        <v>0.444249889530416</v>
      </c>
      <c r="R504" s="2">
        <v>0</v>
      </c>
      <c r="S504" s="2">
        <v>0</v>
      </c>
      <c r="T504" s="2">
        <v>24.5193650805166</v>
      </c>
      <c r="U504" s="2">
        <v>1.79726503015887</v>
      </c>
      <c r="V504" s="2">
        <v>0.34722222222499899</v>
      </c>
      <c r="W504" s="2">
        <v>0.60140653041067105</v>
      </c>
      <c r="X504" s="2">
        <v>10.2582835980194</v>
      </c>
      <c r="Y504" s="2">
        <v>2.7431470098387098</v>
      </c>
      <c r="Z504" s="7">
        <v>8.1702178695010996</v>
      </c>
      <c r="AA504" s="2">
        <v>2.5282824956053802</v>
      </c>
      <c r="AB504" s="7">
        <v>169.86067302725701</v>
      </c>
      <c r="AC504" s="2">
        <v>30.6956662281648</v>
      </c>
      <c r="AD504" s="2">
        <v>542.07658726875798</v>
      </c>
      <c r="AE504" s="2">
        <v>102.293074945481</v>
      </c>
      <c r="AF504" s="2">
        <v>51.186952756938503</v>
      </c>
      <c r="AG504" s="2">
        <v>6.5259665519151904</v>
      </c>
      <c r="AH504" s="2">
        <v>0</v>
      </c>
      <c r="AI504" s="2">
        <v>0</v>
      </c>
      <c r="AJ504" s="2">
        <v>32.363013236387097</v>
      </c>
      <c r="AK504" s="2">
        <v>56.054383211446599</v>
      </c>
      <c r="AL504" s="2">
        <v>305.62014060396302</v>
      </c>
      <c r="AM504" s="2">
        <v>13.113640597488001</v>
      </c>
      <c r="AN504"/>
      <c r="AO504"/>
    </row>
    <row r="505" spans="1:41" ht="15.75" hidden="1" customHeight="1" x14ac:dyDescent="0.45">
      <c r="A505" s="2" t="s">
        <v>143</v>
      </c>
      <c r="B505" s="2" t="s">
        <v>144</v>
      </c>
      <c r="C505" s="2">
        <v>10</v>
      </c>
      <c r="D505" s="2"/>
      <c r="E505" s="2" t="s">
        <v>83</v>
      </c>
      <c r="F505" s="2" t="s">
        <v>84</v>
      </c>
      <c r="H505" s="2">
        <v>0.2</v>
      </c>
      <c r="J505" s="2">
        <v>0.2</v>
      </c>
      <c r="K505" s="2">
        <v>94.472512535833303</v>
      </c>
      <c r="L505" s="2"/>
      <c r="M505" s="2">
        <v>2.6004818734664599</v>
      </c>
      <c r="N505" s="2">
        <v>23.9444444444444</v>
      </c>
      <c r="O505" s="2">
        <v>6.4254989718337701</v>
      </c>
      <c r="P505" s="2">
        <v>1.53680632068333</v>
      </c>
      <c r="Q505" s="2">
        <v>1.33108308897557</v>
      </c>
      <c r="R505" s="2">
        <v>0.47951176983333299</v>
      </c>
      <c r="S505" s="2">
        <v>0.45325411102769703</v>
      </c>
      <c r="T505" s="2">
        <v>33.959087326888799</v>
      </c>
      <c r="U505" s="2">
        <v>5.6437060039348799</v>
      </c>
      <c r="V505" s="2">
        <v>0.15432098765555499</v>
      </c>
      <c r="W505" s="2">
        <v>0.26729179129363101</v>
      </c>
      <c r="X505" s="2">
        <v>4.2750721486944396</v>
      </c>
      <c r="Y505" s="2">
        <v>0.36239696030231999</v>
      </c>
      <c r="Z505" s="7">
        <v>10.297619372834999</v>
      </c>
      <c r="AA505" s="2">
        <v>2.43702069010001</v>
      </c>
      <c r="AB505" s="7">
        <v>282.88609374749598</v>
      </c>
      <c r="AC505" s="2">
        <v>23.6193591011703</v>
      </c>
      <c r="AD505" s="2">
        <v>767.30388049394696</v>
      </c>
      <c r="AE505" s="2">
        <v>254.266203670762</v>
      </c>
      <c r="AF505" s="2">
        <v>10.5138744509379</v>
      </c>
      <c r="AG505" s="2">
        <v>9.1142282074412808</v>
      </c>
      <c r="AH505" s="2">
        <v>22.412079532640298</v>
      </c>
      <c r="AI505" s="2">
        <v>19.4184741238737</v>
      </c>
      <c r="AJ505" s="2">
        <v>34.422758880867903</v>
      </c>
      <c r="AK505" s="2">
        <v>59.621967318355999</v>
      </c>
      <c r="AL505" s="2">
        <v>134.149992623591</v>
      </c>
      <c r="AM505" s="2">
        <v>40.371774047976601</v>
      </c>
      <c r="AN505"/>
      <c r="AO505"/>
    </row>
    <row r="506" spans="1:41" ht="15.75" hidden="1" customHeight="1" x14ac:dyDescent="0.45">
      <c r="A506" s="2" t="s">
        <v>143</v>
      </c>
      <c r="B506" s="2" t="s">
        <v>144</v>
      </c>
      <c r="C506" s="2">
        <v>3.0000000000000001E-3</v>
      </c>
      <c r="D506" s="2"/>
      <c r="E506" s="2" t="s">
        <v>83</v>
      </c>
      <c r="F506" s="2" t="s">
        <v>84</v>
      </c>
      <c r="H506" s="2">
        <v>0.4</v>
      </c>
      <c r="J506" s="2">
        <v>0.37112588099999999</v>
      </c>
      <c r="K506" s="2">
        <v>36.569672011999998</v>
      </c>
      <c r="L506" s="2"/>
      <c r="M506" s="2">
        <v>2.57413886389637</v>
      </c>
      <c r="N506" s="2">
        <v>280.85555555555499</v>
      </c>
      <c r="O506" s="2">
        <v>24.502297700268901</v>
      </c>
      <c r="P506" s="2">
        <v>33.049156638999897</v>
      </c>
      <c r="Q506" s="2">
        <v>2.2904589477236201</v>
      </c>
      <c r="R506" s="2">
        <v>2.98520470818888</v>
      </c>
      <c r="S506" s="2">
        <v>0.88532258508931605</v>
      </c>
      <c r="T506" s="2">
        <v>4.3818987918333301</v>
      </c>
      <c r="U506" s="2">
        <v>0.28261960426891197</v>
      </c>
      <c r="V506" s="2">
        <v>0.44117409222222198</v>
      </c>
      <c r="W506" s="2">
        <v>0.244566875508583</v>
      </c>
      <c r="X506" s="2">
        <v>3.8543418791444402</v>
      </c>
      <c r="Y506" s="2">
        <v>0.89653070531965695</v>
      </c>
      <c r="Z506" s="7">
        <v>100.705179282868</v>
      </c>
      <c r="AA506" s="2">
        <v>8.7856844343593696</v>
      </c>
      <c r="AB506" s="7">
        <v>91.606895778800705</v>
      </c>
      <c r="AC506" s="2">
        <v>6.4482085195551502</v>
      </c>
      <c r="AD506" s="2">
        <v>98.972033045057501</v>
      </c>
      <c r="AE506" s="2">
        <v>6.3834054919330798</v>
      </c>
      <c r="AF506" s="2">
        <v>97.732492083439595</v>
      </c>
      <c r="AG506" s="2">
        <v>6.7733123547147702</v>
      </c>
      <c r="AH506" s="2">
        <v>79.918614276809507</v>
      </c>
      <c r="AI506" s="2">
        <v>23.701474808147001</v>
      </c>
      <c r="AJ506" s="2">
        <v>93.807207067911605</v>
      </c>
      <c r="AK506" s="2">
        <v>52.002454217619203</v>
      </c>
      <c r="AL506" s="2">
        <v>114.475600348501</v>
      </c>
      <c r="AM506" s="2">
        <v>26.627344937318899</v>
      </c>
      <c r="AN506"/>
      <c r="AO506"/>
    </row>
    <row r="507" spans="1:41" ht="15.75" hidden="1" customHeight="1" x14ac:dyDescent="0.45">
      <c r="A507" s="2" t="s">
        <v>143</v>
      </c>
      <c r="B507" s="2" t="s">
        <v>144</v>
      </c>
      <c r="C507" s="2">
        <v>0.01</v>
      </c>
      <c r="D507" s="2"/>
      <c r="E507" s="2" t="s">
        <v>83</v>
      </c>
      <c r="F507" s="2" t="s">
        <v>84</v>
      </c>
      <c r="H507" s="2">
        <v>0.4</v>
      </c>
      <c r="J507" s="2">
        <v>0.37112588099999999</v>
      </c>
      <c r="K507" s="2">
        <v>39.685543063333299</v>
      </c>
      <c r="L507" s="2"/>
      <c r="M507" s="2">
        <v>4.7505033018493501</v>
      </c>
      <c r="N507" s="2">
        <v>265.11111111111097</v>
      </c>
      <c r="O507" s="2">
        <v>43.873028076399599</v>
      </c>
      <c r="P507" s="2">
        <v>35.645712878333299</v>
      </c>
      <c r="Q507" s="2">
        <v>2.4379053631985701</v>
      </c>
      <c r="R507" s="2">
        <v>2.5497989561666601</v>
      </c>
      <c r="S507" s="2">
        <v>0.79412757227006703</v>
      </c>
      <c r="T507" s="2">
        <v>3.67003167011111</v>
      </c>
      <c r="U507" s="2">
        <v>0.32185278046267701</v>
      </c>
      <c r="V507" s="2">
        <v>0.45673936322222197</v>
      </c>
      <c r="W507" s="2">
        <v>0.11434515441061301</v>
      </c>
      <c r="X507" s="2">
        <v>3.1092461229444401</v>
      </c>
      <c r="Y507" s="2">
        <v>0.81706874372056104</v>
      </c>
      <c r="Z507" s="7">
        <v>95.059760956175296</v>
      </c>
      <c r="AA507" s="2">
        <v>15.731364648908199</v>
      </c>
      <c r="AB507" s="7">
        <v>99.412141463421804</v>
      </c>
      <c r="AC507" s="2">
        <v>11.8999935445568</v>
      </c>
      <c r="AD507" s="2">
        <v>82.893401465046793</v>
      </c>
      <c r="AE507" s="2">
        <v>7.2695480970404196</v>
      </c>
      <c r="AF507" s="2">
        <v>105.41099095942501</v>
      </c>
      <c r="AG507" s="2">
        <v>7.2093387801556101</v>
      </c>
      <c r="AH507" s="2">
        <v>68.262119077564194</v>
      </c>
      <c r="AI507" s="2">
        <v>21.260041216180099</v>
      </c>
      <c r="AJ507" s="2">
        <v>97.116863336280403</v>
      </c>
      <c r="AK507" s="2">
        <v>24.313303446671501</v>
      </c>
      <c r="AL507" s="2">
        <v>92.345938091595102</v>
      </c>
      <c r="AM507" s="2">
        <v>24.267290732437299</v>
      </c>
      <c r="AN507"/>
      <c r="AO507"/>
    </row>
    <row r="508" spans="1:41" ht="15.75" hidden="1" customHeight="1" x14ac:dyDescent="0.45">
      <c r="A508" s="2" t="s">
        <v>143</v>
      </c>
      <c r="B508" s="2" t="s">
        <v>144</v>
      </c>
      <c r="C508" s="2">
        <v>0.03</v>
      </c>
      <c r="D508" s="2"/>
      <c r="E508" s="2" t="s">
        <v>83</v>
      </c>
      <c r="F508" s="2" t="s">
        <v>84</v>
      </c>
      <c r="H508" s="2">
        <v>0.4</v>
      </c>
      <c r="J508" s="2">
        <v>0.37112588099999999</v>
      </c>
      <c r="K508" s="2">
        <v>39.143909392222199</v>
      </c>
      <c r="L508" s="2"/>
      <c r="M508" s="2">
        <v>1.6635156125480799</v>
      </c>
      <c r="N508" s="2">
        <v>279.33333333333297</v>
      </c>
      <c r="O508" s="2">
        <v>28.025781781146598</v>
      </c>
      <c r="P508" s="2">
        <v>34.246844856666598</v>
      </c>
      <c r="Q508" s="2">
        <v>2.41775359229963</v>
      </c>
      <c r="R508" s="2">
        <v>3.0114266887222199</v>
      </c>
      <c r="S508" s="2">
        <v>0.55518103316788003</v>
      </c>
      <c r="T508" s="2">
        <v>2.8478038111666599</v>
      </c>
      <c r="U508" s="2">
        <v>0.31598065927832703</v>
      </c>
      <c r="V508" s="2">
        <v>0.442777131055555</v>
      </c>
      <c r="W508" s="2">
        <v>0.16469692331116501</v>
      </c>
      <c r="X508" s="2">
        <v>3.59005642011111</v>
      </c>
      <c r="Y508" s="2">
        <v>0.44391520179490102</v>
      </c>
      <c r="Z508" s="7">
        <v>100.15936254979999</v>
      </c>
      <c r="AA508" s="2">
        <v>10.049085100809499</v>
      </c>
      <c r="AB508" s="7">
        <v>98.055351081394804</v>
      </c>
      <c r="AC508" s="2">
        <v>4.1671005770873597</v>
      </c>
      <c r="AD508" s="2">
        <v>64.322100142962</v>
      </c>
      <c r="AE508" s="2">
        <v>7.1369170620687203</v>
      </c>
      <c r="AF508" s="2">
        <v>101.274278505711</v>
      </c>
      <c r="AG508" s="2">
        <v>7.14974625223239</v>
      </c>
      <c r="AH508" s="2">
        <v>80.620617841948203</v>
      </c>
      <c r="AI508" s="2">
        <v>14.8630674210825</v>
      </c>
      <c r="AJ508" s="2">
        <v>94.148062522543995</v>
      </c>
      <c r="AK508" s="2">
        <v>35.019641136851398</v>
      </c>
      <c r="AL508" s="2">
        <v>106.626209314996</v>
      </c>
      <c r="AM508" s="2">
        <v>13.184471129628299</v>
      </c>
      <c r="AN508"/>
      <c r="AO508"/>
    </row>
    <row r="509" spans="1:41" ht="15.75" hidden="1" customHeight="1" x14ac:dyDescent="0.45">
      <c r="A509" s="2" t="s">
        <v>143</v>
      </c>
      <c r="B509" s="2" t="s">
        <v>144</v>
      </c>
      <c r="C509" s="2">
        <v>0.1</v>
      </c>
      <c r="D509" s="2"/>
      <c r="E509" s="2" t="s">
        <v>83</v>
      </c>
      <c r="F509" s="2" t="s">
        <v>84</v>
      </c>
      <c r="H509" s="2">
        <v>0.4</v>
      </c>
      <c r="J509" s="2">
        <v>0.37112588099999999</v>
      </c>
      <c r="K509" s="2">
        <v>38.474732674999998</v>
      </c>
      <c r="L509" s="2"/>
      <c r="M509" s="2">
        <v>1.81813840653572</v>
      </c>
      <c r="N509" s="2">
        <v>294.27777777777698</v>
      </c>
      <c r="O509" s="2">
        <v>26.2770143182494</v>
      </c>
      <c r="P509" s="2">
        <v>34.5669454972222</v>
      </c>
      <c r="Q509" s="2">
        <v>2.0381776803544698</v>
      </c>
      <c r="R509" s="2">
        <v>2.9254097257222198</v>
      </c>
      <c r="S509" s="2">
        <v>0.36022637760492998</v>
      </c>
      <c r="T509" s="2">
        <v>4.5737826832777699</v>
      </c>
      <c r="U509" s="2">
        <v>0.66035944726378804</v>
      </c>
      <c r="V509" s="2">
        <v>0.45486341355555499</v>
      </c>
      <c r="W509" s="2">
        <v>2.5990404952397E-2</v>
      </c>
      <c r="X509" s="2">
        <v>3.2787714161111099</v>
      </c>
      <c r="Y509" s="2">
        <v>0.192835394085343</v>
      </c>
      <c r="Z509" s="7">
        <v>105.517928286852</v>
      </c>
      <c r="AA509" s="2">
        <v>9.4220370065436398</v>
      </c>
      <c r="AB509" s="7">
        <v>96.379065831364102</v>
      </c>
      <c r="AC509" s="2">
        <v>4.5544301153234104</v>
      </c>
      <c r="AD509" s="2">
        <v>103.306030644511</v>
      </c>
      <c r="AE509" s="2">
        <v>14.9152502467687</v>
      </c>
      <c r="AF509" s="2">
        <v>102.220875529675</v>
      </c>
      <c r="AG509" s="2">
        <v>6.0272698085984704</v>
      </c>
      <c r="AH509" s="2">
        <v>78.317808768787401</v>
      </c>
      <c r="AI509" s="2">
        <v>9.6438253782625303</v>
      </c>
      <c r="AJ509" s="2">
        <v>96.717978628559706</v>
      </c>
      <c r="AK509" s="2">
        <v>5.5263610038105</v>
      </c>
      <c r="AL509" s="2">
        <v>97.380911718225605</v>
      </c>
      <c r="AM509" s="2">
        <v>5.7272935817669302</v>
      </c>
      <c r="AN509"/>
      <c r="AO509"/>
    </row>
    <row r="510" spans="1:41" ht="15.75" hidden="1" customHeight="1" x14ac:dyDescent="0.45">
      <c r="A510" s="2" t="s">
        <v>143</v>
      </c>
      <c r="B510" s="2" t="s">
        <v>144</v>
      </c>
      <c r="C510" s="2">
        <v>0.3</v>
      </c>
      <c r="D510" s="2"/>
      <c r="E510" s="2" t="s">
        <v>83</v>
      </c>
      <c r="F510" s="2" t="s">
        <v>84</v>
      </c>
      <c r="H510" s="2">
        <v>0.4</v>
      </c>
      <c r="J510" s="2">
        <v>0.37112588099999999</v>
      </c>
      <c r="K510" s="2">
        <v>25.322531784999999</v>
      </c>
      <c r="L510" s="2"/>
      <c r="M510" s="2">
        <v>1.76118844723049</v>
      </c>
      <c r="N510" s="2">
        <v>149.888888888888</v>
      </c>
      <c r="O510" s="2">
        <v>21.168853780267899</v>
      </c>
      <c r="P510" s="2">
        <v>52.276785093888797</v>
      </c>
      <c r="Q510" s="2">
        <v>1.70549406441452</v>
      </c>
      <c r="R510" s="2">
        <v>2.41243243849999</v>
      </c>
      <c r="S510" s="2">
        <v>0.42730981215545299</v>
      </c>
      <c r="T510" s="2">
        <v>5.5800262755555501</v>
      </c>
      <c r="U510" s="2">
        <v>2.84223378969903</v>
      </c>
      <c r="V510" s="2">
        <v>1.6606209456666601</v>
      </c>
      <c r="W510" s="2">
        <v>0.52385588745884804</v>
      </c>
      <c r="X510" s="2">
        <v>2.9205837751666599</v>
      </c>
      <c r="Y510" s="2">
        <v>0.77906584446139904</v>
      </c>
      <c r="Z510" s="7">
        <v>53.745019920318697</v>
      </c>
      <c r="AA510" s="2">
        <v>7.5904256582634098</v>
      </c>
      <c r="AB510" s="7">
        <v>63.432850295257403</v>
      </c>
      <c r="AC510" s="2">
        <v>4.4117706737793601</v>
      </c>
      <c r="AD510" s="2">
        <v>126.03361491731501</v>
      </c>
      <c r="AE510" s="2">
        <v>64.196292502268903</v>
      </c>
      <c r="AF510" s="2">
        <v>154.59215922342401</v>
      </c>
      <c r="AG510" s="2">
        <v>5.0434625902692796</v>
      </c>
      <c r="AH510" s="2">
        <v>64.584601850743496</v>
      </c>
      <c r="AI510" s="2">
        <v>11.4397541852552</v>
      </c>
      <c r="AJ510" s="2">
        <v>353.09918614395298</v>
      </c>
      <c r="AK510" s="2">
        <v>111.38790462755399</v>
      </c>
      <c r="AL510" s="2">
        <v>86.742585767848297</v>
      </c>
      <c r="AM510" s="2">
        <v>23.1385883899658</v>
      </c>
      <c r="AN510"/>
      <c r="AO510"/>
    </row>
    <row r="511" spans="1:41" ht="15.75" hidden="1" customHeight="1" x14ac:dyDescent="0.45">
      <c r="A511" s="2" t="s">
        <v>143</v>
      </c>
      <c r="B511" s="2" t="s">
        <v>144</v>
      </c>
      <c r="C511" s="2">
        <v>1</v>
      </c>
      <c r="D511" s="2"/>
      <c r="E511" s="2" t="s">
        <v>83</v>
      </c>
      <c r="F511" s="2" t="s">
        <v>84</v>
      </c>
      <c r="H511" s="2">
        <v>0.4</v>
      </c>
      <c r="J511" s="2">
        <v>0.37112588099999999</v>
      </c>
      <c r="K511" s="2">
        <v>27.565665592222199</v>
      </c>
      <c r="L511" s="2"/>
      <c r="M511" s="2">
        <v>7.1897386414955697</v>
      </c>
      <c r="N511" s="2">
        <v>52.3888888888888</v>
      </c>
      <c r="O511" s="2">
        <v>8.6060917270741797</v>
      </c>
      <c r="P511" s="2">
        <v>71.895117866666595</v>
      </c>
      <c r="Q511" s="2">
        <v>4.7961459135273801</v>
      </c>
      <c r="R511" s="2">
        <v>0.6229706035</v>
      </c>
      <c r="S511" s="2">
        <v>0.33689774336334899</v>
      </c>
      <c r="T511" s="2">
        <v>2.8260389053888799</v>
      </c>
      <c r="U511" s="2">
        <v>0.81872080790804203</v>
      </c>
      <c r="V511" s="2">
        <v>0.46918137477777699</v>
      </c>
      <c r="W511" s="2">
        <v>0.55426372653372602</v>
      </c>
      <c r="X511" s="2">
        <v>2.70282956177777</v>
      </c>
      <c r="Y511" s="2">
        <v>1.16285641486722</v>
      </c>
      <c r="Z511" s="7">
        <v>18.784860557768901</v>
      </c>
      <c r="AA511" s="2">
        <v>3.0858496232536901</v>
      </c>
      <c r="AB511" s="7">
        <v>69.051892348155306</v>
      </c>
      <c r="AC511" s="2">
        <v>18.010269225061101</v>
      </c>
      <c r="AD511" s="2">
        <v>63.830505727802198</v>
      </c>
      <c r="AE511" s="2">
        <v>18.492089092968001</v>
      </c>
      <c r="AF511" s="2">
        <v>212.60721156951601</v>
      </c>
      <c r="AG511" s="2">
        <v>14.183093918097001</v>
      </c>
      <c r="AH511" s="2">
        <v>16.677900590982599</v>
      </c>
      <c r="AI511" s="2">
        <v>9.0192812334528298</v>
      </c>
      <c r="AJ511" s="2">
        <v>99.762418401525295</v>
      </c>
      <c r="AK511" s="2">
        <v>117.853548251858</v>
      </c>
      <c r="AL511" s="2">
        <v>80.275192607685199</v>
      </c>
      <c r="AM511" s="2">
        <v>34.537332282672303</v>
      </c>
      <c r="AN511"/>
      <c r="AO511"/>
    </row>
    <row r="512" spans="1:41" ht="15.75" hidden="1" customHeight="1" x14ac:dyDescent="0.45">
      <c r="A512" s="2" t="s">
        <v>143</v>
      </c>
      <c r="B512" s="2" t="s">
        <v>144</v>
      </c>
      <c r="C512" s="2">
        <v>3</v>
      </c>
      <c r="D512" s="2"/>
      <c r="E512" s="2" t="s">
        <v>83</v>
      </c>
      <c r="F512" s="2" t="s">
        <v>84</v>
      </c>
      <c r="H512" s="2">
        <v>0.4</v>
      </c>
      <c r="J512" s="2">
        <v>0.37112588099999999</v>
      </c>
      <c r="K512" s="2">
        <v>93.490525678722193</v>
      </c>
      <c r="L512" s="2"/>
      <c r="M512" s="2">
        <v>1.8507229396170599</v>
      </c>
      <c r="N512" s="2">
        <v>11.55</v>
      </c>
      <c r="O512" s="2">
        <v>1.06418983268962</v>
      </c>
      <c r="P512" s="2">
        <v>36.1888898141666</v>
      </c>
      <c r="Q512" s="2">
        <v>11.2307861951963</v>
      </c>
      <c r="R512" s="2">
        <v>0</v>
      </c>
      <c r="S512" s="2">
        <v>0</v>
      </c>
      <c r="T512" s="2">
        <v>11.6932064850555</v>
      </c>
      <c r="U512" s="2">
        <v>4.73537832664005</v>
      </c>
      <c r="V512" s="2">
        <v>0</v>
      </c>
      <c r="W512" s="2">
        <v>0</v>
      </c>
      <c r="X512" s="2">
        <v>12.037650620588799</v>
      </c>
      <c r="Y512" s="2">
        <v>2.23127463589468</v>
      </c>
      <c r="Z512" s="7">
        <v>4.1414342629482004</v>
      </c>
      <c r="AA512" s="2">
        <v>0.38158201172137801</v>
      </c>
      <c r="AB512" s="7">
        <v>234.193427803937</v>
      </c>
      <c r="AC512" s="2">
        <v>4.6360542525320803</v>
      </c>
      <c r="AD512" s="2">
        <v>264.10934474307999</v>
      </c>
      <c r="AE512" s="2">
        <v>106.95592082102399</v>
      </c>
      <c r="AF512" s="2">
        <v>107.01726600484</v>
      </c>
      <c r="AG512" s="2">
        <v>33.211519885429702</v>
      </c>
      <c r="AH512" s="2">
        <v>0</v>
      </c>
      <c r="AI512" s="2">
        <v>0</v>
      </c>
      <c r="AJ512" s="2">
        <v>0</v>
      </c>
      <c r="AK512" s="2">
        <v>0</v>
      </c>
      <c r="AL512" s="2">
        <v>357.52336580046801</v>
      </c>
      <c r="AM512" s="2">
        <v>66.269809865212494</v>
      </c>
      <c r="AN512"/>
      <c r="AO512"/>
    </row>
    <row r="513" spans="1:41" ht="15.75" hidden="1" customHeight="1" x14ac:dyDescent="0.45">
      <c r="A513" s="2" t="s">
        <v>143</v>
      </c>
      <c r="B513" s="2" t="s">
        <v>144</v>
      </c>
      <c r="C513" s="2">
        <v>10</v>
      </c>
      <c r="D513" s="2"/>
      <c r="E513" s="2" t="s">
        <v>83</v>
      </c>
      <c r="F513" s="2" t="s">
        <v>84</v>
      </c>
      <c r="H513" s="2">
        <v>0.4</v>
      </c>
      <c r="J513" s="2">
        <v>0.37112588099999999</v>
      </c>
      <c r="K513" s="2">
        <v>95.851190476666602</v>
      </c>
      <c r="L513" s="2"/>
      <c r="M513" s="2">
        <v>1.62104874611807</v>
      </c>
      <c r="N513" s="2">
        <v>15.922222222222199</v>
      </c>
      <c r="O513" s="2">
        <v>1.18805786116734</v>
      </c>
      <c r="P513" s="2">
        <v>4.4381313128888804</v>
      </c>
      <c r="Q513" s="2">
        <v>3.86030815735973</v>
      </c>
      <c r="R513" s="2">
        <v>5.8706108706111104</v>
      </c>
      <c r="S513" s="2">
        <v>5.5940754019491203</v>
      </c>
      <c r="T513" s="2">
        <v>27.190295815999999</v>
      </c>
      <c r="U513" s="2">
        <v>3.7522737692392401</v>
      </c>
      <c r="V513" s="2">
        <v>0</v>
      </c>
      <c r="W513" s="2">
        <v>0</v>
      </c>
      <c r="X513" s="2">
        <v>7.6970899479777701</v>
      </c>
      <c r="Y513" s="2">
        <v>1.7495920284933</v>
      </c>
      <c r="Z513" s="7">
        <v>5.7091633466135399</v>
      </c>
      <c r="AA513" s="2">
        <v>0.42599684264964599</v>
      </c>
      <c r="AB513" s="7">
        <v>240.106884562396</v>
      </c>
      <c r="AC513" s="2">
        <v>4.0607212306761999</v>
      </c>
      <c r="AD513" s="2">
        <v>614.13532896320601</v>
      </c>
      <c r="AE513" s="2">
        <v>84.750967816824399</v>
      </c>
      <c r="AF513" s="2">
        <v>13.124378275067</v>
      </c>
      <c r="AG513" s="2">
        <v>11.415647925599</v>
      </c>
      <c r="AH513" s="2">
        <v>157.16546488440201</v>
      </c>
      <c r="AI513" s="2">
        <v>149.762176462262</v>
      </c>
      <c r="AJ513" s="2">
        <v>0</v>
      </c>
      <c r="AK513" s="2">
        <v>0</v>
      </c>
      <c r="AL513" s="2">
        <v>228.606859577997</v>
      </c>
      <c r="AM513" s="2">
        <v>51.963630655197903</v>
      </c>
      <c r="AN513"/>
      <c r="AO513"/>
    </row>
    <row r="514" spans="1:41" ht="15.75" hidden="1" customHeight="1" x14ac:dyDescent="0.45">
      <c r="A514" s="2" t="s">
        <v>143</v>
      </c>
      <c r="B514" s="2" t="s">
        <v>144</v>
      </c>
      <c r="C514" s="2">
        <v>3.0000000000000001E-3</v>
      </c>
      <c r="D514" s="2"/>
      <c r="E514" s="2" t="s">
        <v>85</v>
      </c>
      <c r="F514" s="2" t="s">
        <v>84</v>
      </c>
      <c r="G514" s="2" t="s">
        <v>86</v>
      </c>
      <c r="H514" s="2">
        <v>1.1000000000000001</v>
      </c>
      <c r="I514" s="2">
        <v>3539</v>
      </c>
      <c r="J514" s="2">
        <v>1.1000000000000001</v>
      </c>
      <c r="K514" s="2">
        <v>3.4751871618127699</v>
      </c>
      <c r="L514" s="2"/>
      <c r="M514" s="2">
        <v>1.91808559651657</v>
      </c>
      <c r="N514" s="2">
        <v>148.055555555555</v>
      </c>
      <c r="O514" s="2">
        <v>18.170743681146501</v>
      </c>
      <c r="P514" s="2">
        <v>0.36929346006833302</v>
      </c>
      <c r="Q514" s="2">
        <v>0.19665867521257299</v>
      </c>
      <c r="R514" s="2">
        <v>0.383519684987777</v>
      </c>
      <c r="S514" s="2">
        <v>0.35828826506058697</v>
      </c>
      <c r="T514" s="2">
        <v>7.4127774803333297</v>
      </c>
      <c r="U514" s="2">
        <v>2.4469148769713098</v>
      </c>
      <c r="V514" s="2">
        <v>4.1459369817777703E-2</v>
      </c>
      <c r="W514" s="2">
        <v>7.1809734974178696E-2</v>
      </c>
      <c r="X514" s="2">
        <v>0.66891045031888896</v>
      </c>
      <c r="Y514" s="2">
        <v>0.163753513259043</v>
      </c>
      <c r="Z514" s="7">
        <v>96.132069672658801</v>
      </c>
      <c r="AA514" s="2">
        <v>15.0975402220401</v>
      </c>
      <c r="AB514" s="7">
        <v>81.090185990543205</v>
      </c>
      <c r="AC514" s="2">
        <v>39.891795786101397</v>
      </c>
      <c r="AD514" s="2">
        <v>105.89323358965299</v>
      </c>
      <c r="AE514" s="2">
        <v>59.658730229173798</v>
      </c>
      <c r="AF514" s="2">
        <v>160.44345493904601</v>
      </c>
      <c r="AG514" s="2">
        <v>61.627521173966102</v>
      </c>
      <c r="AH514" s="2">
        <v>154.88514275885601</v>
      </c>
      <c r="AI514" s="2">
        <v>189.41026365364999</v>
      </c>
      <c r="AJ514" s="2">
        <v>0</v>
      </c>
      <c r="AK514" s="2">
        <v>0</v>
      </c>
      <c r="AL514" s="2">
        <v>180.540971224077</v>
      </c>
      <c r="AM514" s="2">
        <v>75.675541273911307</v>
      </c>
      <c r="AN514"/>
      <c r="AO514"/>
    </row>
    <row r="515" spans="1:41" ht="15.75" hidden="1" customHeight="1" x14ac:dyDescent="0.45">
      <c r="A515" s="2" t="s">
        <v>143</v>
      </c>
      <c r="B515" s="2" t="s">
        <v>144</v>
      </c>
      <c r="C515" s="2">
        <v>0.01</v>
      </c>
      <c r="D515" s="2"/>
      <c r="E515" s="2" t="s">
        <v>85</v>
      </c>
      <c r="F515" s="2" t="s">
        <v>84</v>
      </c>
      <c r="G515" s="2" t="s">
        <v>86</v>
      </c>
      <c r="H515" s="2">
        <v>1.1000000000000001</v>
      </c>
      <c r="I515" s="2">
        <v>3539</v>
      </c>
      <c r="J515" s="2">
        <v>1.1000000000000001</v>
      </c>
      <c r="K515" s="2">
        <v>4.3930108302055499</v>
      </c>
      <c r="L515" s="2"/>
      <c r="M515" s="2">
        <v>0.81043801438755902</v>
      </c>
      <c r="N515" s="2">
        <v>145.777777777777</v>
      </c>
      <c r="O515" s="2">
        <v>9.5340520319613304</v>
      </c>
      <c r="P515" s="2">
        <v>0.27363243818777699</v>
      </c>
      <c r="Q515" s="2">
        <v>0.138118186082167</v>
      </c>
      <c r="R515" s="2">
        <v>0.73995484191333305</v>
      </c>
      <c r="S515" s="2">
        <v>0.79598604309755505</v>
      </c>
      <c r="T515" s="2">
        <v>5.6548060082999996</v>
      </c>
      <c r="U515" s="2">
        <v>2.6264416561084101</v>
      </c>
      <c r="V515" s="2">
        <v>0</v>
      </c>
      <c r="W515" s="2">
        <v>0</v>
      </c>
      <c r="X515" s="2">
        <v>0.721119478241666</v>
      </c>
      <c r="Y515" s="2">
        <v>0.63571360022809997</v>
      </c>
      <c r="Z515" s="7">
        <v>94.5324000350642</v>
      </c>
      <c r="AA515" s="2">
        <v>9.2285121926042901</v>
      </c>
      <c r="AB515" s="7">
        <v>105.046390662288</v>
      </c>
      <c r="AC515" s="2">
        <v>14.596873551799099</v>
      </c>
      <c r="AD515" s="2">
        <v>68.882419646609705</v>
      </c>
      <c r="AE515" s="2">
        <v>8.0391912075563106</v>
      </c>
      <c r="AF515" s="2">
        <v>137.833120115594</v>
      </c>
      <c r="AG515" s="2">
        <v>112.059908730861</v>
      </c>
      <c r="AH515" s="2">
        <v>199.88880834634301</v>
      </c>
      <c r="AI515" s="2">
        <v>142.572172187452</v>
      </c>
      <c r="AJ515" s="2">
        <v>0</v>
      </c>
      <c r="AK515" s="2">
        <v>0</v>
      </c>
      <c r="AL515" s="2">
        <v>208.535227016411</v>
      </c>
      <c r="AM515" s="2">
        <v>193.58675467545501</v>
      </c>
      <c r="AN515"/>
      <c r="AO515"/>
    </row>
    <row r="516" spans="1:41" ht="15.75" hidden="1" customHeight="1" x14ac:dyDescent="0.45">
      <c r="A516" s="2" t="s">
        <v>143</v>
      </c>
      <c r="B516" s="2" t="s">
        <v>144</v>
      </c>
      <c r="C516" s="2">
        <v>0.03</v>
      </c>
      <c r="D516" s="2"/>
      <c r="E516" s="2" t="s">
        <v>85</v>
      </c>
      <c r="F516" s="2" t="s">
        <v>84</v>
      </c>
      <c r="G516" s="2" t="s">
        <v>86</v>
      </c>
      <c r="H516" s="2">
        <v>1.1000000000000001</v>
      </c>
      <c r="I516" s="2">
        <v>3539</v>
      </c>
      <c r="J516" s="2">
        <v>1.1000000000000001</v>
      </c>
      <c r="K516" s="2">
        <v>3.7670804391999901</v>
      </c>
      <c r="L516" s="2"/>
      <c r="M516" s="2">
        <v>0.53052760345200101</v>
      </c>
      <c r="N516" s="2">
        <v>132.722222222222</v>
      </c>
      <c r="O516" s="2">
        <v>8.6028634337210903</v>
      </c>
      <c r="P516" s="2">
        <v>0.28897903989222201</v>
      </c>
      <c r="Q516" s="2">
        <v>0.222831221643774</v>
      </c>
      <c r="R516" s="2">
        <v>0.15167564761722199</v>
      </c>
      <c r="S516" s="2">
        <v>0.155828385885522</v>
      </c>
      <c r="T516" s="2">
        <v>6.1460049237933303</v>
      </c>
      <c r="U516" s="2">
        <v>3.86335806188344</v>
      </c>
      <c r="V516" s="2">
        <v>4.08496732027777E-2</v>
      </c>
      <c r="W516" s="2">
        <v>7.0753709459795894E-2</v>
      </c>
      <c r="X516" s="2">
        <v>0.592747979188333</v>
      </c>
      <c r="Y516" s="2">
        <v>0.112505688690796</v>
      </c>
      <c r="Z516" s="7">
        <v>86.009021853233307</v>
      </c>
      <c r="AA516" s="2">
        <v>7.1518827725101302</v>
      </c>
      <c r="AB516" s="7">
        <v>90.082775706030603</v>
      </c>
      <c r="AC516" s="2">
        <v>6.9617791795590502</v>
      </c>
      <c r="AD516" s="2">
        <v>87.692037578828206</v>
      </c>
      <c r="AE516" s="2">
        <v>63.716968609866598</v>
      </c>
      <c r="AF516" s="2">
        <v>174.83005695239501</v>
      </c>
      <c r="AG516" s="2">
        <v>196.638226490303</v>
      </c>
      <c r="AH516" s="2">
        <v>45.305491858378801</v>
      </c>
      <c r="AI516" s="2">
        <v>39.241709764326401</v>
      </c>
      <c r="AJ516" s="2">
        <v>0</v>
      </c>
      <c r="AK516" s="2">
        <v>0</v>
      </c>
      <c r="AL516" s="2">
        <v>151.26750568696499</v>
      </c>
      <c r="AM516" s="2">
        <v>24.3155660810332</v>
      </c>
      <c r="AN516"/>
      <c r="AO516"/>
    </row>
    <row r="517" spans="1:41" ht="15.75" hidden="1" customHeight="1" x14ac:dyDescent="0.45">
      <c r="A517" s="2" t="s">
        <v>143</v>
      </c>
      <c r="B517" s="2" t="s">
        <v>144</v>
      </c>
      <c r="C517" s="2">
        <v>0.1</v>
      </c>
      <c r="D517" s="2"/>
      <c r="E517" s="2" t="s">
        <v>85</v>
      </c>
      <c r="F517" s="2" t="s">
        <v>84</v>
      </c>
      <c r="G517" s="2" t="s">
        <v>86</v>
      </c>
      <c r="H517" s="2">
        <v>1.1000000000000001</v>
      </c>
      <c r="I517" s="2">
        <v>3539</v>
      </c>
      <c r="J517" s="2">
        <v>1.1000000000000001</v>
      </c>
      <c r="K517" s="2">
        <v>2.85260557108555</v>
      </c>
      <c r="L517" s="2"/>
      <c r="M517" s="2">
        <v>0.39093362575212798</v>
      </c>
      <c r="N517" s="2">
        <v>113.944444444444</v>
      </c>
      <c r="O517" s="2">
        <v>13.9107605564633</v>
      </c>
      <c r="P517" s="2">
        <v>0.27290808091388802</v>
      </c>
      <c r="Q517" s="2">
        <v>0.24687112132675501</v>
      </c>
      <c r="R517" s="2">
        <v>0.20467512404944399</v>
      </c>
      <c r="S517" s="2">
        <v>0.35450771389910002</v>
      </c>
      <c r="T517" s="2">
        <v>8.1362528697333296</v>
      </c>
      <c r="U517" s="2">
        <v>5.59914882572716</v>
      </c>
      <c r="V517" s="2">
        <v>4.7080979284444401E-2</v>
      </c>
      <c r="W517" s="2">
        <v>8.1546648190755494E-2</v>
      </c>
      <c r="X517" s="2">
        <v>0.84510345805388798</v>
      </c>
      <c r="Y517" s="2">
        <v>0.28066452295103</v>
      </c>
      <c r="Z517" s="7">
        <v>73.600075738284104</v>
      </c>
      <c r="AA517" s="2">
        <v>6.4445324238381598</v>
      </c>
      <c r="AB517" s="7">
        <v>69.195525273792995</v>
      </c>
      <c r="AC517" s="2">
        <v>15.2633670952969</v>
      </c>
      <c r="AD517" s="2">
        <v>111.369604564426</v>
      </c>
      <c r="AE517" s="2">
        <v>89.371121402357801</v>
      </c>
      <c r="AF517" s="2">
        <v>122.67576127115299</v>
      </c>
      <c r="AG517" s="2">
        <v>98.643259958443707</v>
      </c>
      <c r="AH517" s="2">
        <v>97.786898119729898</v>
      </c>
      <c r="AI517" s="2">
        <v>169.37187585793299</v>
      </c>
      <c r="AJ517" s="2">
        <v>0</v>
      </c>
      <c r="AK517" s="2">
        <v>0</v>
      </c>
      <c r="AL517" s="2">
        <v>211.43135400149001</v>
      </c>
      <c r="AM517" s="2">
        <v>43.698580300862197</v>
      </c>
      <c r="AN517"/>
      <c r="AO517"/>
    </row>
    <row r="518" spans="1:41" ht="15.75" hidden="1" customHeight="1" x14ac:dyDescent="0.45">
      <c r="A518" s="2" t="s">
        <v>143</v>
      </c>
      <c r="B518" s="2" t="s">
        <v>144</v>
      </c>
      <c r="C518" s="2">
        <v>0.3</v>
      </c>
      <c r="D518" s="2"/>
      <c r="E518" s="2" t="s">
        <v>85</v>
      </c>
      <c r="F518" s="2" t="s">
        <v>84</v>
      </c>
      <c r="G518" s="2" t="s">
        <v>86</v>
      </c>
      <c r="H518" s="2">
        <v>1.1000000000000001</v>
      </c>
      <c r="I518" s="2">
        <v>3539</v>
      </c>
      <c r="J518" s="2">
        <v>1.1000000000000001</v>
      </c>
      <c r="K518" s="2">
        <v>1.4862644706238799</v>
      </c>
      <c r="L518" s="2"/>
      <c r="M518" s="2">
        <v>0.65226586958434396</v>
      </c>
      <c r="N518" s="2">
        <v>76.9444444444444</v>
      </c>
      <c r="O518" s="2">
        <v>5.7162860255523498</v>
      </c>
      <c r="P518" s="2">
        <v>0.45453432124999898</v>
      </c>
      <c r="Q518" s="2">
        <v>0.20946076017211701</v>
      </c>
      <c r="R518" s="2">
        <v>0</v>
      </c>
      <c r="S518" s="2">
        <v>0</v>
      </c>
      <c r="T518" s="2">
        <v>3.0055978089111099</v>
      </c>
      <c r="U518" s="2">
        <v>0.56831931910671496</v>
      </c>
      <c r="V518" s="2">
        <v>0</v>
      </c>
      <c r="W518" s="2">
        <v>0</v>
      </c>
      <c r="X518" s="2">
        <v>0.84961852930666604</v>
      </c>
      <c r="Y518" s="2">
        <v>0.338699492699232</v>
      </c>
      <c r="Z518" s="7">
        <v>49.768866718649598</v>
      </c>
      <c r="AA518" s="2">
        <v>2.56798212068465</v>
      </c>
      <c r="AB518" s="7">
        <v>36.654363837723103</v>
      </c>
      <c r="AC518" s="2">
        <v>18.518863047126398</v>
      </c>
      <c r="AD518" s="2">
        <v>41.777886785628603</v>
      </c>
      <c r="AE518" s="2">
        <v>18.981237435058301</v>
      </c>
      <c r="AF518" s="2">
        <v>222.74102233893001</v>
      </c>
      <c r="AG518" s="2">
        <v>160.706338490131</v>
      </c>
      <c r="AH518" s="2">
        <v>0</v>
      </c>
      <c r="AI518" s="2">
        <v>0</v>
      </c>
      <c r="AJ518" s="2">
        <v>0</v>
      </c>
      <c r="AK518" s="2">
        <v>0</v>
      </c>
      <c r="AL518" s="2">
        <v>226.186500923637</v>
      </c>
      <c r="AM518" s="2">
        <v>119.75539669616001</v>
      </c>
      <c r="AN518"/>
      <c r="AO518"/>
    </row>
    <row r="519" spans="1:41" ht="15.75" hidden="1" customHeight="1" x14ac:dyDescent="0.45">
      <c r="A519" s="2" t="s">
        <v>143</v>
      </c>
      <c r="B519" s="2" t="s">
        <v>144</v>
      </c>
      <c r="C519" s="2">
        <v>1</v>
      </c>
      <c r="D519" s="2"/>
      <c r="E519" s="2" t="s">
        <v>85</v>
      </c>
      <c r="F519" s="2" t="s">
        <v>84</v>
      </c>
      <c r="G519" s="2" t="s">
        <v>86</v>
      </c>
      <c r="H519" s="2">
        <v>1.1000000000000001</v>
      </c>
      <c r="I519" s="2">
        <v>3539</v>
      </c>
      <c r="J519" s="2">
        <v>1.1000000000000001</v>
      </c>
      <c r="K519" s="2">
        <v>2.5827617825433302</v>
      </c>
      <c r="L519" s="2"/>
      <c r="M519" s="2">
        <v>1.2097293775764</v>
      </c>
      <c r="N519" s="2">
        <v>76.8333333333333</v>
      </c>
      <c r="O519" s="2">
        <v>10.8640589918214</v>
      </c>
      <c r="P519" s="2">
        <v>0.525582644198888</v>
      </c>
      <c r="Q519" s="2">
        <v>0.30380701198051302</v>
      </c>
      <c r="R519" s="2">
        <v>16.3037720178888</v>
      </c>
      <c r="S519" s="2">
        <v>28.238961490003302</v>
      </c>
      <c r="T519" s="2">
        <v>3.0613410151005498</v>
      </c>
      <c r="U519" s="2">
        <v>1.35319552692806</v>
      </c>
      <c r="V519" s="2">
        <v>0</v>
      </c>
      <c r="W519" s="2">
        <v>0</v>
      </c>
      <c r="X519" s="2">
        <v>0.86787225688833303</v>
      </c>
      <c r="Y519" s="2">
        <v>0.280054183576953</v>
      </c>
      <c r="Z519" s="7">
        <v>49.987058364072404</v>
      </c>
      <c r="AA519" s="2">
        <v>9.3904946211136693</v>
      </c>
      <c r="AB519" s="7">
        <v>61.934341838201</v>
      </c>
      <c r="AC519" s="2">
        <v>29.044088205020898</v>
      </c>
      <c r="AD519" s="2">
        <v>43.648043186554297</v>
      </c>
      <c r="AE519" s="2">
        <v>29.607764410860401</v>
      </c>
      <c r="AF519" s="2">
        <v>215.04731344044299</v>
      </c>
      <c r="AG519" s="2">
        <v>98.508801455157297</v>
      </c>
      <c r="AH519" s="2">
        <v>3522.6903493423902</v>
      </c>
      <c r="AI519" s="2">
        <v>6101.4786643935904</v>
      </c>
      <c r="AJ519" s="2">
        <v>0</v>
      </c>
      <c r="AK519" s="2">
        <v>0</v>
      </c>
      <c r="AL519" s="2">
        <v>223.24915624380401</v>
      </c>
      <c r="AM519" s="2">
        <v>84.312253746086697</v>
      </c>
      <c r="AN519"/>
      <c r="AO519"/>
    </row>
    <row r="520" spans="1:41" ht="15.75" hidden="1" customHeight="1" x14ac:dyDescent="0.45">
      <c r="A520" s="2" t="s">
        <v>143</v>
      </c>
      <c r="B520" s="2" t="s">
        <v>144</v>
      </c>
      <c r="C520" s="2">
        <v>3</v>
      </c>
      <c r="D520" s="2"/>
      <c r="E520" s="2" t="s">
        <v>85</v>
      </c>
      <c r="F520" s="2" t="s">
        <v>84</v>
      </c>
      <c r="G520" s="2" t="s">
        <v>86</v>
      </c>
      <c r="H520" s="2">
        <v>1.1000000000000001</v>
      </c>
      <c r="I520" s="2">
        <v>3539</v>
      </c>
      <c r="J520" s="2">
        <v>1.1000000000000001</v>
      </c>
      <c r="K520" s="2">
        <v>14.849002321355499</v>
      </c>
      <c r="L520" s="2"/>
      <c r="M520" s="2">
        <v>3.1440494595378898</v>
      </c>
      <c r="N520" s="2">
        <v>72.5</v>
      </c>
      <c r="O520" s="2">
        <v>3.12249899919949</v>
      </c>
      <c r="P520" s="2">
        <v>0.38634267260833299</v>
      </c>
      <c r="Q520" s="2">
        <v>0.44088693885450903</v>
      </c>
      <c r="R520" s="2">
        <v>2.4044929371999899</v>
      </c>
      <c r="S520" s="2">
        <v>4.1647039336709204</v>
      </c>
      <c r="T520" s="2">
        <v>4.7510185627666601</v>
      </c>
      <c r="U520" s="2">
        <v>2.4730839146523</v>
      </c>
      <c r="V520" s="2">
        <v>0</v>
      </c>
      <c r="W520" s="2">
        <v>0</v>
      </c>
      <c r="X520" s="2">
        <v>1.62372703033888</v>
      </c>
      <c r="Y520" s="2">
        <v>1.15577788918602</v>
      </c>
      <c r="Z520" s="7">
        <v>47.004955440153203</v>
      </c>
      <c r="AA520" s="2">
        <v>3.6769428242058502</v>
      </c>
      <c r="AB520" s="7">
        <v>359.85825356607302</v>
      </c>
      <c r="AC520" s="2">
        <v>92.281371506750304</v>
      </c>
      <c r="AD520" s="2">
        <v>64.994044244819705</v>
      </c>
      <c r="AE520" s="2">
        <v>41.668882886328497</v>
      </c>
      <c r="AF520" s="2">
        <v>147.602681787346</v>
      </c>
      <c r="AG520" s="2">
        <v>186.841890732038</v>
      </c>
      <c r="AH520" s="2">
        <v>519.529103795281</v>
      </c>
      <c r="AI520" s="2">
        <v>899.85080378415103</v>
      </c>
      <c r="AJ520" s="2">
        <v>0</v>
      </c>
      <c r="AK520" s="2">
        <v>0</v>
      </c>
      <c r="AL520" s="2">
        <v>446.02306132469698</v>
      </c>
      <c r="AM520" s="2">
        <v>369.25176545307897</v>
      </c>
      <c r="AN520"/>
      <c r="AO520"/>
    </row>
    <row r="521" spans="1:41" ht="15.75" hidden="1" customHeight="1" x14ac:dyDescent="0.45">
      <c r="A521" s="2" t="s">
        <v>143</v>
      </c>
      <c r="B521" s="2" t="s">
        <v>144</v>
      </c>
      <c r="C521" s="2">
        <v>10</v>
      </c>
      <c r="D521" s="2"/>
      <c r="E521" s="2" t="s">
        <v>85</v>
      </c>
      <c r="F521" s="2" t="s">
        <v>84</v>
      </c>
      <c r="G521" s="2" t="s">
        <v>86</v>
      </c>
      <c r="H521" s="2">
        <v>1.1000000000000001</v>
      </c>
      <c r="I521" s="2">
        <v>3539</v>
      </c>
      <c r="J521" s="2">
        <v>1.1000000000000001</v>
      </c>
      <c r="K521" s="2">
        <v>66.029937007611096</v>
      </c>
      <c r="L521" s="2"/>
      <c r="M521" s="2">
        <v>10.733339738977101</v>
      </c>
      <c r="N521" s="2">
        <v>46.1111111111111</v>
      </c>
      <c r="O521" s="2">
        <v>5.9285873653129402</v>
      </c>
      <c r="P521" s="2">
        <v>0.37326163008888802</v>
      </c>
      <c r="Q521" s="2">
        <v>0.37471562577015999</v>
      </c>
      <c r="R521" s="2">
        <v>0.10101010101111101</v>
      </c>
      <c r="S521" s="2">
        <v>0.17495462702890799</v>
      </c>
      <c r="T521" s="2">
        <v>5.1326576824833303</v>
      </c>
      <c r="U521" s="2">
        <v>0.50738750342240202</v>
      </c>
      <c r="V521" s="2">
        <v>0</v>
      </c>
      <c r="W521" s="2">
        <v>0</v>
      </c>
      <c r="X521" s="2">
        <v>0.92132666589999901</v>
      </c>
      <c r="Y521" s="2">
        <v>0.561448865213802</v>
      </c>
      <c r="Z521" s="7">
        <v>29.951576673577598</v>
      </c>
      <c r="AA521" s="2">
        <v>4.7837789061270799</v>
      </c>
      <c r="AB521" s="7">
        <v>1592.6613713573199</v>
      </c>
      <c r="AC521" s="2">
        <v>306.194971594869</v>
      </c>
      <c r="AD521" s="2">
        <v>69.189367478801501</v>
      </c>
      <c r="AE521" s="2">
        <v>22.369913177470298</v>
      </c>
      <c r="AF521" s="2">
        <v>237.67162793654299</v>
      </c>
      <c r="AG521" s="2">
        <v>289.54865859923098</v>
      </c>
      <c r="AH521" s="2">
        <v>21.8248456631704</v>
      </c>
      <c r="AI521" s="2">
        <v>37.801741555960398</v>
      </c>
      <c r="AJ521" s="2">
        <v>0</v>
      </c>
      <c r="AK521" s="2">
        <v>0</v>
      </c>
      <c r="AL521" s="2">
        <v>228.91468958441499</v>
      </c>
      <c r="AM521" s="2">
        <v>140.98947827304201</v>
      </c>
      <c r="AN521"/>
      <c r="AO521"/>
    </row>
    <row r="522" spans="1:41" ht="15.75" hidden="1" customHeight="1" x14ac:dyDescent="0.45">
      <c r="A522" s="2" t="s">
        <v>145</v>
      </c>
      <c r="B522" s="2" t="s">
        <v>104</v>
      </c>
      <c r="C522" s="2">
        <v>3.0000000000000001E-3</v>
      </c>
      <c r="D522" s="2"/>
      <c r="E522" s="2" t="s">
        <v>83</v>
      </c>
      <c r="F522" s="2" t="s">
        <v>84</v>
      </c>
      <c r="H522" s="2">
        <v>2.4</v>
      </c>
      <c r="J522" s="2">
        <v>2.436893274</v>
      </c>
      <c r="K522" s="2">
        <v>38.796172880555503</v>
      </c>
      <c r="L522" s="2"/>
      <c r="M522" s="2">
        <v>2.1300061745537899</v>
      </c>
      <c r="N522" s="2">
        <v>260.55555555555497</v>
      </c>
      <c r="O522" s="2">
        <v>20.059171726927701</v>
      </c>
      <c r="P522" s="2">
        <v>32.151040707777703</v>
      </c>
      <c r="Q522" s="2">
        <v>0.33709201312954001</v>
      </c>
      <c r="R522" s="2">
        <v>3.5652674126666599</v>
      </c>
      <c r="S522" s="2">
        <v>0.19639353030557699</v>
      </c>
      <c r="T522" s="2">
        <v>4.1583003457222203</v>
      </c>
      <c r="U522" s="2">
        <v>0.58408294287178697</v>
      </c>
      <c r="V522" s="2">
        <v>0.33588642427777698</v>
      </c>
      <c r="W522" s="2">
        <v>0.19128359986570401</v>
      </c>
      <c r="X522" s="2">
        <v>4.2035370441111102</v>
      </c>
      <c r="Y522" s="2">
        <v>0.23853694457479599</v>
      </c>
      <c r="Z522" s="7">
        <v>93.426294820717104</v>
      </c>
      <c r="AA522" s="2">
        <v>7.1925316949143498</v>
      </c>
      <c r="AB522" s="7">
        <v>97.184272380653994</v>
      </c>
      <c r="AC522" s="2">
        <v>5.3356577432940497</v>
      </c>
      <c r="AD522" s="2">
        <v>93.921712659160704</v>
      </c>
      <c r="AE522" s="2">
        <v>13.192426176227301</v>
      </c>
      <c r="AF522" s="2">
        <v>95.076596530734193</v>
      </c>
      <c r="AG522" s="2">
        <v>0.99684366728125895</v>
      </c>
      <c r="AH522" s="2">
        <v>95.447803081971003</v>
      </c>
      <c r="AI522" s="2">
        <v>5.2577629774926598</v>
      </c>
      <c r="AJ522" s="2">
        <v>71.419804356178801</v>
      </c>
      <c r="AK522" s="2">
        <v>40.672787857767801</v>
      </c>
      <c r="AL522" s="2">
        <v>124.846845920839</v>
      </c>
      <c r="AM522" s="2">
        <v>7.0846491545680799</v>
      </c>
      <c r="AN522"/>
      <c r="AO522"/>
    </row>
    <row r="523" spans="1:41" ht="15.75" hidden="1" customHeight="1" x14ac:dyDescent="0.45">
      <c r="A523" s="2" t="s">
        <v>145</v>
      </c>
      <c r="B523" s="2" t="s">
        <v>104</v>
      </c>
      <c r="C523" s="2">
        <v>0.01</v>
      </c>
      <c r="D523" s="2"/>
      <c r="E523" s="2" t="s">
        <v>83</v>
      </c>
      <c r="F523" s="2" t="s">
        <v>84</v>
      </c>
      <c r="H523" s="2">
        <v>2.4</v>
      </c>
      <c r="J523" s="2">
        <v>2.436893274</v>
      </c>
      <c r="K523" s="2">
        <v>42.114667449999999</v>
      </c>
      <c r="L523" s="2"/>
      <c r="M523" s="2">
        <v>1.65823460070657</v>
      </c>
      <c r="N523" s="2">
        <v>253.49999999999901</v>
      </c>
      <c r="O523" s="2">
        <v>11.5518156341086</v>
      </c>
      <c r="P523" s="2">
        <v>35.428054172222197</v>
      </c>
      <c r="Q523" s="2">
        <v>2.5223986390888999</v>
      </c>
      <c r="R523" s="2">
        <v>3.2025844409999999</v>
      </c>
      <c r="S523" s="2">
        <v>0.62063887994580003</v>
      </c>
      <c r="T523" s="2">
        <v>4.6754641953333298</v>
      </c>
      <c r="U523" s="2">
        <v>2.8828323185957698</v>
      </c>
      <c r="V523" s="2">
        <v>0.45719839622222203</v>
      </c>
      <c r="W523" s="2">
        <v>9.7148294687491005E-2</v>
      </c>
      <c r="X523" s="2">
        <v>3.8459132489444401</v>
      </c>
      <c r="Y523" s="2">
        <v>0.102259085129179</v>
      </c>
      <c r="Z523" s="7">
        <v>90.896414342629498</v>
      </c>
      <c r="AA523" s="2">
        <v>4.1420852871306</v>
      </c>
      <c r="AB523" s="7">
        <v>105.497089243377</v>
      </c>
      <c r="AC523" s="2">
        <v>4.1538716615747102</v>
      </c>
      <c r="AD523" s="2">
        <v>105.602666520718</v>
      </c>
      <c r="AE523" s="2">
        <v>65.113273732195495</v>
      </c>
      <c r="AF523" s="2">
        <v>104.767333754969</v>
      </c>
      <c r="AG523" s="2">
        <v>7.4592010839733902</v>
      </c>
      <c r="AH523" s="2">
        <v>85.738210825907501</v>
      </c>
      <c r="AI523" s="2">
        <v>16.6154766926091</v>
      </c>
      <c r="AJ523" s="2">
        <v>97.214467897475501</v>
      </c>
      <c r="AK523" s="2">
        <v>20.6567211373182</v>
      </c>
      <c r="AL523" s="2">
        <v>114.225266430931</v>
      </c>
      <c r="AM523" s="2">
        <v>3.0371385124377701</v>
      </c>
      <c r="AN523"/>
      <c r="AO523"/>
    </row>
    <row r="524" spans="1:41" ht="15.75" hidden="1" customHeight="1" x14ac:dyDescent="0.45">
      <c r="A524" s="2" t="s">
        <v>145</v>
      </c>
      <c r="B524" s="2" t="s">
        <v>104</v>
      </c>
      <c r="C524" s="2">
        <v>0.03</v>
      </c>
      <c r="D524" s="2"/>
      <c r="E524" s="2" t="s">
        <v>83</v>
      </c>
      <c r="F524" s="2" t="s">
        <v>84</v>
      </c>
      <c r="H524" s="2">
        <v>2.4</v>
      </c>
      <c r="J524" s="2">
        <v>2.436893274</v>
      </c>
      <c r="K524" s="2">
        <v>36.9139390705555</v>
      </c>
      <c r="L524" s="2"/>
      <c r="M524" s="2">
        <v>3.8846190246121299</v>
      </c>
      <c r="N524" s="2">
        <v>262.33333333333297</v>
      </c>
      <c r="O524" s="2">
        <v>22.9298446958928</v>
      </c>
      <c r="P524" s="2">
        <v>35.441000327222199</v>
      </c>
      <c r="Q524" s="2">
        <v>1.8928812368914001</v>
      </c>
      <c r="R524" s="2">
        <v>4.0951399077777699</v>
      </c>
      <c r="S524" s="2">
        <v>0.308426341832374</v>
      </c>
      <c r="T524" s="2">
        <v>5.2842255009444399</v>
      </c>
      <c r="U524" s="2">
        <v>2.1184621514301698</v>
      </c>
      <c r="V524" s="2">
        <v>0.45462844449999901</v>
      </c>
      <c r="W524" s="2">
        <v>0.30477236219944398</v>
      </c>
      <c r="X524" s="2">
        <v>3.72385323749999</v>
      </c>
      <c r="Y524" s="2">
        <v>0.41401438325963003</v>
      </c>
      <c r="Z524" s="7">
        <v>94.063745019920304</v>
      </c>
      <c r="AA524" s="2">
        <v>8.2218566638659691</v>
      </c>
      <c r="AB524" s="7">
        <v>92.4692835120794</v>
      </c>
      <c r="AC524" s="2">
        <v>9.7309565700020109</v>
      </c>
      <c r="AD524" s="2">
        <v>119.352492091264</v>
      </c>
      <c r="AE524" s="2">
        <v>47.848778809500601</v>
      </c>
      <c r="AF524" s="2">
        <v>104.80561793888501</v>
      </c>
      <c r="AG524" s="2">
        <v>5.5976012495602898</v>
      </c>
      <c r="AH524" s="2">
        <v>109.63332122634201</v>
      </c>
      <c r="AI524" s="2">
        <v>8.2570571385248108</v>
      </c>
      <c r="AJ524" s="2">
        <v>96.668016966626993</v>
      </c>
      <c r="AK524" s="2">
        <v>64.803995958627098</v>
      </c>
      <c r="AL524" s="2">
        <v>110.600031948164</v>
      </c>
      <c r="AM524" s="2">
        <v>12.2964040457877</v>
      </c>
      <c r="AN524"/>
      <c r="AO524"/>
    </row>
    <row r="525" spans="1:41" ht="15.75" hidden="1" customHeight="1" x14ac:dyDescent="0.45">
      <c r="A525" s="2" t="s">
        <v>145</v>
      </c>
      <c r="B525" s="2" t="s">
        <v>104</v>
      </c>
      <c r="C525" s="2">
        <v>0.1</v>
      </c>
      <c r="D525" s="2"/>
      <c r="E525" s="2" t="s">
        <v>83</v>
      </c>
      <c r="F525" s="2" t="s">
        <v>84</v>
      </c>
      <c r="H525" s="2">
        <v>2.4</v>
      </c>
      <c r="J525" s="2">
        <v>2.436893274</v>
      </c>
      <c r="K525" s="2">
        <v>38.730869249999998</v>
      </c>
      <c r="L525" s="2"/>
      <c r="M525" s="2">
        <v>4.0913080664260901</v>
      </c>
      <c r="N525" s="2">
        <v>243.555555555555</v>
      </c>
      <c r="O525" s="2">
        <v>19.520170005331298</v>
      </c>
      <c r="P525" s="2">
        <v>34.212074548888801</v>
      </c>
      <c r="Q525" s="2">
        <v>0.64398182338838295</v>
      </c>
      <c r="R525" s="2">
        <v>6.1915692132222198</v>
      </c>
      <c r="S525" s="2">
        <v>4.0615289584151597</v>
      </c>
      <c r="T525" s="2">
        <v>3.6587799940000001</v>
      </c>
      <c r="U525" s="2">
        <v>0.35513003593884901</v>
      </c>
      <c r="V525" s="2">
        <v>0.60906020466666599</v>
      </c>
      <c r="W525" s="2">
        <v>0.182809004212381</v>
      </c>
      <c r="X525" s="2">
        <v>3.6528840415555499</v>
      </c>
      <c r="Y525" s="2">
        <v>0.73580280678530297</v>
      </c>
      <c r="Z525" s="7">
        <v>87.330677290836604</v>
      </c>
      <c r="AA525" s="2">
        <v>6.9992641453379196</v>
      </c>
      <c r="AB525" s="7">
        <v>97.020687022920498</v>
      </c>
      <c r="AC525" s="2">
        <v>10.2487118702371</v>
      </c>
      <c r="AD525" s="2">
        <v>82.639264773903605</v>
      </c>
      <c r="AE525" s="2">
        <v>8.0211669237405498</v>
      </c>
      <c r="AF525" s="2">
        <v>101.171456250161</v>
      </c>
      <c r="AG525" s="2">
        <v>1.9043738133369901</v>
      </c>
      <c r="AH525" s="2">
        <v>165.75802334838201</v>
      </c>
      <c r="AI525" s="2">
        <v>108.733503371231</v>
      </c>
      <c r="AJ525" s="2">
        <v>129.50496809139801</v>
      </c>
      <c r="AK525" s="2">
        <v>38.870827671792803</v>
      </c>
      <c r="AL525" s="2">
        <v>108.49221651125301</v>
      </c>
      <c r="AM525" s="2">
        <v>21.853657689430701</v>
      </c>
      <c r="AN525"/>
      <c r="AO525"/>
    </row>
    <row r="526" spans="1:41" ht="15.75" hidden="1" customHeight="1" x14ac:dyDescent="0.45">
      <c r="A526" s="2" t="s">
        <v>145</v>
      </c>
      <c r="B526" s="2" t="s">
        <v>104</v>
      </c>
      <c r="C526" s="2">
        <v>0.3</v>
      </c>
      <c r="D526" s="2"/>
      <c r="E526" s="2" t="s">
        <v>83</v>
      </c>
      <c r="F526" s="2" t="s">
        <v>84</v>
      </c>
      <c r="H526" s="2">
        <v>2.4</v>
      </c>
      <c r="J526" s="2">
        <v>2.436893274</v>
      </c>
      <c r="K526" s="2">
        <v>36.095841121444401</v>
      </c>
      <c r="L526" s="2"/>
      <c r="M526" s="2">
        <v>2.7999384986571001</v>
      </c>
      <c r="N526" s="2">
        <v>247.53333333333299</v>
      </c>
      <c r="O526" s="2">
        <v>46.592178647398399</v>
      </c>
      <c r="P526" s="2">
        <v>35.822847092333298</v>
      </c>
      <c r="Q526" s="2">
        <v>3.3283150791730098</v>
      </c>
      <c r="R526" s="2">
        <v>6.8274874828333303</v>
      </c>
      <c r="S526" s="2">
        <v>4.6217436540653596</v>
      </c>
      <c r="T526" s="2">
        <v>2.7515113343555502</v>
      </c>
      <c r="U526" s="2">
        <v>0.22124850713140201</v>
      </c>
      <c r="V526" s="2">
        <v>0.46132142968888801</v>
      </c>
      <c r="W526" s="2">
        <v>3.35844700573023E-2</v>
      </c>
      <c r="X526" s="2">
        <v>3.52911249344444</v>
      </c>
      <c r="Y526" s="2">
        <v>0.61652345370652095</v>
      </c>
      <c r="Z526" s="7">
        <v>88.756972111553793</v>
      </c>
      <c r="AA526" s="2">
        <v>16.7063588775532</v>
      </c>
      <c r="AB526" s="7">
        <v>90.419951116194596</v>
      </c>
      <c r="AC526" s="2">
        <v>7.0138357858218496</v>
      </c>
      <c r="AD526" s="2">
        <v>62.1471840507187</v>
      </c>
      <c r="AE526" s="2">
        <v>4.9972433411263601</v>
      </c>
      <c r="AF526" s="2">
        <v>105.934809716937</v>
      </c>
      <c r="AG526" s="2">
        <v>9.84244562363852</v>
      </c>
      <c r="AH526" s="2">
        <v>182.78255327801</v>
      </c>
      <c r="AI526" s="2">
        <v>123.731329835545</v>
      </c>
      <c r="AJ526" s="2">
        <v>98.091151866398803</v>
      </c>
      <c r="AK526" s="2">
        <v>7.14109326108054</v>
      </c>
      <c r="AL526" s="2">
        <v>104.816148658334</v>
      </c>
      <c r="AM526" s="2">
        <v>18.3110099479944</v>
      </c>
      <c r="AN526"/>
      <c r="AO526"/>
    </row>
    <row r="527" spans="1:41" ht="15.75" hidden="1" customHeight="1" x14ac:dyDescent="0.45">
      <c r="A527" s="2" t="s">
        <v>145</v>
      </c>
      <c r="B527" s="2" t="s">
        <v>104</v>
      </c>
      <c r="C527" s="2">
        <v>1</v>
      </c>
      <c r="D527" s="2"/>
      <c r="E527" s="2" t="s">
        <v>83</v>
      </c>
      <c r="F527" s="2" t="s">
        <v>84</v>
      </c>
      <c r="H527" s="2">
        <v>2.4</v>
      </c>
      <c r="J527" s="2">
        <v>2.436893274</v>
      </c>
      <c r="K527" s="2">
        <v>43.075819588888798</v>
      </c>
      <c r="L527" s="2"/>
      <c r="M527" s="2">
        <v>2.3422467374022302</v>
      </c>
      <c r="N527" s="2">
        <v>238.944444444444</v>
      </c>
      <c r="O527" s="2">
        <v>37.6892754173046</v>
      </c>
      <c r="P527" s="2">
        <v>28.772949790555501</v>
      </c>
      <c r="Q527" s="2">
        <v>4.8540090333901604</v>
      </c>
      <c r="R527" s="2">
        <v>4.4474766985555503</v>
      </c>
      <c r="S527" s="2">
        <v>0.404771472665929</v>
      </c>
      <c r="T527" s="2">
        <v>5.5906217642777696</v>
      </c>
      <c r="U527" s="2">
        <v>3.4336224642358499</v>
      </c>
      <c r="V527" s="2">
        <v>0.36537494472222198</v>
      </c>
      <c r="W527" s="2">
        <v>0.23061548376998001</v>
      </c>
      <c r="X527" s="2">
        <v>4.0852434448888797</v>
      </c>
      <c r="Y527" s="2">
        <v>0.341465860940527</v>
      </c>
      <c r="Z527" s="7">
        <v>85.677290836653398</v>
      </c>
      <c r="AA527" s="2">
        <v>13.514082818953799</v>
      </c>
      <c r="AB527" s="7">
        <v>107.904771865903</v>
      </c>
      <c r="AC527" s="2">
        <v>5.8673195835892198</v>
      </c>
      <c r="AD527" s="2">
        <v>126.272930590671</v>
      </c>
      <c r="AE527" s="2">
        <v>77.553730046882393</v>
      </c>
      <c r="AF527" s="2">
        <v>85.086954512608798</v>
      </c>
      <c r="AG527" s="2">
        <v>14.354205906390201</v>
      </c>
      <c r="AH527" s="2">
        <v>119.065929985284</v>
      </c>
      <c r="AI527" s="2">
        <v>10.8363674710504</v>
      </c>
      <c r="AJ527" s="2">
        <v>77.689972510262095</v>
      </c>
      <c r="AK527" s="2">
        <v>49.035958412943899</v>
      </c>
      <c r="AL527" s="2">
        <v>121.33347549004699</v>
      </c>
      <c r="AM527" s="2">
        <v>10.1416819408769</v>
      </c>
      <c r="AN527"/>
      <c r="AO527"/>
    </row>
    <row r="528" spans="1:41" ht="15.75" hidden="1" customHeight="1" x14ac:dyDescent="0.45">
      <c r="A528" s="2" t="s">
        <v>145</v>
      </c>
      <c r="B528" s="2" t="s">
        <v>104</v>
      </c>
      <c r="C528" s="2">
        <v>3</v>
      </c>
      <c r="D528" s="2"/>
      <c r="E528" s="2" t="s">
        <v>83</v>
      </c>
      <c r="F528" s="2" t="s">
        <v>84</v>
      </c>
      <c r="H528" s="2">
        <v>2.4</v>
      </c>
      <c r="J528" s="2">
        <v>2.436893274</v>
      </c>
      <c r="K528" s="2">
        <v>23.293866713333301</v>
      </c>
      <c r="L528" s="2"/>
      <c r="M528" s="2">
        <v>5.4667818468710001</v>
      </c>
      <c r="N528" s="2">
        <v>114.055555555555</v>
      </c>
      <c r="O528" s="2">
        <v>24.479205082712099</v>
      </c>
      <c r="P528" s="2">
        <v>23.299828073333298</v>
      </c>
      <c r="Q528" s="2">
        <v>2.3386137048870799</v>
      </c>
      <c r="R528" s="2">
        <v>4.7812746653888798</v>
      </c>
      <c r="S528" s="2">
        <v>0.50624020576279205</v>
      </c>
      <c r="T528" s="2">
        <v>5.4648130763333302</v>
      </c>
      <c r="U528" s="2">
        <v>0.390128306991677</v>
      </c>
      <c r="V528" s="2">
        <v>0.467451556111111</v>
      </c>
      <c r="W528" s="2">
        <v>0.36048834085303399</v>
      </c>
      <c r="X528" s="2">
        <v>5.4419872104444398</v>
      </c>
      <c r="Y528" s="2">
        <v>0.51005205896597094</v>
      </c>
      <c r="Z528" s="7">
        <v>40.896414342629399</v>
      </c>
      <c r="AA528" s="2">
        <v>8.7774042129246599</v>
      </c>
      <c r="AB528" s="7">
        <v>58.351051647206098</v>
      </c>
      <c r="AC528" s="2">
        <v>13.6942687024215</v>
      </c>
      <c r="AD528" s="2">
        <v>123.431344736657</v>
      </c>
      <c r="AE528" s="2">
        <v>8.8116575771568595</v>
      </c>
      <c r="AF528" s="2">
        <v>68.901917455750706</v>
      </c>
      <c r="AG528" s="2">
        <v>6.9157149120527697</v>
      </c>
      <c r="AH528" s="2">
        <v>128.00222533700901</v>
      </c>
      <c r="AI528" s="2">
        <v>13.5528446758731</v>
      </c>
      <c r="AJ528" s="2">
        <v>99.394605647524799</v>
      </c>
      <c r="AK528" s="2">
        <v>76.650929943853001</v>
      </c>
      <c r="AL528" s="2">
        <v>161.629344914981</v>
      </c>
      <c r="AM528" s="2">
        <v>15.1487640406406</v>
      </c>
      <c r="AN528"/>
      <c r="AO528"/>
    </row>
    <row r="529" spans="1:41" ht="15.75" hidden="1" customHeight="1" x14ac:dyDescent="0.45">
      <c r="A529" s="2" t="s">
        <v>145</v>
      </c>
      <c r="B529" s="2" t="s">
        <v>104</v>
      </c>
      <c r="C529" s="2">
        <v>10</v>
      </c>
      <c r="D529" s="2"/>
      <c r="E529" s="2" t="s">
        <v>83</v>
      </c>
      <c r="F529" s="2" t="s">
        <v>84</v>
      </c>
      <c r="H529" s="2">
        <v>2.4</v>
      </c>
      <c r="J529" s="2">
        <v>2.436893274</v>
      </c>
      <c r="K529" s="2">
        <v>0</v>
      </c>
      <c r="L529" s="2"/>
      <c r="M529" s="2">
        <v>0</v>
      </c>
      <c r="N529" s="2">
        <v>14.8888888888888</v>
      </c>
      <c r="O529" s="2">
        <v>2.0367003088692601</v>
      </c>
      <c r="P529" s="2">
        <v>0</v>
      </c>
      <c r="Q529" s="2">
        <v>0</v>
      </c>
      <c r="R529" s="2">
        <v>39.4156765381111</v>
      </c>
      <c r="S529" s="2">
        <v>8.26296758302448</v>
      </c>
      <c r="T529" s="2">
        <v>11.1768083857222</v>
      </c>
      <c r="U529" s="2">
        <v>0.93553966033907199</v>
      </c>
      <c r="V529" s="2">
        <v>0.213675213666666</v>
      </c>
      <c r="W529" s="2">
        <v>0.37009632638880202</v>
      </c>
      <c r="X529" s="2">
        <v>0</v>
      </c>
      <c r="Y529" s="2">
        <v>0</v>
      </c>
      <c r="Z529" s="7">
        <v>5.3386454183266903</v>
      </c>
      <c r="AA529" s="2">
        <v>0.73029094740332101</v>
      </c>
      <c r="AB529" s="7">
        <v>0</v>
      </c>
      <c r="AC529" s="2">
        <v>0</v>
      </c>
      <c r="AD529" s="2">
        <v>252.445686548401</v>
      </c>
      <c r="AE529" s="2">
        <v>21.1306254609548</v>
      </c>
      <c r="AF529" s="2">
        <v>0</v>
      </c>
      <c r="AG529" s="2">
        <v>0</v>
      </c>
      <c r="AH529" s="2">
        <v>1055.2195100951401</v>
      </c>
      <c r="AI529" s="2">
        <v>221.21260804594999</v>
      </c>
      <c r="AJ529" s="2">
        <v>45.433934963734998</v>
      </c>
      <c r="AK529" s="2">
        <v>78.693883744969</v>
      </c>
      <c r="AL529" s="2">
        <v>0</v>
      </c>
      <c r="AM529" s="2">
        <v>0</v>
      </c>
      <c r="AN529"/>
      <c r="AO529"/>
    </row>
    <row r="530" spans="1:41" ht="15.75" customHeight="1" x14ac:dyDescent="0.45">
      <c r="A530" s="2" t="s">
        <v>146</v>
      </c>
      <c r="C530" s="2">
        <v>0</v>
      </c>
      <c r="D530" s="2"/>
      <c r="E530" s="2" t="s">
        <v>109</v>
      </c>
      <c r="F530" s="22" t="s">
        <v>84</v>
      </c>
      <c r="H530" s="2" t="s">
        <v>87</v>
      </c>
      <c r="K530" s="29">
        <v>35.5555555555555</v>
      </c>
      <c r="L530" s="21">
        <f>K$2/K530</f>
        <v>1.1599214475156261</v>
      </c>
      <c r="M530" s="14">
        <v>2.5881756506568698</v>
      </c>
      <c r="N530" s="14">
        <v>143.569444444444</v>
      </c>
      <c r="O530" s="14">
        <v>15.597438654875001</v>
      </c>
      <c r="P530" s="14">
        <v>16.7777777777777</v>
      </c>
      <c r="Q530" s="14">
        <v>2.3744572301995799</v>
      </c>
      <c r="R530" s="14">
        <v>2.3333333333333299</v>
      </c>
      <c r="S530" s="14">
        <v>0.65133894727893005</v>
      </c>
      <c r="T530" s="14">
        <v>4.8888888888888804</v>
      </c>
      <c r="U530" s="14">
        <v>1.42901628475239</v>
      </c>
      <c r="V530" s="14">
        <v>0.61111111111111105</v>
      </c>
      <c r="W530" s="14">
        <v>0.31247895552036398</v>
      </c>
      <c r="X530" s="14">
        <v>2.25</v>
      </c>
      <c r="Y530" s="14">
        <v>0.78656650620711599</v>
      </c>
    </row>
    <row r="531" spans="1:41" ht="15.75" customHeight="1" x14ac:dyDescent="0.45">
      <c r="A531" s="2" t="s">
        <v>146</v>
      </c>
      <c r="C531" s="2">
        <v>0</v>
      </c>
      <c r="D531" s="2"/>
      <c r="E531" s="2" t="s">
        <v>109</v>
      </c>
      <c r="F531" s="22" t="s">
        <v>84</v>
      </c>
      <c r="H531" s="2" t="s">
        <v>87</v>
      </c>
      <c r="K531" s="29">
        <v>35.0277777777777</v>
      </c>
      <c r="L531" s="21">
        <f t="shared" ref="L531:L544" si="1">K$2/K531</f>
        <v>1.1773984558445698</v>
      </c>
      <c r="M531" s="14">
        <v>2.0435082397498401</v>
      </c>
      <c r="N531" s="14">
        <v>236.986111111111</v>
      </c>
      <c r="O531" s="14">
        <v>38.877849262782597</v>
      </c>
      <c r="P531" s="14">
        <v>13.8888888888888</v>
      </c>
      <c r="Q531" s="14">
        <v>1.9152937551065501</v>
      </c>
      <c r="R531" s="14">
        <v>1.81944444444444</v>
      </c>
      <c r="S531" s="14">
        <v>0.58369397221373798</v>
      </c>
      <c r="T531" s="14">
        <v>7.9722222222222197</v>
      </c>
      <c r="U531" s="14">
        <v>1.75929470104295</v>
      </c>
      <c r="V531" s="14">
        <v>0.65277777777777701</v>
      </c>
      <c r="W531" s="14">
        <v>0.21856202842525099</v>
      </c>
      <c r="X531" s="14">
        <v>3.8194444444444402</v>
      </c>
      <c r="Y531" s="14">
        <v>0.88322850531025998</v>
      </c>
    </row>
    <row r="532" spans="1:41" ht="15.75" customHeight="1" x14ac:dyDescent="0.45">
      <c r="A532" s="2" t="s">
        <v>146</v>
      </c>
      <c r="C532" s="2">
        <v>0</v>
      </c>
      <c r="D532" s="2"/>
      <c r="E532" s="2" t="s">
        <v>83</v>
      </c>
      <c r="F532" s="2" t="s">
        <v>110</v>
      </c>
      <c r="H532" s="2" t="s">
        <v>87</v>
      </c>
      <c r="K532" s="26">
        <v>35.9722222222222</v>
      </c>
      <c r="L532" s="26">
        <f t="shared" si="1"/>
        <v>1.146486063953668</v>
      </c>
      <c r="M532" s="14">
        <v>3.7674286348275001</v>
      </c>
      <c r="N532" s="14">
        <v>228.666666666666</v>
      </c>
      <c r="O532" s="14">
        <v>53.2849780790878</v>
      </c>
      <c r="P532" s="14">
        <v>10.4722222222222</v>
      </c>
      <c r="Q532" s="14">
        <v>1.0873855835937001</v>
      </c>
      <c r="R532" s="14">
        <v>2.7222222222222201</v>
      </c>
      <c r="S532" s="14">
        <v>1.30241940107489</v>
      </c>
      <c r="T532" s="14">
        <v>8.7777777777777697</v>
      </c>
      <c r="U532" s="14">
        <v>1.12381624964358</v>
      </c>
      <c r="V532" s="14">
        <v>0.47222222222222199</v>
      </c>
      <c r="W532" s="14">
        <v>0.30580797654495301</v>
      </c>
      <c r="X532" s="14">
        <v>1.7222222222222201</v>
      </c>
      <c r="Y532" s="14">
        <v>0.22771001702132401</v>
      </c>
    </row>
    <row r="533" spans="1:41" ht="15.75" customHeight="1" x14ac:dyDescent="0.45">
      <c r="A533" s="2" t="s">
        <v>146</v>
      </c>
      <c r="C533" s="2">
        <v>0</v>
      </c>
      <c r="D533" s="2"/>
      <c r="E533" s="2" t="s">
        <v>83</v>
      </c>
      <c r="F533" s="2" t="s">
        <v>110</v>
      </c>
      <c r="H533" s="2" t="s">
        <v>87</v>
      </c>
      <c r="K533" s="26">
        <v>24.4166666666666</v>
      </c>
      <c r="L533" s="26">
        <f t="shared" si="1"/>
        <v>1.6890778757906748</v>
      </c>
      <c r="M533" s="14">
        <v>6.22338778765676</v>
      </c>
      <c r="N533" s="14">
        <v>127.583333333333</v>
      </c>
      <c r="O533" s="14">
        <v>29.673173443739</v>
      </c>
      <c r="P533" s="14">
        <v>13.8888888888888</v>
      </c>
      <c r="Q533" s="14">
        <v>1.89345852481251</v>
      </c>
      <c r="R533" s="14">
        <v>3.3611111111111098</v>
      </c>
      <c r="S533" s="14">
        <v>1.07194872735316</v>
      </c>
      <c r="T533" s="14">
        <v>9.1111111111111107</v>
      </c>
      <c r="U533" s="14">
        <v>0.57413380812280701</v>
      </c>
      <c r="V533" s="14">
        <v>0.72222222222222199</v>
      </c>
      <c r="W533" s="14">
        <v>0.32773069341672401</v>
      </c>
      <c r="X533" s="14">
        <v>3.6111111111111098</v>
      </c>
      <c r="Y533" s="14">
        <v>0.67219926498907301</v>
      </c>
    </row>
    <row r="534" spans="1:41" ht="15.75" customHeight="1" x14ac:dyDescent="0.45">
      <c r="A534" s="2" t="s">
        <v>146</v>
      </c>
      <c r="C534" s="2">
        <v>0</v>
      </c>
      <c r="D534" s="2"/>
      <c r="E534" s="2" t="s">
        <v>85</v>
      </c>
      <c r="F534" s="22" t="s">
        <v>84</v>
      </c>
      <c r="G534" s="2" t="s">
        <v>86</v>
      </c>
      <c r="H534" s="2" t="s">
        <v>87</v>
      </c>
      <c r="I534" s="2">
        <v>3539</v>
      </c>
      <c r="K534" s="25">
        <v>9.1666666666666607</v>
      </c>
      <c r="L534" s="14">
        <f t="shared" si="1"/>
        <v>4.4990892509696971</v>
      </c>
      <c r="M534" s="14">
        <v>1.8104634152000301</v>
      </c>
      <c r="N534" s="14">
        <v>376</v>
      </c>
      <c r="O534" s="14">
        <v>55.350566258938997</v>
      </c>
      <c r="P534" s="14">
        <v>0.5</v>
      </c>
      <c r="Q534" s="14">
        <v>8.6031894265059408E-9</v>
      </c>
      <c r="R534" s="14">
        <v>1.0416666666666601</v>
      </c>
      <c r="S534" s="14">
        <v>0.67185481235821198</v>
      </c>
      <c r="T534" s="14">
        <v>3.875</v>
      </c>
      <c r="U534" s="14">
        <v>0.76224570744512499</v>
      </c>
      <c r="V534" s="14">
        <v>0</v>
      </c>
      <c r="W534" s="14">
        <v>0</v>
      </c>
      <c r="X534" s="14">
        <v>0.54166666666666596</v>
      </c>
      <c r="Y534" s="14">
        <v>0.20971762320196499</v>
      </c>
    </row>
    <row r="535" spans="1:41" ht="15.75" customHeight="1" x14ac:dyDescent="0.45">
      <c r="A535" s="2" t="s">
        <v>146</v>
      </c>
      <c r="C535" s="2">
        <v>0</v>
      </c>
      <c r="D535" s="2"/>
      <c r="E535" s="2" t="s">
        <v>85</v>
      </c>
      <c r="F535" s="22" t="s">
        <v>84</v>
      </c>
      <c r="G535" s="2" t="s">
        <v>111</v>
      </c>
      <c r="H535" s="2" t="s">
        <v>87</v>
      </c>
      <c r="I535" s="2">
        <v>3539</v>
      </c>
      <c r="K535" s="25">
        <v>3.1666666666666599</v>
      </c>
      <c r="L535" s="14">
        <f t="shared" si="1"/>
        <v>13.023679410701774</v>
      </c>
      <c r="M535" s="14">
        <v>0.56108360768677901</v>
      </c>
      <c r="N535" s="14">
        <v>300.58333333333297</v>
      </c>
      <c r="O535" s="14">
        <v>8.6329472243128702</v>
      </c>
      <c r="P535" s="14">
        <v>0.58333333333333304</v>
      </c>
      <c r="Q535" s="14">
        <v>0.21516574145596701</v>
      </c>
      <c r="R535" s="14">
        <v>1.5833333333333299</v>
      </c>
      <c r="S535" s="14">
        <v>2.7403027678085601</v>
      </c>
      <c r="T535" s="14">
        <v>5.625</v>
      </c>
      <c r="U535" s="14">
        <v>0.95621747100325005</v>
      </c>
      <c r="V535" s="14">
        <v>8.3333333333333301E-2</v>
      </c>
      <c r="W535" s="14">
        <v>0.16666666666666599</v>
      </c>
      <c r="X535" s="14">
        <v>0.58333333333333304</v>
      </c>
      <c r="Y535" s="14">
        <v>0.16666666666666599</v>
      </c>
    </row>
    <row r="536" spans="1:41" ht="15.75" customHeight="1" x14ac:dyDescent="0.45">
      <c r="A536" s="2" t="s">
        <v>146</v>
      </c>
      <c r="C536" s="2">
        <v>0</v>
      </c>
      <c r="D536" s="2"/>
      <c r="E536" s="2" t="s">
        <v>85</v>
      </c>
      <c r="F536" s="22" t="s">
        <v>84</v>
      </c>
      <c r="G536" s="2" t="s">
        <v>86</v>
      </c>
      <c r="H536" s="2" t="s">
        <v>87</v>
      </c>
      <c r="I536" s="2">
        <v>3539</v>
      </c>
      <c r="K536" s="25">
        <v>5.7916666666666599</v>
      </c>
      <c r="L536" s="14">
        <f t="shared" si="1"/>
        <v>7.1208606849880134</v>
      </c>
      <c r="M536" s="14">
        <v>0.83194328510399496</v>
      </c>
      <c r="N536" s="14">
        <v>360.5</v>
      </c>
      <c r="O536" s="14">
        <v>44.5439857519127</v>
      </c>
      <c r="P536" s="14">
        <v>1</v>
      </c>
      <c r="Q536" s="14">
        <v>0.23570226039551601</v>
      </c>
      <c r="R536" s="14">
        <v>1.2916666666666601</v>
      </c>
      <c r="S536" s="14">
        <v>0.93665085000485304</v>
      </c>
      <c r="T536" s="14">
        <v>4.0416666666666599</v>
      </c>
      <c r="U536" s="14">
        <v>0.53359368645273797</v>
      </c>
      <c r="V536" s="14">
        <v>0</v>
      </c>
      <c r="W536" s="14">
        <v>0</v>
      </c>
      <c r="X536" s="14">
        <v>0.58333333333333304</v>
      </c>
      <c r="Y536" s="14">
        <v>0.21516574145596701</v>
      </c>
    </row>
    <row r="537" spans="1:41" ht="15.75" customHeight="1" x14ac:dyDescent="0.45">
      <c r="A537" s="2" t="s">
        <v>146</v>
      </c>
      <c r="C537" s="2">
        <v>0</v>
      </c>
      <c r="D537" s="2"/>
      <c r="E537" s="2" t="s">
        <v>85</v>
      </c>
      <c r="F537" s="22" t="s">
        <v>84</v>
      </c>
      <c r="G537" s="2" t="s">
        <v>111</v>
      </c>
      <c r="H537" s="2" t="s">
        <v>87</v>
      </c>
      <c r="I537" s="2">
        <v>3539</v>
      </c>
      <c r="K537" s="25">
        <v>4.375</v>
      </c>
      <c r="L537" s="14">
        <f t="shared" si="1"/>
        <v>9.4266631925079309</v>
      </c>
      <c r="M537" s="14"/>
      <c r="N537" s="14">
        <v>259.95833333333297</v>
      </c>
      <c r="O537" s="14">
        <v>33.277001011153203</v>
      </c>
      <c r="P537" s="14">
        <v>0.875</v>
      </c>
      <c r="Q537" s="14">
        <v>0.36955929710139002</v>
      </c>
      <c r="R537" s="14">
        <v>8.3333333333333301E-2</v>
      </c>
      <c r="S537" s="14">
        <v>9.6225044864937603E-2</v>
      </c>
      <c r="T537" s="14">
        <v>3.6666666666666599</v>
      </c>
      <c r="U537" s="14">
        <v>1.11388542532018</v>
      </c>
      <c r="V537" s="14">
        <v>4.1666666666666602E-2</v>
      </c>
      <c r="W537" s="14">
        <v>8.3333333333333301E-2</v>
      </c>
      <c r="X537" s="14">
        <v>0.375</v>
      </c>
      <c r="Y537" s="14">
        <v>0.31549490810001501</v>
      </c>
    </row>
    <row r="538" spans="1:41" s="23" customFormat="1" ht="15.75" customHeight="1" x14ac:dyDescent="0.45">
      <c r="A538" s="22" t="s">
        <v>147</v>
      </c>
      <c r="C538" s="22">
        <v>0</v>
      </c>
      <c r="D538" s="22"/>
      <c r="E538" s="22" t="s">
        <v>83</v>
      </c>
      <c r="F538" s="22" t="s">
        <v>84</v>
      </c>
      <c r="H538" s="22" t="s">
        <v>87</v>
      </c>
      <c r="K538" s="21">
        <v>33.679846028711999</v>
      </c>
      <c r="L538" s="21">
        <f t="shared" si="1"/>
        <v>1.2245201902664216</v>
      </c>
      <c r="M538" s="21">
        <v>5.98245237470951</v>
      </c>
      <c r="N538" s="21">
        <v>248.07708333333301</v>
      </c>
      <c r="O538" s="21">
        <v>51.9419554229139</v>
      </c>
      <c r="P538" s="21">
        <v>14.4698487194189</v>
      </c>
      <c r="Q538" s="21">
        <v>2.4904388876354799</v>
      </c>
      <c r="R538" s="21">
        <v>1.86120252591397</v>
      </c>
      <c r="S538" s="21">
        <v>0.99558048142081002</v>
      </c>
      <c r="T538" s="21">
        <v>5.2175846346817796</v>
      </c>
      <c r="U538" s="21">
        <v>1.6153371757110599</v>
      </c>
      <c r="V538" s="21">
        <v>0.734286888742951</v>
      </c>
      <c r="W538" s="21">
        <v>0.49112856824961998</v>
      </c>
      <c r="X538" s="21">
        <v>3.4950634703389101</v>
      </c>
      <c r="Y538" s="21">
        <v>0.94714496431112505</v>
      </c>
      <c r="Z538" s="21">
        <v>99.999999999999901</v>
      </c>
      <c r="AA538" s="21">
        <v>19.303975344247501</v>
      </c>
      <c r="AB538" s="21">
        <v>99.999999999999901</v>
      </c>
      <c r="AC538" s="21">
        <v>17.322435390911799</v>
      </c>
      <c r="AD538" s="21">
        <v>99.999999999999901</v>
      </c>
      <c r="AE538" s="21">
        <v>25.6318929083019</v>
      </c>
      <c r="AF538" s="21">
        <v>100</v>
      </c>
      <c r="AG538" s="21">
        <v>13.891506572660401</v>
      </c>
      <c r="AH538" s="21">
        <v>99.999999999999901</v>
      </c>
      <c r="AI538" s="21">
        <v>45.058754069614203</v>
      </c>
      <c r="AJ538" s="21">
        <v>99.999999999999901</v>
      </c>
      <c r="AK538" s="21">
        <v>52.532887835358302</v>
      </c>
      <c r="AL538" s="21">
        <v>100</v>
      </c>
      <c r="AM538" s="21">
        <v>23.755086849341701</v>
      </c>
      <c r="AN538" s="20"/>
      <c r="AO538" s="20"/>
    </row>
    <row r="539" spans="1:41" s="23" customFormat="1" ht="15.75" customHeight="1" x14ac:dyDescent="0.45">
      <c r="A539" s="22" t="s">
        <v>147</v>
      </c>
      <c r="C539" s="22">
        <v>0</v>
      </c>
      <c r="D539" s="22"/>
      <c r="E539" s="22" t="s">
        <v>83</v>
      </c>
      <c r="F539" s="22" t="s">
        <v>84</v>
      </c>
      <c r="H539" s="22" t="s">
        <v>87</v>
      </c>
      <c r="K539" s="21">
        <v>39.920217469548597</v>
      </c>
      <c r="L539" s="21">
        <f t="shared" si="1"/>
        <v>1.0331018737230477</v>
      </c>
      <c r="M539" s="21">
        <v>2.9246710436634702</v>
      </c>
      <c r="N539" s="21">
        <v>278.888888888888</v>
      </c>
      <c r="O539" s="21">
        <v>31.6205213114259</v>
      </c>
      <c r="P539" s="21">
        <v>33.815935657083301</v>
      </c>
      <c r="Q539" s="21">
        <v>2.7986082562971202</v>
      </c>
      <c r="R539" s="21">
        <v>3.7353058923784701</v>
      </c>
      <c r="S539" s="21">
        <v>1.43111892916354</v>
      </c>
      <c r="T539" s="21">
        <v>4.4274111150555502</v>
      </c>
      <c r="U539" s="21">
        <v>1.3733177886640999</v>
      </c>
      <c r="V539" s="21">
        <v>0.470298717989583</v>
      </c>
      <c r="W539" s="21">
        <v>0.22563351053164499</v>
      </c>
      <c r="X539" s="21">
        <v>3.3669549383541599</v>
      </c>
      <c r="Y539" s="21">
        <v>0.68770879684577202</v>
      </c>
      <c r="Z539" s="21">
        <v>100</v>
      </c>
      <c r="AA539" s="21">
        <v>11.3380355299933</v>
      </c>
      <c r="AB539" s="21">
        <v>100</v>
      </c>
      <c r="AC539" s="21">
        <v>7.3262903587497403</v>
      </c>
      <c r="AD539" s="21">
        <v>100</v>
      </c>
      <c r="AE539" s="21">
        <v>31.018528728766402</v>
      </c>
      <c r="AF539" s="21">
        <v>100</v>
      </c>
      <c r="AG539" s="21">
        <v>8.2760042030979903</v>
      </c>
      <c r="AH539" s="21">
        <v>100</v>
      </c>
      <c r="AI539" s="21">
        <v>38.3132993761932</v>
      </c>
      <c r="AJ539" s="21">
        <v>100</v>
      </c>
      <c r="AK539" s="21">
        <v>47.976637379786098</v>
      </c>
      <c r="AL539" s="21">
        <v>100</v>
      </c>
      <c r="AM539" s="21">
        <v>20.425245048926499</v>
      </c>
      <c r="AN539" s="20"/>
      <c r="AO539" s="20"/>
    </row>
    <row r="540" spans="1:41" s="23" customFormat="1" ht="15.75" customHeight="1" x14ac:dyDescent="0.45">
      <c r="A540" s="22" t="s">
        <v>147</v>
      </c>
      <c r="C540" s="22">
        <v>0</v>
      </c>
      <c r="D540" s="22"/>
      <c r="E540" s="22" t="s">
        <v>83</v>
      </c>
      <c r="F540" s="22" t="s">
        <v>84</v>
      </c>
      <c r="H540" s="22" t="s">
        <v>87</v>
      </c>
      <c r="K540" s="21">
        <v>45.938124330048602</v>
      </c>
      <c r="L540" s="21">
        <f t="shared" si="1"/>
        <v>0.89776524550536796</v>
      </c>
      <c r="M540" s="21">
        <v>2.6331060921778402</v>
      </c>
      <c r="N540" s="21">
        <v>358.36111111111097</v>
      </c>
      <c r="O540" s="21">
        <v>30.028354823361401</v>
      </c>
      <c r="P540" s="21">
        <v>19.267742188034699</v>
      </c>
      <c r="Q540" s="21">
        <v>1.93229963196376</v>
      </c>
      <c r="R540" s="21">
        <v>5.6085338887368001</v>
      </c>
      <c r="S540" s="21">
        <v>2.56662970343671</v>
      </c>
      <c r="T540" s="21">
        <v>4.41209058599902</v>
      </c>
      <c r="U540" s="21">
        <v>1.58470867028802</v>
      </c>
      <c r="V540" s="21">
        <v>0.40357034247395801</v>
      </c>
      <c r="W540" s="21">
        <v>0.16681986513069499</v>
      </c>
      <c r="X540" s="21">
        <v>3.3633031287897199</v>
      </c>
      <c r="Y540" s="21">
        <v>0.45680581233863099</v>
      </c>
      <c r="Z540" s="21">
        <v>100</v>
      </c>
      <c r="AA540" s="21">
        <v>8.3793564347028102</v>
      </c>
      <c r="AB540" s="21">
        <v>100</v>
      </c>
      <c r="AC540" s="21">
        <v>5.7318537284194404</v>
      </c>
      <c r="AD540" s="21">
        <v>100</v>
      </c>
      <c r="AE540" s="21">
        <v>35.917410112040898</v>
      </c>
      <c r="AF540" s="21">
        <v>100</v>
      </c>
      <c r="AG540" s="21">
        <v>10.028677014184501</v>
      </c>
      <c r="AH540" s="21">
        <v>100</v>
      </c>
      <c r="AI540" s="21">
        <v>45.762934741128802</v>
      </c>
      <c r="AJ540" s="21">
        <v>100</v>
      </c>
      <c r="AK540" s="21">
        <v>41.336007028677997</v>
      </c>
      <c r="AL540" s="21">
        <v>100</v>
      </c>
      <c r="AM540" s="21">
        <v>13.582058911918899</v>
      </c>
      <c r="AN540" s="20"/>
      <c r="AO540" s="20"/>
    </row>
    <row r="541" spans="1:41" ht="15.75" customHeight="1" x14ac:dyDescent="0.45">
      <c r="A541" s="2" t="s">
        <v>147</v>
      </c>
      <c r="C541" s="2">
        <v>0</v>
      </c>
      <c r="D541" s="2"/>
      <c r="E541" s="2" t="s">
        <v>85</v>
      </c>
      <c r="F541" s="22" t="s">
        <v>84</v>
      </c>
      <c r="G541" s="2" t="s">
        <v>86</v>
      </c>
      <c r="H541" s="2" t="s">
        <v>87</v>
      </c>
      <c r="I541" s="2">
        <v>3539</v>
      </c>
      <c r="K541" s="25">
        <v>4.3331192004157204</v>
      </c>
      <c r="L541" s="14">
        <f t="shared" si="1"/>
        <v>9.517774508318503</v>
      </c>
      <c r="M541" s="14">
        <v>0.903049215045718</v>
      </c>
      <c r="N541" s="14">
        <v>156.74236111111099</v>
      </c>
      <c r="O541" s="14">
        <v>15.388041071498099</v>
      </c>
      <c r="P541" s="14">
        <v>0.23250465188401001</v>
      </c>
      <c r="Q541" s="14">
        <v>0.20894484190269799</v>
      </c>
      <c r="R541" s="14">
        <v>0.29194797495582198</v>
      </c>
      <c r="S541" s="14">
        <v>0.289625374929459</v>
      </c>
      <c r="T541" s="14">
        <v>10.165774234942401</v>
      </c>
      <c r="U541" s="14">
        <v>6.4040382155440501</v>
      </c>
      <c r="V541" s="14">
        <v>6.7622077829166596E-3</v>
      </c>
      <c r="W541" s="14">
        <v>2.9645069646120799E-2</v>
      </c>
      <c r="X541" s="14">
        <v>0.40142143696746801</v>
      </c>
      <c r="Y541" s="14">
        <v>0.21204674170217599</v>
      </c>
      <c r="Z541" s="15">
        <v>100</v>
      </c>
      <c r="AA541" s="14">
        <v>9.3932286362698907</v>
      </c>
      <c r="AB541" s="15">
        <v>100</v>
      </c>
      <c r="AC541" s="14">
        <v>19.7513235703506</v>
      </c>
      <c r="AD541" s="14">
        <v>99.999999999999901</v>
      </c>
      <c r="AE541" s="14">
        <v>36.905632548344499</v>
      </c>
      <c r="AF541" s="14">
        <v>99.999999999999901</v>
      </c>
      <c r="AG541" s="14">
        <v>83.305663307603595</v>
      </c>
      <c r="AH541" s="14">
        <v>99.999999999999901</v>
      </c>
      <c r="AI541" s="14">
        <v>89.562006951822596</v>
      </c>
      <c r="AJ541" s="14">
        <v>99.999999999999901</v>
      </c>
      <c r="AK541" s="14">
        <v>270.26556987687002</v>
      </c>
      <c r="AL541" s="14">
        <v>100</v>
      </c>
      <c r="AM541" s="14">
        <v>52.098119181203302</v>
      </c>
    </row>
    <row r="542" spans="1:41" ht="15.75" customHeight="1" x14ac:dyDescent="0.45">
      <c r="A542" s="2" t="s">
        <v>148</v>
      </c>
      <c r="C542" s="2">
        <v>0</v>
      </c>
      <c r="D542" s="2"/>
      <c r="E542" s="2" t="s">
        <v>83</v>
      </c>
      <c r="F542" s="22" t="s">
        <v>84</v>
      </c>
      <c r="H542" s="2" t="s">
        <v>87</v>
      </c>
      <c r="K542" s="28">
        <v>40.758800067105497</v>
      </c>
      <c r="L542" s="21">
        <f t="shared" si="1"/>
        <v>1.0118465558191538</v>
      </c>
      <c r="M542" s="14">
        <v>10.0519986521519</v>
      </c>
      <c r="N542" s="14">
        <v>295.82916666666603</v>
      </c>
      <c r="O542" s="14">
        <v>42.979697838962103</v>
      </c>
      <c r="P542" s="14">
        <v>14.362718765959301</v>
      </c>
      <c r="Q542" s="14">
        <v>2.2957048724644298</v>
      </c>
      <c r="R542" s="14">
        <v>1.7685512776968</v>
      </c>
      <c r="S542" s="14">
        <v>0.97350100337422096</v>
      </c>
      <c r="T542" s="14">
        <v>6.8288336523604096</v>
      </c>
      <c r="U542" s="14">
        <v>1.82518039886132</v>
      </c>
      <c r="V542" s="14">
        <v>0.79147209184356904</v>
      </c>
      <c r="W542" s="14">
        <v>0.25866816914672103</v>
      </c>
      <c r="X542" s="14">
        <v>3.7200797780068</v>
      </c>
      <c r="Y542" s="14">
        <v>0.64444295395279405</v>
      </c>
      <c r="Z542" s="15">
        <v>100</v>
      </c>
      <c r="AA542" s="14">
        <v>13.0333874134779</v>
      </c>
      <c r="AB542" s="15">
        <v>99.999999999999901</v>
      </c>
      <c r="AC542" s="14">
        <v>25.2055819574305</v>
      </c>
      <c r="AD542" s="14">
        <v>100</v>
      </c>
      <c r="AE542" s="14">
        <v>23.777810932806599</v>
      </c>
      <c r="AF542" s="14">
        <v>99.999999999999901</v>
      </c>
      <c r="AG542" s="14">
        <v>15.5632828656027</v>
      </c>
      <c r="AH542" s="14">
        <v>100</v>
      </c>
      <c r="AI542" s="14">
        <v>64.810566169963195</v>
      </c>
      <c r="AJ542" s="14">
        <v>100</v>
      </c>
      <c r="AK542" s="14">
        <v>31.361393323824299</v>
      </c>
      <c r="AL542" s="14">
        <v>100</v>
      </c>
      <c r="AM542" s="14">
        <v>15.4545698797813</v>
      </c>
    </row>
    <row r="543" spans="1:41" ht="15.75" customHeight="1" x14ac:dyDescent="0.45">
      <c r="A543" s="2" t="s">
        <v>148</v>
      </c>
      <c r="C543" s="2">
        <v>0</v>
      </c>
      <c r="D543" s="2"/>
      <c r="E543" s="2" t="s">
        <v>83</v>
      </c>
      <c r="F543" s="22" t="s">
        <v>84</v>
      </c>
      <c r="H543" s="2" t="s">
        <v>87</v>
      </c>
      <c r="K543" s="28">
        <v>19.065323680203701</v>
      </c>
      <c r="L543" s="21">
        <f t="shared" si="1"/>
        <v>2.1631760445821899</v>
      </c>
      <c r="M543" s="14">
        <v>5.5999860727440796</v>
      </c>
      <c r="N543" s="14">
        <v>213.03009259259201</v>
      </c>
      <c r="O543" s="14">
        <v>27.5656658479705</v>
      </c>
      <c r="P543" s="14">
        <v>34.631429417407297</v>
      </c>
      <c r="Q543" s="14">
        <v>2.9287875139423898</v>
      </c>
      <c r="R543" s="14">
        <v>2.9809160241736099</v>
      </c>
      <c r="S543" s="14">
        <v>1.1331581836524101</v>
      </c>
      <c r="T543" s="14">
        <v>3.9028365953078699</v>
      </c>
      <c r="U543" s="14">
        <v>1.11369954611047</v>
      </c>
      <c r="V543" s="14">
        <v>0.31109643126620301</v>
      </c>
      <c r="W543" s="14">
        <v>0.219248174437497</v>
      </c>
      <c r="X543" s="14">
        <v>3.5931825836411999</v>
      </c>
      <c r="Y543" s="14">
        <v>0.61645684741498197</v>
      </c>
      <c r="Z543" s="15">
        <v>100</v>
      </c>
      <c r="AA543" s="14">
        <v>12.939799026745099</v>
      </c>
      <c r="AB543" s="15">
        <v>100</v>
      </c>
      <c r="AC543" s="14">
        <v>29.3726252261784</v>
      </c>
      <c r="AD543" s="14">
        <v>100</v>
      </c>
      <c r="AE543" s="14">
        <v>28.5356437276774</v>
      </c>
      <c r="AF543" s="14">
        <v>100</v>
      </c>
      <c r="AG543" s="14">
        <v>8.4570217378039896</v>
      </c>
      <c r="AH543" s="14">
        <v>100</v>
      </c>
      <c r="AI543" s="14">
        <v>38.013757330401603</v>
      </c>
      <c r="AJ543" s="14">
        <v>100</v>
      </c>
      <c r="AK543" s="14">
        <v>70.475952920812503</v>
      </c>
      <c r="AL543" s="14">
        <v>100</v>
      </c>
      <c r="AM543" s="14">
        <v>17.156290643886098</v>
      </c>
    </row>
    <row r="544" spans="1:41" ht="15.75" customHeight="1" x14ac:dyDescent="0.45">
      <c r="A544" s="2" t="s">
        <v>148</v>
      </c>
      <c r="C544" s="2">
        <v>0</v>
      </c>
      <c r="D544" s="2"/>
      <c r="E544" s="2" t="s">
        <v>85</v>
      </c>
      <c r="F544" s="22" t="s">
        <v>84</v>
      </c>
      <c r="G544" s="2" t="s">
        <v>86</v>
      </c>
      <c r="H544" s="2" t="s">
        <v>87</v>
      </c>
      <c r="I544" s="2">
        <v>3539</v>
      </c>
      <c r="K544" s="25">
        <v>3.9269697647193702</v>
      </c>
      <c r="L544" s="14">
        <f t="shared" si="1"/>
        <v>10.502156608829765</v>
      </c>
      <c r="M544" s="14">
        <v>0.72925984683674805</v>
      </c>
      <c r="N544" s="14">
        <v>164.770833333333</v>
      </c>
      <c r="O544" s="14">
        <v>14.034964318799</v>
      </c>
      <c r="P544" s="14">
        <v>0.17822458523486101</v>
      </c>
      <c r="Q544" s="14">
        <v>0.12810334467412901</v>
      </c>
      <c r="R544" s="14">
        <v>0.18042732717583301</v>
      </c>
      <c r="S544" s="14">
        <v>0.129828010618287</v>
      </c>
      <c r="T544" s="14">
        <v>8.1041863790805504</v>
      </c>
      <c r="U544" s="14">
        <v>1.92875185333956</v>
      </c>
      <c r="V544" s="14">
        <v>2.4806377909652701E-2</v>
      </c>
      <c r="W544" s="14">
        <v>6.0858776987145702E-2</v>
      </c>
      <c r="X544" s="14">
        <v>0.38664446998902702</v>
      </c>
      <c r="Y544" s="14">
        <v>0.18483200193772101</v>
      </c>
      <c r="Z544" s="15">
        <v>99.999999999999901</v>
      </c>
      <c r="AA544" s="14">
        <v>8.2145393114674103</v>
      </c>
      <c r="AB544" s="15">
        <v>99.999999999999901</v>
      </c>
      <c r="AC544" s="14">
        <v>15.620779184883901</v>
      </c>
      <c r="AD544" s="14">
        <v>99.999999999999901</v>
      </c>
      <c r="AE544" s="14">
        <v>21.875644089838602</v>
      </c>
      <c r="AF544" s="14">
        <v>99.999999999999901</v>
      </c>
      <c r="AG544" s="14">
        <v>70.867202531457593</v>
      </c>
      <c r="AH544" s="14">
        <v>99.999999999999901</v>
      </c>
      <c r="AI544" s="14">
        <v>68.5329041193595</v>
      </c>
      <c r="AJ544" s="14">
        <v>99.999999999999901</v>
      </c>
      <c r="AK544" s="14">
        <v>192.36047740696</v>
      </c>
      <c r="AL544" s="14">
        <v>100</v>
      </c>
      <c r="AM544" s="14">
        <v>47.972850326148198</v>
      </c>
    </row>
    <row r="545" spans="1:41" ht="15.75" hidden="1" customHeight="1" x14ac:dyDescent="0.45">
      <c r="A545" s="2" t="s">
        <v>149</v>
      </c>
      <c r="B545" s="2" t="s">
        <v>150</v>
      </c>
      <c r="C545" s="2">
        <v>3.0000000000000001E-3</v>
      </c>
      <c r="D545" s="2"/>
      <c r="E545" s="2" t="s">
        <v>109</v>
      </c>
      <c r="F545" s="2" t="s">
        <v>84</v>
      </c>
      <c r="H545" s="2">
        <v>1.5</v>
      </c>
      <c r="J545" s="2">
        <v>1.5</v>
      </c>
      <c r="K545" s="2">
        <v>34.1666666666666</v>
      </c>
      <c r="L545" s="2"/>
      <c r="M545" s="2">
        <v>2.56580071972347</v>
      </c>
      <c r="N545" s="2">
        <v>170.555555555555</v>
      </c>
      <c r="O545" s="2">
        <v>20.1634524527624</v>
      </c>
      <c r="P545" s="2">
        <v>17.5555555555555</v>
      </c>
      <c r="Q545" s="2">
        <v>2.2628235393795699</v>
      </c>
      <c r="R545" s="2">
        <v>2.1666666666666599</v>
      </c>
      <c r="S545" s="2">
        <v>0.28867513459481198</v>
      </c>
      <c r="T545" s="2">
        <v>4.05555555555555</v>
      </c>
      <c r="U545" s="2">
        <v>9.6225044864920506E-2</v>
      </c>
      <c r="V545" s="2">
        <v>0.44444444444444398</v>
      </c>
      <c r="W545" s="2">
        <v>0.25458753860865702</v>
      </c>
      <c r="X545" s="2">
        <v>2.88888888888888</v>
      </c>
      <c r="Y545" s="2">
        <v>9.6225044864938894E-2</v>
      </c>
      <c r="Z545" s="7">
        <v>118.796556060752</v>
      </c>
      <c r="AA545" s="2">
        <v>14.0443898287597</v>
      </c>
      <c r="AB545" s="7">
        <v>96.09375</v>
      </c>
      <c r="AC545" s="2">
        <v>7.2163145242222599</v>
      </c>
      <c r="AD545" s="2">
        <v>82.954545454545396</v>
      </c>
      <c r="AE545" s="2">
        <v>1.96823955405519</v>
      </c>
      <c r="AF545" s="2">
        <v>104.635761589403</v>
      </c>
      <c r="AG545" s="2">
        <v>13.4870277181564</v>
      </c>
      <c r="AH545" s="2">
        <v>92.857142857142804</v>
      </c>
      <c r="AI545" s="2">
        <v>12.3717914826348</v>
      </c>
      <c r="AJ545" s="2">
        <v>72.727272727272705</v>
      </c>
      <c r="AK545" s="2">
        <v>41.659779045053</v>
      </c>
      <c r="AL545" s="2">
        <v>128.39506172839501</v>
      </c>
      <c r="AM545" s="2">
        <v>4.2766686606639501</v>
      </c>
      <c r="AN545"/>
      <c r="AO545"/>
    </row>
    <row r="546" spans="1:41" ht="15.75" hidden="1" customHeight="1" x14ac:dyDescent="0.45">
      <c r="A546" s="2" t="s">
        <v>149</v>
      </c>
      <c r="B546" s="2" t="s">
        <v>150</v>
      </c>
      <c r="C546" s="2">
        <v>0.01</v>
      </c>
      <c r="D546" s="2"/>
      <c r="E546" s="2" t="s">
        <v>109</v>
      </c>
      <c r="F546" s="2" t="s">
        <v>84</v>
      </c>
      <c r="H546" s="2">
        <v>1.5</v>
      </c>
      <c r="J546" s="2">
        <v>1.5</v>
      </c>
      <c r="K546" s="2">
        <v>35</v>
      </c>
      <c r="L546" s="2"/>
      <c r="M546" s="2">
        <v>1.25830573921185</v>
      </c>
      <c r="N546" s="2">
        <v>151.111111111111</v>
      </c>
      <c r="O546" s="2">
        <v>6.5919423316419703</v>
      </c>
      <c r="P546" s="2">
        <v>18.3333333333333</v>
      </c>
      <c r="Q546" s="2">
        <v>3.4999999999999898</v>
      </c>
      <c r="R546" s="2">
        <v>1.6111111111111101</v>
      </c>
      <c r="S546" s="2">
        <v>0.41943524640392899</v>
      </c>
      <c r="T546" s="2">
        <v>4.8888888888888804</v>
      </c>
      <c r="U546" s="2">
        <v>1.1824331474329299</v>
      </c>
      <c r="V546" s="2">
        <v>0.66666666666666596</v>
      </c>
      <c r="W546" s="2">
        <v>0.28867513459481198</v>
      </c>
      <c r="X546" s="2">
        <v>2.2777777777777701</v>
      </c>
      <c r="Y546" s="2">
        <v>0.38490017945975102</v>
      </c>
      <c r="Z546" s="7">
        <v>105.252974750894</v>
      </c>
      <c r="AA546" s="2">
        <v>4.5914660721507401</v>
      </c>
      <c r="AB546" s="7">
        <v>98.4375</v>
      </c>
      <c r="AC546" s="2">
        <v>3.53898489153333</v>
      </c>
      <c r="AD546" s="2">
        <v>100</v>
      </c>
      <c r="AE546" s="2">
        <v>24.186132561128201</v>
      </c>
      <c r="AF546" s="2">
        <v>109.271523178807</v>
      </c>
      <c r="AG546" s="2">
        <v>20.860927152317799</v>
      </c>
      <c r="AH546" s="2">
        <v>69.047619047618994</v>
      </c>
      <c r="AI546" s="2">
        <v>17.975796274454101</v>
      </c>
      <c r="AJ546" s="2">
        <v>109.09090909090899</v>
      </c>
      <c r="AK546" s="2">
        <v>47.237749297333004</v>
      </c>
      <c r="AL546" s="2">
        <v>101.234567901234</v>
      </c>
      <c r="AM546" s="2">
        <v>17.106674642655602</v>
      </c>
      <c r="AN546"/>
      <c r="AO546"/>
    </row>
    <row r="547" spans="1:41" ht="15.75" hidden="1" customHeight="1" x14ac:dyDescent="0.45">
      <c r="A547" s="2" t="s">
        <v>149</v>
      </c>
      <c r="B547" s="2" t="s">
        <v>150</v>
      </c>
      <c r="C547" s="2">
        <v>0.03</v>
      </c>
      <c r="D547" s="2"/>
      <c r="E547" s="2" t="s">
        <v>109</v>
      </c>
      <c r="F547" s="2" t="s">
        <v>84</v>
      </c>
      <c r="H547" s="2">
        <v>1.5</v>
      </c>
      <c r="J547" s="2">
        <v>1.5</v>
      </c>
      <c r="K547" s="2">
        <v>35.7777777777777</v>
      </c>
      <c r="L547" s="2"/>
      <c r="M547" s="2">
        <v>1.84340666922631</v>
      </c>
      <c r="N547" s="2">
        <v>176.111111111111</v>
      </c>
      <c r="O547" s="2">
        <v>12.4948137389227</v>
      </c>
      <c r="P547" s="2">
        <v>16.4444444444444</v>
      </c>
      <c r="Q547" s="2">
        <v>3.7650930833016498</v>
      </c>
      <c r="R547" s="2">
        <v>2.3333333333333299</v>
      </c>
      <c r="S547" s="2">
        <v>0.33333333333333198</v>
      </c>
      <c r="T547" s="2">
        <v>3.9444444444444402</v>
      </c>
      <c r="U547" s="2">
        <v>1.20569635634503</v>
      </c>
      <c r="V547" s="2">
        <v>0.5</v>
      </c>
      <c r="W547" s="2">
        <v>1.05367121277235E-8</v>
      </c>
      <c r="X547" s="2">
        <v>2.38888888888888</v>
      </c>
      <c r="Y547" s="2">
        <v>0.34694433324435697</v>
      </c>
      <c r="Z547" s="7">
        <v>122.666150720711</v>
      </c>
      <c r="AA547" s="2">
        <v>8.7029756138380208</v>
      </c>
      <c r="AB547" s="7">
        <v>100.625</v>
      </c>
      <c r="AC547" s="2">
        <v>5.1845812571989898</v>
      </c>
      <c r="AD547" s="2">
        <v>80.681818181818201</v>
      </c>
      <c r="AE547" s="2">
        <v>24.661970925239299</v>
      </c>
      <c r="AF547" s="2">
        <v>98.013245033112497</v>
      </c>
      <c r="AG547" s="2">
        <v>22.440952152129</v>
      </c>
      <c r="AH547" s="2">
        <v>100</v>
      </c>
      <c r="AI547" s="2">
        <v>14.285714285714199</v>
      </c>
      <c r="AJ547" s="2">
        <v>81.818181818181799</v>
      </c>
      <c r="AK547" s="2">
        <v>1.72418925726384E-6</v>
      </c>
      <c r="AL547" s="2">
        <v>106.172839506172</v>
      </c>
      <c r="AM547" s="2">
        <v>15.4197481441936</v>
      </c>
      <c r="AN547"/>
      <c r="AO547"/>
    </row>
    <row r="548" spans="1:41" ht="15.75" hidden="1" customHeight="1" x14ac:dyDescent="0.45">
      <c r="A548" s="2" t="s">
        <v>149</v>
      </c>
      <c r="B548" s="2" t="s">
        <v>150</v>
      </c>
      <c r="C548" s="2">
        <v>0.1</v>
      </c>
      <c r="D548" s="2"/>
      <c r="E548" s="2" t="s">
        <v>109</v>
      </c>
      <c r="F548" s="2" t="s">
        <v>84</v>
      </c>
      <c r="H548" s="2">
        <v>1.5</v>
      </c>
      <c r="J548" s="2">
        <v>1.5</v>
      </c>
      <c r="K548" s="2">
        <v>34.6111111111111</v>
      </c>
      <c r="L548" s="2"/>
      <c r="M548" s="2">
        <v>2.3648662948658599</v>
      </c>
      <c r="N548" s="2">
        <v>169</v>
      </c>
      <c r="O548" s="2">
        <v>4.0034707164876</v>
      </c>
      <c r="P548" s="2">
        <v>18.1666666666666</v>
      </c>
      <c r="Q548" s="2">
        <v>3.6170890690351301</v>
      </c>
      <c r="R548" s="2">
        <v>2.1111111111111098</v>
      </c>
      <c r="S548" s="2">
        <v>0.53575837561071904</v>
      </c>
      <c r="T548" s="2">
        <v>3.7222222222222201</v>
      </c>
      <c r="U548" s="2">
        <v>1.0183501544346301</v>
      </c>
      <c r="V548" s="2">
        <v>0.44444444444444398</v>
      </c>
      <c r="W548" s="2">
        <v>0.34694433324435497</v>
      </c>
      <c r="X548" s="2">
        <v>2.38888888888888</v>
      </c>
      <c r="Y548" s="2">
        <v>0.67357531405456195</v>
      </c>
      <c r="Z548" s="7">
        <v>117.713069555964</v>
      </c>
      <c r="AA548" s="2">
        <v>2.7885256030483401</v>
      </c>
      <c r="AB548" s="7">
        <v>97.34375</v>
      </c>
      <c r="AC548" s="2">
        <v>6.6511864543102499</v>
      </c>
      <c r="AD548" s="2">
        <v>76.136363636363598</v>
      </c>
      <c r="AE548" s="2">
        <v>20.8298895225265</v>
      </c>
      <c r="AF548" s="2">
        <v>108.278145695364</v>
      </c>
      <c r="AG548" s="2">
        <v>21.558809020739101</v>
      </c>
      <c r="AH548" s="2">
        <v>90.476190476190396</v>
      </c>
      <c r="AI548" s="2">
        <v>22.961073240459399</v>
      </c>
      <c r="AJ548" s="2">
        <v>72.727272727272705</v>
      </c>
      <c r="AK548" s="2">
        <v>56.772709076349003</v>
      </c>
      <c r="AL548" s="2">
        <v>106.172839506172</v>
      </c>
      <c r="AM548" s="2">
        <v>29.936680624647199</v>
      </c>
      <c r="AN548"/>
      <c r="AO548"/>
    </row>
    <row r="549" spans="1:41" ht="15.75" hidden="1" customHeight="1" x14ac:dyDescent="0.45">
      <c r="A549" s="2" t="s">
        <v>149</v>
      </c>
      <c r="B549" s="2" t="s">
        <v>150</v>
      </c>
      <c r="C549" s="2">
        <v>0.3</v>
      </c>
      <c r="D549" s="2"/>
      <c r="E549" s="2" t="s">
        <v>109</v>
      </c>
      <c r="F549" s="2" t="s">
        <v>84</v>
      </c>
      <c r="H549" s="2">
        <v>1.5</v>
      </c>
      <c r="J549" s="2">
        <v>1.5</v>
      </c>
      <c r="K549" s="2">
        <v>35.6666666666666</v>
      </c>
      <c r="L549" s="2"/>
      <c r="M549" s="2">
        <v>1.76383420737632</v>
      </c>
      <c r="N549" s="2">
        <v>151.222222222222</v>
      </c>
      <c r="O549" s="2">
        <v>2.1751968833836002</v>
      </c>
      <c r="P549" s="2">
        <v>20.1666666666666</v>
      </c>
      <c r="Q549" s="2">
        <v>3.5118845842842501</v>
      </c>
      <c r="R549" s="2">
        <v>2.05555555555555</v>
      </c>
      <c r="S549" s="2">
        <v>0.75154162547048298</v>
      </c>
      <c r="T549" s="2">
        <v>4.55555555555555</v>
      </c>
      <c r="U549" s="2">
        <v>1.2509255832441899</v>
      </c>
      <c r="V549" s="2">
        <v>0.66666666666666596</v>
      </c>
      <c r="W549" s="2">
        <v>0.600925212577331</v>
      </c>
      <c r="X549" s="2">
        <v>2.2222222222222201</v>
      </c>
      <c r="Y549" s="2">
        <v>0.58531409738070805</v>
      </c>
      <c r="Z549" s="7">
        <v>105.330366644094</v>
      </c>
      <c r="AA549" s="2">
        <v>1.51508344397426</v>
      </c>
      <c r="AB549" s="7">
        <v>100.3125</v>
      </c>
      <c r="AC549" s="2">
        <v>4.9607837082459003</v>
      </c>
      <c r="AD549" s="2">
        <v>93.181818181818102</v>
      </c>
      <c r="AE549" s="2">
        <v>25.587114202722098</v>
      </c>
      <c r="AF549" s="2">
        <v>120.198675496688</v>
      </c>
      <c r="AG549" s="2">
        <v>20.931762422886202</v>
      </c>
      <c r="AH549" s="2">
        <v>88.095238095238003</v>
      </c>
      <c r="AI549" s="2">
        <v>32.208926805877802</v>
      </c>
      <c r="AJ549" s="2">
        <v>109.09090909090899</v>
      </c>
      <c r="AK549" s="2">
        <v>98.333216603563301</v>
      </c>
      <c r="AL549" s="2">
        <v>98.765432098765402</v>
      </c>
      <c r="AM549" s="2">
        <v>26.013959883586999</v>
      </c>
      <c r="AN549"/>
      <c r="AO549"/>
    </row>
    <row r="550" spans="1:41" ht="15.75" hidden="1" customHeight="1" x14ac:dyDescent="0.45">
      <c r="A550" s="2" t="s">
        <v>149</v>
      </c>
      <c r="B550" s="2" t="s">
        <v>150</v>
      </c>
      <c r="C550" s="2">
        <v>1</v>
      </c>
      <c r="D550" s="2"/>
      <c r="E550" s="2" t="s">
        <v>109</v>
      </c>
      <c r="F550" s="2" t="s">
        <v>84</v>
      </c>
      <c r="H550" s="2">
        <v>1.5</v>
      </c>
      <c r="J550" s="2">
        <v>1.5</v>
      </c>
      <c r="K550" s="2">
        <v>30.4444444444444</v>
      </c>
      <c r="L550" s="2"/>
      <c r="M550" s="2">
        <v>1.7105338131488701</v>
      </c>
      <c r="N550" s="2">
        <v>117.333333333333</v>
      </c>
      <c r="O550" s="2">
        <v>8.5651101050198495</v>
      </c>
      <c r="P550" s="2">
        <v>21.8333333333333</v>
      </c>
      <c r="Q550" s="2">
        <v>6.00694043031337</v>
      </c>
      <c r="R550" s="2">
        <v>1.6666666666666601</v>
      </c>
      <c r="S550" s="2">
        <v>0.28867513459481198</v>
      </c>
      <c r="T550" s="2">
        <v>3.1666666666666599</v>
      </c>
      <c r="U550" s="2">
        <v>1.20185042515466</v>
      </c>
      <c r="V550" s="2">
        <v>0.55555555555555503</v>
      </c>
      <c r="W550" s="2">
        <v>0.25458753860865702</v>
      </c>
      <c r="X550" s="2">
        <v>2.6111111111111098</v>
      </c>
      <c r="Y550" s="2">
        <v>9.6225044864929707E-2</v>
      </c>
      <c r="Z550" s="7">
        <v>81.725839218341804</v>
      </c>
      <c r="AA550" s="2">
        <v>5.9658307783827897</v>
      </c>
      <c r="AB550" s="7">
        <v>85.625</v>
      </c>
      <c r="AC550" s="2">
        <v>4.8108763494812097</v>
      </c>
      <c r="AD550" s="2">
        <v>64.772727272727195</v>
      </c>
      <c r="AE550" s="2">
        <v>24.5833041508908</v>
      </c>
      <c r="AF550" s="2">
        <v>130.132450331125</v>
      </c>
      <c r="AG550" s="2">
        <v>35.8029562071657</v>
      </c>
      <c r="AH550" s="2">
        <v>71.428571428571402</v>
      </c>
      <c r="AI550" s="2">
        <v>12.3717914826348</v>
      </c>
      <c r="AJ550" s="2">
        <v>90.909090909090907</v>
      </c>
      <c r="AK550" s="2">
        <v>41.659779045053</v>
      </c>
      <c r="AL550" s="2">
        <v>116.049382716049</v>
      </c>
      <c r="AM550" s="2">
        <v>4.2766686606635398</v>
      </c>
      <c r="AN550"/>
      <c r="AO550"/>
    </row>
    <row r="551" spans="1:41" ht="15.75" hidden="1" customHeight="1" x14ac:dyDescent="0.45">
      <c r="A551" s="2" t="s">
        <v>149</v>
      </c>
      <c r="B551" s="2" t="s">
        <v>150</v>
      </c>
      <c r="C551" s="2">
        <v>3</v>
      </c>
      <c r="D551" s="2"/>
      <c r="E551" s="2" t="s">
        <v>109</v>
      </c>
      <c r="F551" s="2" t="s">
        <v>84</v>
      </c>
      <c r="H551" s="2">
        <v>1.5</v>
      </c>
      <c r="J551" s="2">
        <v>1.5</v>
      </c>
      <c r="K551" s="2">
        <v>2.3333333333333299</v>
      </c>
      <c r="L551" s="2"/>
      <c r="M551" s="2">
        <v>2.9627314724385299</v>
      </c>
      <c r="N551" s="2">
        <v>39.0555555555555</v>
      </c>
      <c r="O551" s="2">
        <v>6.1516333272223003</v>
      </c>
      <c r="P551" s="2">
        <v>8.3888888888888893</v>
      </c>
      <c r="Q551" s="2">
        <v>6.6590233963091396</v>
      </c>
      <c r="R551" s="2">
        <v>0.16666666666666599</v>
      </c>
      <c r="S551" s="2">
        <v>0.28867513459481198</v>
      </c>
      <c r="T551" s="2">
        <v>35.2222222222222</v>
      </c>
      <c r="U551" s="2">
        <v>13.183884663285401</v>
      </c>
      <c r="V551" s="2">
        <v>0</v>
      </c>
      <c r="W551" s="2">
        <v>0</v>
      </c>
      <c r="X551" s="2">
        <v>4.4444444444444402</v>
      </c>
      <c r="Y551" s="2">
        <v>2.79549902786869</v>
      </c>
      <c r="Z551" s="7">
        <v>27.203250459514301</v>
      </c>
      <c r="AA551" s="2">
        <v>4.2847789451485498</v>
      </c>
      <c r="AB551" s="7">
        <v>6.5625</v>
      </c>
      <c r="AC551" s="2">
        <v>8.3326822662333608</v>
      </c>
      <c r="AD551" s="2">
        <v>720.45454545454504</v>
      </c>
      <c r="AE551" s="2">
        <v>269.670368112657</v>
      </c>
      <c r="AF551" s="2">
        <v>50</v>
      </c>
      <c r="AG551" s="2">
        <v>39.689543421710098</v>
      </c>
      <c r="AH551" s="2">
        <v>7.1428571428571397</v>
      </c>
      <c r="AI551" s="2">
        <v>12.3717914826348</v>
      </c>
      <c r="AJ551" s="2">
        <v>0</v>
      </c>
      <c r="AK551" s="2">
        <v>0</v>
      </c>
      <c r="AL551" s="2">
        <v>197.53086419753001</v>
      </c>
      <c r="AM551" s="2">
        <v>124.24440123860801</v>
      </c>
      <c r="AN551"/>
      <c r="AO551"/>
    </row>
    <row r="552" spans="1:41" ht="15.75" hidden="1" customHeight="1" x14ac:dyDescent="0.45">
      <c r="A552" s="2" t="s">
        <v>149</v>
      </c>
      <c r="B552" s="2" t="s">
        <v>150</v>
      </c>
      <c r="C552" s="2">
        <v>10</v>
      </c>
      <c r="D552" s="2"/>
      <c r="E552" s="2" t="s">
        <v>109</v>
      </c>
      <c r="F552" s="2" t="s">
        <v>84</v>
      </c>
      <c r="H552" s="2">
        <v>1.5</v>
      </c>
      <c r="J552" s="2">
        <v>1.5</v>
      </c>
      <c r="K552" s="2">
        <v>0.33333333333333298</v>
      </c>
      <c r="L552" s="2"/>
      <c r="M552" s="2">
        <v>0.57735026918962495</v>
      </c>
      <c r="N552" s="2">
        <v>15.2777777777777</v>
      </c>
      <c r="O552" s="2">
        <v>3.2928092250527499</v>
      </c>
      <c r="P552" s="2">
        <v>0</v>
      </c>
      <c r="Q552" s="2">
        <v>0</v>
      </c>
      <c r="R552" s="2">
        <v>0</v>
      </c>
      <c r="S552" s="2">
        <v>0</v>
      </c>
      <c r="T552" s="2">
        <v>92.4444444444444</v>
      </c>
      <c r="U552" s="2">
        <v>5.2607913782933</v>
      </c>
      <c r="V552" s="2">
        <v>0</v>
      </c>
      <c r="W552" s="2">
        <v>0</v>
      </c>
      <c r="X552" s="2">
        <v>0.72222222222222199</v>
      </c>
      <c r="Y552" s="2">
        <v>0.85526690657448001</v>
      </c>
      <c r="Z552" s="7">
        <v>10.6413853148882</v>
      </c>
      <c r="AA552" s="2">
        <v>2.29353065883523</v>
      </c>
      <c r="AB552" s="7">
        <v>0.9375</v>
      </c>
      <c r="AC552" s="2">
        <v>1.6237976320958201</v>
      </c>
      <c r="AD552" s="2">
        <v>1890.9090909090901</v>
      </c>
      <c r="AE552" s="2">
        <v>107.607096374181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32.098765432098702</v>
      </c>
      <c r="AM552" s="2">
        <v>38.011862514421303</v>
      </c>
      <c r="AN552"/>
      <c r="AO552"/>
    </row>
    <row r="553" spans="1:41" ht="15.75" hidden="1" customHeight="1" x14ac:dyDescent="0.45">
      <c r="A553" s="2" t="s">
        <v>149</v>
      </c>
      <c r="B553" s="2" t="s">
        <v>150</v>
      </c>
      <c r="C553" s="2">
        <v>3.0000000000000001E-3</v>
      </c>
      <c r="D553" s="2"/>
      <c r="E553" s="2" t="s">
        <v>109</v>
      </c>
      <c r="F553" s="2" t="s">
        <v>84</v>
      </c>
      <c r="H553" s="2">
        <v>4</v>
      </c>
      <c r="J553" s="2">
        <v>4</v>
      </c>
      <c r="K553" s="2">
        <v>32</v>
      </c>
      <c r="L553" s="2"/>
      <c r="M553" s="2">
        <v>0.16666666666681801</v>
      </c>
      <c r="N553" s="2">
        <v>253.944444444444</v>
      </c>
      <c r="O553" s="2">
        <v>19.4038465067948</v>
      </c>
      <c r="P553" s="2">
        <v>14.4444444444444</v>
      </c>
      <c r="Q553" s="2">
        <v>0.34694433324437002</v>
      </c>
      <c r="R553" s="2">
        <v>1.7777777777777699</v>
      </c>
      <c r="S553" s="2">
        <v>0.75154162547048198</v>
      </c>
      <c r="T553" s="2">
        <v>9.5</v>
      </c>
      <c r="U553" s="2">
        <v>0.60092521257731002</v>
      </c>
      <c r="V553" s="2">
        <v>0.5</v>
      </c>
      <c r="W553" s="2">
        <v>0.28867513459481198</v>
      </c>
      <c r="X553" s="2">
        <v>3.7777777777777701</v>
      </c>
      <c r="Y553" s="2">
        <v>0.25458753860866101</v>
      </c>
      <c r="Z553" s="7">
        <v>107.155834261267</v>
      </c>
      <c r="AA553" s="2">
        <v>8.1877568334362696</v>
      </c>
      <c r="AB553" s="7">
        <v>91.356066613798504</v>
      </c>
      <c r="AC553" s="2">
        <v>0.47581284694730003</v>
      </c>
      <c r="AD553" s="2">
        <v>119.16376306620199</v>
      </c>
      <c r="AE553" s="2">
        <v>7.5377378581126004</v>
      </c>
      <c r="AF553" s="2">
        <v>103.99999999999901</v>
      </c>
      <c r="AG553" s="2">
        <v>2.4979991993594601</v>
      </c>
      <c r="AH553" s="2">
        <v>97.709923664122101</v>
      </c>
      <c r="AI553" s="2">
        <v>41.306104606011203</v>
      </c>
      <c r="AJ553" s="2">
        <v>76.595744680850999</v>
      </c>
      <c r="AK553" s="2">
        <v>44.222573810269097</v>
      </c>
      <c r="AL553" s="2">
        <v>98.909090909090907</v>
      </c>
      <c r="AM553" s="2">
        <v>6.6655646472085897</v>
      </c>
      <c r="AN553"/>
      <c r="AO553"/>
    </row>
    <row r="554" spans="1:41" ht="15.75" hidden="1" customHeight="1" x14ac:dyDescent="0.45">
      <c r="A554" s="2" t="s">
        <v>149</v>
      </c>
      <c r="B554" s="2" t="s">
        <v>150</v>
      </c>
      <c r="C554" s="2">
        <v>0.01</v>
      </c>
      <c r="D554" s="2"/>
      <c r="E554" s="2" t="s">
        <v>109</v>
      </c>
      <c r="F554" s="2" t="s">
        <v>84</v>
      </c>
      <c r="H554" s="2">
        <v>4</v>
      </c>
      <c r="J554" s="2">
        <v>4</v>
      </c>
      <c r="K554" s="2">
        <v>30.6666666666666</v>
      </c>
      <c r="L554" s="2"/>
      <c r="M554" s="2">
        <v>1.9220937657784301</v>
      </c>
      <c r="N554" s="2">
        <v>241</v>
      </c>
      <c r="O554" s="2">
        <v>31.358589112252702</v>
      </c>
      <c r="P554" s="2">
        <v>12.1111111111111</v>
      </c>
      <c r="Q554" s="2">
        <v>1.0183501544346301</v>
      </c>
      <c r="R554" s="2">
        <v>2.38888888888888</v>
      </c>
      <c r="S554" s="2">
        <v>0.75154162547048098</v>
      </c>
      <c r="T554" s="2">
        <v>8</v>
      </c>
      <c r="U554" s="2">
        <v>2.3333333333333299</v>
      </c>
      <c r="V554" s="2">
        <v>0.5</v>
      </c>
      <c r="W554" s="2">
        <v>0.16666666666666599</v>
      </c>
      <c r="X554" s="2">
        <v>4.3333333333333304</v>
      </c>
      <c r="Y554" s="2">
        <v>0</v>
      </c>
      <c r="Z554" s="7">
        <v>101.693723260856</v>
      </c>
      <c r="AA554" s="2">
        <v>13.2322476474371</v>
      </c>
      <c r="AB554" s="7">
        <v>87.549563838223605</v>
      </c>
      <c r="AC554" s="2">
        <v>5.4873414407631902</v>
      </c>
      <c r="AD554" s="2">
        <v>100.348432055749</v>
      </c>
      <c r="AE554" s="2">
        <v>29.268292682926699</v>
      </c>
      <c r="AF554" s="2">
        <v>87.2</v>
      </c>
      <c r="AG554" s="2">
        <v>7.3321211119293404</v>
      </c>
      <c r="AH554" s="2">
        <v>131.297709923664</v>
      </c>
      <c r="AI554" s="2">
        <v>41.306104606011097</v>
      </c>
      <c r="AJ554" s="2">
        <v>76.595744680850999</v>
      </c>
      <c r="AK554" s="2">
        <v>25.531914893617</v>
      </c>
      <c r="AL554" s="2">
        <v>113.454545454545</v>
      </c>
      <c r="AM554" s="2">
        <v>0</v>
      </c>
      <c r="AN554"/>
      <c r="AO554"/>
    </row>
    <row r="555" spans="1:41" ht="15.75" hidden="1" customHeight="1" x14ac:dyDescent="0.45">
      <c r="A555" s="2" t="s">
        <v>149</v>
      </c>
      <c r="B555" s="2" t="s">
        <v>150</v>
      </c>
      <c r="C555" s="2">
        <v>0.03</v>
      </c>
      <c r="D555" s="2"/>
      <c r="E555" s="2" t="s">
        <v>109</v>
      </c>
      <c r="F555" s="2" t="s">
        <v>84</v>
      </c>
      <c r="H555" s="2">
        <v>4</v>
      </c>
      <c r="J555" s="2">
        <v>4</v>
      </c>
      <c r="K555" s="2">
        <v>30.7222222222222</v>
      </c>
      <c r="L555" s="2"/>
      <c r="M555" s="2">
        <v>5.5835406263343401</v>
      </c>
      <c r="N555" s="2">
        <v>245.333333333333</v>
      </c>
      <c r="O555" s="2">
        <v>39.996180373186199</v>
      </c>
      <c r="P555" s="2">
        <v>13.6666666666666</v>
      </c>
      <c r="Q555" s="2">
        <v>1.3017082793177801</v>
      </c>
      <c r="R555" s="2">
        <v>1.8333333333333299</v>
      </c>
      <c r="S555" s="2">
        <v>0.33333333333333398</v>
      </c>
      <c r="T555" s="2">
        <v>8.7777777777777697</v>
      </c>
      <c r="U555" s="2">
        <v>1.3977495139343401</v>
      </c>
      <c r="V555" s="2">
        <v>0.66666666666666596</v>
      </c>
      <c r="W555" s="2">
        <v>0.28867513459481298</v>
      </c>
      <c r="X555" s="2">
        <v>3.05555555555555</v>
      </c>
      <c r="Y555" s="2">
        <v>0.48112522432468302</v>
      </c>
      <c r="Z555" s="7">
        <v>103.522241106487</v>
      </c>
      <c r="AA555" s="2">
        <v>16.877014516025302</v>
      </c>
      <c r="AB555" s="7">
        <v>87.708168120539199</v>
      </c>
      <c r="AC555" s="2">
        <v>15.940322168757801</v>
      </c>
      <c r="AD555" s="2">
        <v>110.10452961672399</v>
      </c>
      <c r="AE555" s="2">
        <v>17.532746516249599</v>
      </c>
      <c r="AF555" s="2">
        <v>98.4</v>
      </c>
      <c r="AG555" s="2">
        <v>9.3722996110880192</v>
      </c>
      <c r="AH555" s="2">
        <v>100.763358778625</v>
      </c>
      <c r="AI555" s="2">
        <v>18.320610687022899</v>
      </c>
      <c r="AJ555" s="2">
        <v>102.127659574468</v>
      </c>
      <c r="AK555" s="2">
        <v>44.222573810269203</v>
      </c>
      <c r="AL555" s="2">
        <v>80</v>
      </c>
      <c r="AM555" s="2">
        <v>12.5967331459553</v>
      </c>
      <c r="AN555"/>
      <c r="AO555"/>
    </row>
    <row r="556" spans="1:41" ht="15.75" hidden="1" customHeight="1" x14ac:dyDescent="0.45">
      <c r="A556" s="2" t="s">
        <v>149</v>
      </c>
      <c r="B556" s="2" t="s">
        <v>150</v>
      </c>
      <c r="C556" s="2">
        <v>0.1</v>
      </c>
      <c r="D556" s="2"/>
      <c r="E556" s="2" t="s">
        <v>109</v>
      </c>
      <c r="F556" s="2" t="s">
        <v>84</v>
      </c>
      <c r="H556" s="2">
        <v>4</v>
      </c>
      <c r="J556" s="2">
        <v>4</v>
      </c>
      <c r="K556" s="2">
        <v>34</v>
      </c>
      <c r="L556" s="2"/>
      <c r="M556" s="2">
        <v>5.5702583223561799</v>
      </c>
      <c r="N556" s="2">
        <v>246.222222222222</v>
      </c>
      <c r="O556" s="2">
        <v>9.54860858585754</v>
      </c>
      <c r="P556" s="2">
        <v>12.8888888888888</v>
      </c>
      <c r="Q556" s="2">
        <v>0.34694433324437002</v>
      </c>
      <c r="R556" s="2">
        <v>2.2222222222222201</v>
      </c>
      <c r="S556" s="2">
        <v>0.48112522432468802</v>
      </c>
      <c r="T556" s="2">
        <v>9.1666666666666607</v>
      </c>
      <c r="U556" s="2">
        <v>0.44095855184406402</v>
      </c>
      <c r="V556" s="2">
        <v>0.61111111111111105</v>
      </c>
      <c r="W556" s="2">
        <v>9.6225044864937798E-2</v>
      </c>
      <c r="X556" s="2">
        <v>3.55555555555555</v>
      </c>
      <c r="Y556" s="2">
        <v>0.63098981620003003</v>
      </c>
      <c r="Z556" s="7">
        <v>103.897321690206</v>
      </c>
      <c r="AA556" s="2">
        <v>4.0291848923503597</v>
      </c>
      <c r="AB556" s="7">
        <v>97.065820777160994</v>
      </c>
      <c r="AC556" s="2">
        <v>15.902402823538599</v>
      </c>
      <c r="AD556" s="2">
        <v>114.982578397212</v>
      </c>
      <c r="AE556" s="2">
        <v>5.5311874098907001</v>
      </c>
      <c r="AF556" s="2">
        <v>92.8</v>
      </c>
      <c r="AG556" s="2">
        <v>2.4979991993594601</v>
      </c>
      <c r="AH556" s="2">
        <v>122.13740458015199</v>
      </c>
      <c r="AI556" s="2">
        <v>26.443523779677498</v>
      </c>
      <c r="AJ556" s="2">
        <v>93.617021276595693</v>
      </c>
      <c r="AK556" s="2">
        <v>14.740857936756401</v>
      </c>
      <c r="AL556" s="2">
        <v>93.090909090909093</v>
      </c>
      <c r="AM556" s="2">
        <v>16.520460642328</v>
      </c>
      <c r="AN556"/>
      <c r="AO556"/>
    </row>
    <row r="557" spans="1:41" ht="15.75" hidden="1" customHeight="1" x14ac:dyDescent="0.45">
      <c r="A557" s="2" t="s">
        <v>149</v>
      </c>
      <c r="B557" s="2" t="s">
        <v>150</v>
      </c>
      <c r="C557" s="2">
        <v>0.3</v>
      </c>
      <c r="D557" s="2"/>
      <c r="E557" s="2" t="s">
        <v>109</v>
      </c>
      <c r="F557" s="2" t="s">
        <v>84</v>
      </c>
      <c r="H557" s="2">
        <v>4</v>
      </c>
      <c r="J557" s="2">
        <v>4</v>
      </c>
      <c r="K557" s="2">
        <v>33</v>
      </c>
      <c r="L557" s="2"/>
      <c r="M557" s="2">
        <v>5.5302200076790502</v>
      </c>
      <c r="N557" s="2">
        <v>233.333333333333</v>
      </c>
      <c r="O557" s="2">
        <v>3.87656778320475</v>
      </c>
      <c r="P557" s="2">
        <v>13.9444444444444</v>
      </c>
      <c r="Q557" s="2">
        <v>0.58531409738067297</v>
      </c>
      <c r="R557" s="2">
        <v>1.8333333333333299</v>
      </c>
      <c r="S557" s="2">
        <v>0.5</v>
      </c>
      <c r="T557" s="2">
        <v>8.1111111111111107</v>
      </c>
      <c r="U557" s="2">
        <v>1.1706281947614099</v>
      </c>
      <c r="V557" s="2">
        <v>0.5</v>
      </c>
      <c r="W557" s="2">
        <v>0.44095855184409799</v>
      </c>
      <c r="X557" s="2">
        <v>3.05555555555555</v>
      </c>
      <c r="Y557" s="2">
        <v>0.19245008972987299</v>
      </c>
      <c r="Z557" s="7">
        <v>98.458653226279097</v>
      </c>
      <c r="AA557" s="2">
        <v>1.63577847032023</v>
      </c>
      <c r="AB557" s="7">
        <v>94.210943695479799</v>
      </c>
      <c r="AC557" s="2">
        <v>15.7880983565777</v>
      </c>
      <c r="AD557" s="2">
        <v>101.742160278745</v>
      </c>
      <c r="AE557" s="2">
        <v>14.683837983069999</v>
      </c>
      <c r="AF557" s="2">
        <v>100.4</v>
      </c>
      <c r="AG557" s="2">
        <v>4.2142615011408404</v>
      </c>
      <c r="AH557" s="2">
        <v>100.763358778625</v>
      </c>
      <c r="AI557" s="2">
        <v>27.480916030534399</v>
      </c>
      <c r="AJ557" s="2">
        <v>76.595744680850999</v>
      </c>
      <c r="AK557" s="2">
        <v>67.5510973037767</v>
      </c>
      <c r="AL557" s="2">
        <v>80</v>
      </c>
      <c r="AM557" s="2">
        <v>5.03869325838214</v>
      </c>
      <c r="AN557"/>
      <c r="AO557"/>
    </row>
    <row r="558" spans="1:41" ht="15.75" hidden="1" customHeight="1" x14ac:dyDescent="0.45">
      <c r="A558" s="2" t="s">
        <v>149</v>
      </c>
      <c r="B558" s="2" t="s">
        <v>150</v>
      </c>
      <c r="C558" s="2">
        <v>1</v>
      </c>
      <c r="D558" s="2"/>
      <c r="E558" s="2" t="s">
        <v>109</v>
      </c>
      <c r="F558" s="2" t="s">
        <v>84</v>
      </c>
      <c r="H558" s="2">
        <v>4</v>
      </c>
      <c r="J558" s="2">
        <v>4</v>
      </c>
      <c r="K558" s="2">
        <v>38.9444444444444</v>
      </c>
      <c r="L558" s="2"/>
      <c r="M558" s="2">
        <v>1.07151675122149</v>
      </c>
      <c r="N558" s="2">
        <v>236</v>
      </c>
      <c r="O558" s="2">
        <v>34.414547957384499</v>
      </c>
      <c r="P558" s="2">
        <v>14.9444444444444</v>
      </c>
      <c r="Q558" s="2">
        <v>1.3877773329774199</v>
      </c>
      <c r="R558" s="2">
        <v>2.05555555555555</v>
      </c>
      <c r="S558" s="2">
        <v>0.67357531405456295</v>
      </c>
      <c r="T558" s="2">
        <v>7.7222222222222197</v>
      </c>
      <c r="U558" s="2">
        <v>0.96225044864938902</v>
      </c>
      <c r="V558" s="2">
        <v>0.61111111111111105</v>
      </c>
      <c r="W558" s="2">
        <v>0.34694433324435497</v>
      </c>
      <c r="X558" s="2">
        <v>3.4444444444444402</v>
      </c>
      <c r="Y558" s="2">
        <v>0.34694433324436003</v>
      </c>
      <c r="Z558" s="7">
        <v>99.583894977436501</v>
      </c>
      <c r="AA558" s="2">
        <v>14.5217573283226</v>
      </c>
      <c r="AB558" s="7">
        <v>111.18160190325101</v>
      </c>
      <c r="AC558" s="2">
        <v>3.0590486156997398</v>
      </c>
      <c r="AD558" s="2">
        <v>96.864111498257799</v>
      </c>
      <c r="AE558" s="2">
        <v>12.0700404708634</v>
      </c>
      <c r="AF558" s="2">
        <v>107.599999999999</v>
      </c>
      <c r="AG558" s="2">
        <v>9.9919967974374302</v>
      </c>
      <c r="AH558" s="2">
        <v>112.977099236641</v>
      </c>
      <c r="AI558" s="2">
        <v>37.020933291548502</v>
      </c>
      <c r="AJ558" s="2">
        <v>93.617021276595693</v>
      </c>
      <c r="AK558" s="2">
        <v>53.148919135305498</v>
      </c>
      <c r="AL558" s="2">
        <v>90.181818181818201</v>
      </c>
      <c r="AM558" s="2">
        <v>9.0836334522159792</v>
      </c>
      <c r="AN558"/>
      <c r="AO558"/>
    </row>
    <row r="559" spans="1:41" ht="15.75" hidden="1" customHeight="1" x14ac:dyDescent="0.45">
      <c r="A559" s="2" t="s">
        <v>149</v>
      </c>
      <c r="B559" s="2" t="s">
        <v>150</v>
      </c>
      <c r="C559" s="2">
        <v>3</v>
      </c>
      <c r="D559" s="2"/>
      <c r="E559" s="2" t="s">
        <v>109</v>
      </c>
      <c r="F559" s="2" t="s">
        <v>84</v>
      </c>
      <c r="H559" s="2">
        <v>4</v>
      </c>
      <c r="J559" s="2">
        <v>4</v>
      </c>
      <c r="K559" s="2">
        <v>38.5</v>
      </c>
      <c r="L559" s="2"/>
      <c r="M559" s="2">
        <v>3.03223423311002</v>
      </c>
      <c r="N559" s="2">
        <v>224.555555555555</v>
      </c>
      <c r="O559" s="2">
        <v>43.019483096916801</v>
      </c>
      <c r="P559" s="2">
        <v>14.8888888888888</v>
      </c>
      <c r="Q559" s="2">
        <v>1.7821127702606001</v>
      </c>
      <c r="R559" s="2">
        <v>1.8333333333333299</v>
      </c>
      <c r="S559" s="2">
        <v>0.44095855184409699</v>
      </c>
      <c r="T559" s="2">
        <v>8.8333333333333304</v>
      </c>
      <c r="U559" s="2">
        <v>2.1666666666666599</v>
      </c>
      <c r="V559" s="2">
        <v>0.61111111111111105</v>
      </c>
      <c r="W559" s="2">
        <v>0.34694433324435497</v>
      </c>
      <c r="X559" s="2">
        <v>2.9444444444444402</v>
      </c>
      <c r="Y559" s="2">
        <v>0.34694433324435497</v>
      </c>
      <c r="Z559" s="7">
        <v>94.754732462052303</v>
      </c>
      <c r="AA559" s="2">
        <v>18.152744435199001</v>
      </c>
      <c r="AB559" s="7">
        <v>109.912767644726</v>
      </c>
      <c r="AC559" s="2">
        <v>8.6566560183949903</v>
      </c>
      <c r="AD559" s="2">
        <v>110.801393728222</v>
      </c>
      <c r="AE559" s="2">
        <v>27.177700348432001</v>
      </c>
      <c r="AF559" s="2">
        <v>107.2</v>
      </c>
      <c r="AG559" s="2">
        <v>12.8312119458763</v>
      </c>
      <c r="AH559" s="2">
        <v>100.763358778625</v>
      </c>
      <c r="AI559" s="2">
        <v>24.2358898723473</v>
      </c>
      <c r="AJ559" s="2">
        <v>93.617021276595693</v>
      </c>
      <c r="AK559" s="2">
        <v>53.148919135305498</v>
      </c>
      <c r="AL559" s="2">
        <v>77.090909090909093</v>
      </c>
      <c r="AM559" s="2">
        <v>9.0836334522158495</v>
      </c>
      <c r="AN559"/>
      <c r="AO559"/>
    </row>
    <row r="560" spans="1:41" ht="15.75" hidden="1" customHeight="1" x14ac:dyDescent="0.45">
      <c r="A560" s="2" t="s">
        <v>149</v>
      </c>
      <c r="B560" s="2" t="s">
        <v>150</v>
      </c>
      <c r="C560" s="2">
        <v>10</v>
      </c>
      <c r="D560" s="2"/>
      <c r="E560" s="2" t="s">
        <v>109</v>
      </c>
      <c r="F560" s="2" t="s">
        <v>84</v>
      </c>
      <c r="H560" s="2">
        <v>4</v>
      </c>
      <c r="J560" s="2">
        <v>4</v>
      </c>
      <c r="K560" s="2">
        <v>0</v>
      </c>
      <c r="L560" s="2"/>
      <c r="M560" s="2">
        <v>0</v>
      </c>
      <c r="N560" s="2">
        <v>14.5888888888888</v>
      </c>
      <c r="O560" s="2">
        <v>1.23573340046997</v>
      </c>
      <c r="P560" s="2">
        <v>0.38888888888888801</v>
      </c>
      <c r="Q560" s="2">
        <v>0.67357531405456295</v>
      </c>
      <c r="R560" s="2">
        <v>0.38888888888888801</v>
      </c>
      <c r="S560" s="2">
        <v>0.67357531405456295</v>
      </c>
      <c r="T560" s="2">
        <v>91.133333333333297</v>
      </c>
      <c r="U560" s="2">
        <v>2.00333056017578</v>
      </c>
      <c r="V560" s="2">
        <v>0</v>
      </c>
      <c r="W560" s="2">
        <v>0</v>
      </c>
      <c r="X560" s="2">
        <v>0.8</v>
      </c>
      <c r="Y560" s="2">
        <v>0.72111025509279703</v>
      </c>
      <c r="Z560" s="7">
        <v>6.1560100802906801</v>
      </c>
      <c r="AA560" s="2">
        <v>0.52143705581572897</v>
      </c>
      <c r="AB560" s="7">
        <v>0</v>
      </c>
      <c r="AC560" s="2">
        <v>0</v>
      </c>
      <c r="AD560" s="2">
        <v>1143.1358885017401</v>
      </c>
      <c r="AE560" s="2">
        <v>25.128885075375699</v>
      </c>
      <c r="AF560" s="2">
        <v>2.8</v>
      </c>
      <c r="AG560" s="2">
        <v>4.8497422611928496</v>
      </c>
      <c r="AH560" s="2">
        <v>21.374045801526702</v>
      </c>
      <c r="AI560" s="2">
        <v>37.020933291548502</v>
      </c>
      <c r="AJ560" s="2">
        <v>0</v>
      </c>
      <c r="AK560" s="2">
        <v>0</v>
      </c>
      <c r="AL560" s="2">
        <v>20.945454545454499</v>
      </c>
      <c r="AM560" s="2">
        <v>18.879977587884099</v>
      </c>
      <c r="AN560"/>
      <c r="AO560"/>
    </row>
    <row r="561" spans="1:41" ht="15.75" hidden="1" customHeight="1" x14ac:dyDescent="0.45">
      <c r="A561" s="2" t="s">
        <v>149</v>
      </c>
      <c r="B561" s="2" t="s">
        <v>150</v>
      </c>
      <c r="C561" s="2">
        <v>3.0000000000000001E-3</v>
      </c>
      <c r="D561" s="2"/>
      <c r="E561" s="2" t="s">
        <v>83</v>
      </c>
      <c r="F561" s="2" t="s">
        <v>110</v>
      </c>
      <c r="H561" s="2">
        <v>8</v>
      </c>
      <c r="J561" s="2">
        <v>8</v>
      </c>
      <c r="K561" s="2">
        <v>37</v>
      </c>
      <c r="L561" s="2"/>
      <c r="M561" s="2">
        <v>1.6666666666666801</v>
      </c>
      <c r="N561" s="2">
        <v>263.33333333333297</v>
      </c>
      <c r="O561" s="2">
        <v>23.8607068908976</v>
      </c>
      <c r="P561" s="2">
        <v>10.2777777777777</v>
      </c>
      <c r="Q561" s="2">
        <v>1.83585684909536</v>
      </c>
      <c r="R561" s="2">
        <v>3.05555555555555</v>
      </c>
      <c r="S561" s="2">
        <v>0.38490017945974597</v>
      </c>
      <c r="T561" s="2">
        <v>7.7222222222222197</v>
      </c>
      <c r="U561" s="2">
        <v>1.4174834246858901</v>
      </c>
      <c r="V561" s="2">
        <v>0.61111111111111105</v>
      </c>
      <c r="W561" s="2">
        <v>0.25458753860865702</v>
      </c>
      <c r="X561" s="2">
        <v>1.7222222222222201</v>
      </c>
      <c r="Y561" s="2">
        <v>9.6225044864938894E-2</v>
      </c>
      <c r="Z561" s="7">
        <v>115.16034985422699</v>
      </c>
      <c r="AA561" s="2">
        <v>10.434711468322501</v>
      </c>
      <c r="AB561" s="7">
        <v>102.85714285714199</v>
      </c>
      <c r="AC561" s="2">
        <v>4.6332046332046701</v>
      </c>
      <c r="AD561" s="2">
        <v>87.974683544303701</v>
      </c>
      <c r="AE561" s="2">
        <v>16.148545344522901</v>
      </c>
      <c r="AF561" s="2">
        <v>98.143236074270504</v>
      </c>
      <c r="AG561" s="2">
        <v>17.530728532475599</v>
      </c>
      <c r="AH561" s="2">
        <v>112.24489795918301</v>
      </c>
      <c r="AI561" s="2">
        <v>14.1391902658682</v>
      </c>
      <c r="AJ561" s="2">
        <v>129.41176470588201</v>
      </c>
      <c r="AK561" s="2">
        <v>53.912655234774597</v>
      </c>
      <c r="AL561" s="2">
        <v>100</v>
      </c>
      <c r="AM561" s="2">
        <v>5.5872606695771001</v>
      </c>
      <c r="AN561"/>
      <c r="AO561"/>
    </row>
    <row r="562" spans="1:41" ht="15.75" hidden="1" customHeight="1" x14ac:dyDescent="0.45">
      <c r="A562" s="2" t="s">
        <v>149</v>
      </c>
      <c r="B562" s="2" t="s">
        <v>150</v>
      </c>
      <c r="C562" s="2">
        <v>0.01</v>
      </c>
      <c r="D562" s="2"/>
      <c r="E562" s="2" t="s">
        <v>83</v>
      </c>
      <c r="F562" s="2" t="s">
        <v>110</v>
      </c>
      <c r="H562" s="2">
        <v>8</v>
      </c>
      <c r="J562" s="2">
        <v>8</v>
      </c>
      <c r="K562" s="2">
        <v>36.3888888888888</v>
      </c>
      <c r="L562" s="2"/>
      <c r="M562" s="2">
        <v>3.5603266600026799</v>
      </c>
      <c r="N562" s="2">
        <v>257.83333333333297</v>
      </c>
      <c r="O562" s="2">
        <v>26.198494443595798</v>
      </c>
      <c r="P562" s="2">
        <v>10.3333333333333</v>
      </c>
      <c r="Q562" s="2">
        <v>0.28867513459478</v>
      </c>
      <c r="R562" s="2">
        <v>9.55555555555555</v>
      </c>
      <c r="S562" s="2">
        <v>6.5454253179295003</v>
      </c>
      <c r="T562" s="2">
        <v>8.1111111111111107</v>
      </c>
      <c r="U562" s="2">
        <v>1.71053381314896</v>
      </c>
      <c r="V562" s="2">
        <v>1</v>
      </c>
      <c r="W562" s="2">
        <v>0.16666666666666499</v>
      </c>
      <c r="X562" s="2">
        <v>1.7222222222222201</v>
      </c>
      <c r="Y562" s="2">
        <v>9.6225044864938894E-2</v>
      </c>
      <c r="Z562" s="7">
        <v>112.755102040816</v>
      </c>
      <c r="AA562" s="2">
        <v>11.457067540931099</v>
      </c>
      <c r="AB562" s="7">
        <v>101.158301158301</v>
      </c>
      <c r="AC562" s="2">
        <v>9.8974331861078397</v>
      </c>
      <c r="AD562" s="2">
        <v>92.4050632911392</v>
      </c>
      <c r="AE562" s="2">
        <v>19.487094073848901</v>
      </c>
      <c r="AF562" s="2">
        <v>98.673740053050295</v>
      </c>
      <c r="AG562" s="2">
        <v>2.7565795345920598</v>
      </c>
      <c r="AH562" s="2">
        <v>351.02040816326502</v>
      </c>
      <c r="AI562" s="2">
        <v>240.444195352512</v>
      </c>
      <c r="AJ562" s="2">
        <v>211.76470588235199</v>
      </c>
      <c r="AK562" s="2">
        <v>35.294117647058599</v>
      </c>
      <c r="AL562" s="2">
        <v>99.999999999999901</v>
      </c>
      <c r="AM562" s="2">
        <v>5.5872606695771001</v>
      </c>
      <c r="AN562"/>
      <c r="AO562"/>
    </row>
    <row r="563" spans="1:41" ht="15.75" hidden="1" customHeight="1" x14ac:dyDescent="0.45">
      <c r="A563" s="2" t="s">
        <v>149</v>
      </c>
      <c r="B563" s="2" t="s">
        <v>150</v>
      </c>
      <c r="C563" s="2">
        <v>0.03</v>
      </c>
      <c r="D563" s="2"/>
      <c r="E563" s="2" t="s">
        <v>83</v>
      </c>
      <c r="F563" s="2" t="s">
        <v>110</v>
      </c>
      <c r="H563" s="2">
        <v>8</v>
      </c>
      <c r="J563" s="2">
        <v>8</v>
      </c>
      <c r="K563" s="2">
        <v>38.6111111111111</v>
      </c>
      <c r="L563" s="2"/>
      <c r="M563" s="2">
        <v>1.20569635634531</v>
      </c>
      <c r="N563" s="2">
        <v>271.444444444444</v>
      </c>
      <c r="O563" s="2">
        <v>26.145603695317099</v>
      </c>
      <c r="P563" s="2">
        <v>9.6666666666666607</v>
      </c>
      <c r="Q563" s="2">
        <v>1.0929064207169701</v>
      </c>
      <c r="R563" s="2">
        <v>2.4444444444444402</v>
      </c>
      <c r="S563" s="2">
        <v>0.41943524640392799</v>
      </c>
      <c r="T563" s="2">
        <v>9.2222222222222197</v>
      </c>
      <c r="U563" s="2">
        <v>0.58531409738073403</v>
      </c>
      <c r="V563" s="2">
        <v>0.61111111111111105</v>
      </c>
      <c r="W563" s="2">
        <v>0.25458753860865702</v>
      </c>
      <c r="X563" s="2">
        <v>2.1111111111111098</v>
      </c>
      <c r="Y563" s="2">
        <v>0.41943524640392998</v>
      </c>
      <c r="Z563" s="7">
        <v>118.707482993197</v>
      </c>
      <c r="AA563" s="2">
        <v>11.4339374760862</v>
      </c>
      <c r="AB563" s="7">
        <v>107.335907335907</v>
      </c>
      <c r="AC563" s="2">
        <v>3.3517427666742399</v>
      </c>
      <c r="AD563" s="2">
        <v>105.06329113923999</v>
      </c>
      <c r="AE563" s="2">
        <v>6.66813528661595</v>
      </c>
      <c r="AF563" s="2">
        <v>92.307692307692193</v>
      </c>
      <c r="AG563" s="2">
        <v>10.436241683239</v>
      </c>
      <c r="AH563" s="2">
        <v>89.7959183673469</v>
      </c>
      <c r="AI563" s="2">
        <v>15.4078253781034</v>
      </c>
      <c r="AJ563" s="2">
        <v>129.41176470588201</v>
      </c>
      <c r="AK563" s="2">
        <v>53.912655234774597</v>
      </c>
      <c r="AL563" s="2">
        <v>122.58064516128999</v>
      </c>
      <c r="AM563" s="2">
        <v>24.354304629905599</v>
      </c>
      <c r="AN563"/>
      <c r="AO563"/>
    </row>
    <row r="564" spans="1:41" ht="15.75" hidden="1" customHeight="1" x14ac:dyDescent="0.45">
      <c r="A564" s="2" t="s">
        <v>149</v>
      </c>
      <c r="B564" s="2" t="s">
        <v>150</v>
      </c>
      <c r="C564" s="2">
        <v>0.1</v>
      </c>
      <c r="D564" s="2"/>
      <c r="E564" s="2" t="s">
        <v>83</v>
      </c>
      <c r="F564" s="2" t="s">
        <v>110</v>
      </c>
      <c r="H564" s="2">
        <v>8</v>
      </c>
      <c r="J564" s="2">
        <v>8</v>
      </c>
      <c r="K564" s="2">
        <v>36.5555555555555</v>
      </c>
      <c r="L564" s="2"/>
      <c r="M564" s="2">
        <v>3.0291790844923399</v>
      </c>
      <c r="N564" s="2">
        <v>251.166666666666</v>
      </c>
      <c r="O564" s="2">
        <v>6.49572508996898</v>
      </c>
      <c r="P564" s="2">
        <v>10.9444444444444</v>
      </c>
      <c r="Q564" s="2">
        <v>0.50917507721735</v>
      </c>
      <c r="R564" s="2">
        <v>3.55555555555555</v>
      </c>
      <c r="S564" s="2">
        <v>1.0844011831079501</v>
      </c>
      <c r="T564" s="2">
        <v>8.3888888888888893</v>
      </c>
      <c r="U564" s="2">
        <v>2.2194427061597901</v>
      </c>
      <c r="V564" s="2">
        <v>0.88888888888888895</v>
      </c>
      <c r="W564" s="2">
        <v>0.41943524640392998</v>
      </c>
      <c r="X564" s="2">
        <v>1.88888888888888</v>
      </c>
      <c r="Y564" s="2">
        <v>0.34694433324435597</v>
      </c>
      <c r="Z564" s="7">
        <v>109.839650145772</v>
      </c>
      <c r="AA564" s="2">
        <v>2.8406961034849698</v>
      </c>
      <c r="AB564" s="7">
        <v>101.621621621621</v>
      </c>
      <c r="AC564" s="2">
        <v>8.42088394144589</v>
      </c>
      <c r="AD564" s="2">
        <v>95.569620253164501</v>
      </c>
      <c r="AE564" s="2">
        <v>25.284790323339401</v>
      </c>
      <c r="AF564" s="2">
        <v>104.509283819628</v>
      </c>
      <c r="AG564" s="2">
        <v>4.8621492784680598</v>
      </c>
      <c r="AH564" s="2">
        <v>130.61224489795899</v>
      </c>
      <c r="AI564" s="2">
        <v>39.8351455019247</v>
      </c>
      <c r="AJ564" s="2">
        <v>188.23529411764699</v>
      </c>
      <c r="AK564" s="2">
        <v>88.821581591420596</v>
      </c>
      <c r="AL564" s="2">
        <v>109.67741935483799</v>
      </c>
      <c r="AM564" s="2">
        <v>20.145154833543199</v>
      </c>
      <c r="AN564"/>
      <c r="AO564"/>
    </row>
    <row r="565" spans="1:41" ht="15.75" hidden="1" customHeight="1" x14ac:dyDescent="0.45">
      <c r="A565" s="2" t="s">
        <v>149</v>
      </c>
      <c r="B565" s="2" t="s">
        <v>150</v>
      </c>
      <c r="C565" s="2">
        <v>0.3</v>
      </c>
      <c r="D565" s="2"/>
      <c r="E565" s="2" t="s">
        <v>83</v>
      </c>
      <c r="F565" s="2" t="s">
        <v>110</v>
      </c>
      <c r="H565" s="2">
        <v>8</v>
      </c>
      <c r="J565" s="2">
        <v>8</v>
      </c>
      <c r="K565" s="2">
        <v>37.8333333333333</v>
      </c>
      <c r="L565" s="2"/>
      <c r="M565" s="2">
        <v>4.5092497528229103</v>
      </c>
      <c r="N565" s="2">
        <v>229.888888888888</v>
      </c>
      <c r="O565" s="2">
        <v>13.4591288034612</v>
      </c>
      <c r="P565" s="2">
        <v>9.2777777777777697</v>
      </c>
      <c r="Q565" s="2">
        <v>1.2729376930432901</v>
      </c>
      <c r="R565" s="2">
        <v>2.6666666666666599</v>
      </c>
      <c r="S565" s="2">
        <v>1.4529663145135501</v>
      </c>
      <c r="T565" s="2">
        <v>9.2777777777777697</v>
      </c>
      <c r="U565" s="2">
        <v>2.50739646586594</v>
      </c>
      <c r="V565" s="2">
        <v>0.83333333333333304</v>
      </c>
      <c r="W565" s="2">
        <v>0.16666666666666599</v>
      </c>
      <c r="X565" s="2">
        <v>1.7222222222222201</v>
      </c>
      <c r="Y565" s="2">
        <v>0.41943524640393098</v>
      </c>
      <c r="Z565" s="7">
        <v>100.534499514091</v>
      </c>
      <c r="AA565" s="2">
        <v>5.8859163863533199</v>
      </c>
      <c r="AB565" s="7">
        <v>105.173745173745</v>
      </c>
      <c r="AC565" s="2">
        <v>12.5353661082335</v>
      </c>
      <c r="AD565" s="2">
        <v>105.696202531645</v>
      </c>
      <c r="AE565" s="2">
        <v>28.565276193409499</v>
      </c>
      <c r="AF565" s="2">
        <v>88.594164456233401</v>
      </c>
      <c r="AG565" s="2">
        <v>12.1553731961693</v>
      </c>
      <c r="AH565" s="2">
        <v>97.959183673469298</v>
      </c>
      <c r="AI565" s="2">
        <v>53.374272778048997</v>
      </c>
      <c r="AJ565" s="2">
        <v>176.470588235294</v>
      </c>
      <c r="AK565" s="2">
        <v>35.294117647058698</v>
      </c>
      <c r="AL565" s="2">
        <v>100</v>
      </c>
      <c r="AM565" s="2">
        <v>24.354304629905599</v>
      </c>
      <c r="AN565"/>
      <c r="AO565"/>
    </row>
    <row r="566" spans="1:41" ht="15.75" hidden="1" customHeight="1" x14ac:dyDescent="0.45">
      <c r="A566" s="2" t="s">
        <v>149</v>
      </c>
      <c r="B566" s="2" t="s">
        <v>150</v>
      </c>
      <c r="C566" s="2">
        <v>1</v>
      </c>
      <c r="D566" s="2"/>
      <c r="E566" s="2" t="s">
        <v>83</v>
      </c>
      <c r="F566" s="2" t="s">
        <v>110</v>
      </c>
      <c r="H566" s="2">
        <v>8</v>
      </c>
      <c r="J566" s="2">
        <v>8</v>
      </c>
      <c r="K566" s="2">
        <v>37.0555555555555</v>
      </c>
      <c r="L566" s="2"/>
      <c r="M566" s="2">
        <v>1.00461896222355</v>
      </c>
      <c r="N566" s="2">
        <v>243.111111111111</v>
      </c>
      <c r="O566" s="2">
        <v>42.643656990008502</v>
      </c>
      <c r="P566" s="2">
        <v>9.7777777777777697</v>
      </c>
      <c r="Q566" s="2">
        <v>0.91792842454769197</v>
      </c>
      <c r="R566" s="2">
        <v>2.3333333333333299</v>
      </c>
      <c r="S566" s="2">
        <v>1.36422546197874</v>
      </c>
      <c r="T566" s="2">
        <v>7.8888888888888804</v>
      </c>
      <c r="U566" s="2">
        <v>0.94770678384622997</v>
      </c>
      <c r="V566" s="2">
        <v>0.44444444444444398</v>
      </c>
      <c r="W566" s="2">
        <v>0.19245008972987501</v>
      </c>
      <c r="X566" s="2">
        <v>1.88888888888888</v>
      </c>
      <c r="Y566" s="2">
        <v>0.48112522432468602</v>
      </c>
      <c r="Z566" s="7">
        <v>106.316812439261</v>
      </c>
      <c r="AA566" s="2">
        <v>18.648829587467201</v>
      </c>
      <c r="AB566" s="7">
        <v>103.011583011583</v>
      </c>
      <c r="AC566" s="2">
        <v>2.7927631382276301</v>
      </c>
      <c r="AD566" s="2">
        <v>89.873417721518905</v>
      </c>
      <c r="AE566" s="2">
        <v>10.7966595628051</v>
      </c>
      <c r="AF566" s="2">
        <v>93.368700265251903</v>
      </c>
      <c r="AG566" s="2">
        <v>8.7653642662379099</v>
      </c>
      <c r="AH566" s="2">
        <v>85.714285714285694</v>
      </c>
      <c r="AI566" s="2">
        <v>50.114404725749601</v>
      </c>
      <c r="AJ566" s="2">
        <v>94.117647058823493</v>
      </c>
      <c r="AK566" s="2">
        <v>40.754136648679399</v>
      </c>
      <c r="AL566" s="2">
        <v>109.67741935483799</v>
      </c>
      <c r="AM566" s="2">
        <v>27.936303347885001</v>
      </c>
      <c r="AN566"/>
      <c r="AO566"/>
    </row>
    <row r="567" spans="1:41" ht="15.75" hidden="1" customHeight="1" x14ac:dyDescent="0.45">
      <c r="A567" s="2" t="s">
        <v>149</v>
      </c>
      <c r="B567" s="2" t="s">
        <v>150</v>
      </c>
      <c r="C567" s="2">
        <v>3</v>
      </c>
      <c r="D567" s="2"/>
      <c r="E567" s="2" t="s">
        <v>83</v>
      </c>
      <c r="F567" s="2" t="s">
        <v>110</v>
      </c>
      <c r="H567" s="2">
        <v>8</v>
      </c>
      <c r="J567" s="2">
        <v>8</v>
      </c>
      <c r="K567" s="2">
        <v>31.3888888888888</v>
      </c>
      <c r="L567" s="2"/>
      <c r="M567" s="2">
        <v>4.5896421227384598</v>
      </c>
      <c r="N567" s="2">
        <v>241.111111111111</v>
      </c>
      <c r="O567" s="2">
        <v>21.673289586065899</v>
      </c>
      <c r="P567" s="2">
        <v>9</v>
      </c>
      <c r="Q567" s="2">
        <v>0.50000000000001399</v>
      </c>
      <c r="R567" s="2">
        <v>1.88888888888888</v>
      </c>
      <c r="S567" s="2">
        <v>0.19245008972987501</v>
      </c>
      <c r="T567" s="2">
        <v>8.7777777777777697</v>
      </c>
      <c r="U567" s="2">
        <v>1.1097213530798899</v>
      </c>
      <c r="V567" s="2">
        <v>0.83333333333333304</v>
      </c>
      <c r="W567" s="2">
        <v>0.28867513459481198</v>
      </c>
      <c r="X567" s="2">
        <v>2.3333333333333299</v>
      </c>
      <c r="Y567" s="2">
        <v>0.57735026918962595</v>
      </c>
      <c r="Z567" s="7">
        <v>105.442176870748</v>
      </c>
      <c r="AA567" s="2">
        <v>9.4781149793291295</v>
      </c>
      <c r="AB567" s="7">
        <v>87.258687258687203</v>
      </c>
      <c r="AC567" s="2">
        <v>12.7588506886937</v>
      </c>
      <c r="AD567" s="2">
        <v>100</v>
      </c>
      <c r="AE567" s="2">
        <v>12.6423951616697</v>
      </c>
      <c r="AF567" s="2">
        <v>85.941644562334105</v>
      </c>
      <c r="AG567" s="2">
        <v>4.7745358090187002</v>
      </c>
      <c r="AH567" s="2">
        <v>69.387755102040799</v>
      </c>
      <c r="AI567" s="2">
        <v>7.0695951329342002</v>
      </c>
      <c r="AJ567" s="2">
        <v>176.470588235294</v>
      </c>
      <c r="AK567" s="2">
        <v>61.131204973019102</v>
      </c>
      <c r="AL567" s="2">
        <v>135.48387096774101</v>
      </c>
      <c r="AM567" s="2">
        <v>33.5235640174621</v>
      </c>
      <c r="AN567"/>
      <c r="AO567"/>
    </row>
    <row r="568" spans="1:41" ht="15.75" hidden="1" customHeight="1" x14ac:dyDescent="0.45">
      <c r="A568" s="2" t="s">
        <v>149</v>
      </c>
      <c r="B568" s="2" t="s">
        <v>150</v>
      </c>
      <c r="C568" s="2">
        <v>10</v>
      </c>
      <c r="D568" s="2"/>
      <c r="E568" s="2" t="s">
        <v>83</v>
      </c>
      <c r="F568" s="2" t="s">
        <v>110</v>
      </c>
      <c r="H568" s="2">
        <v>8</v>
      </c>
      <c r="J568" s="2">
        <v>8</v>
      </c>
      <c r="K568" s="2">
        <v>0.77777777777777701</v>
      </c>
      <c r="L568" s="2"/>
      <c r="M568" s="2">
        <v>0.75154162547048198</v>
      </c>
      <c r="N568" s="2">
        <v>75.8888888888888</v>
      </c>
      <c r="O568" s="2">
        <v>33.087566199964499</v>
      </c>
      <c r="P568" s="2">
        <v>2.55555555555555</v>
      </c>
      <c r="Q568" s="2">
        <v>0.41943524640392799</v>
      </c>
      <c r="R568" s="2">
        <v>3.8333333333333299</v>
      </c>
      <c r="S568" s="2">
        <v>4.6218082079540102</v>
      </c>
      <c r="T568" s="2">
        <v>58.9444444444444</v>
      </c>
      <c r="U568" s="2">
        <v>13.5373283649049</v>
      </c>
      <c r="V568" s="2">
        <v>0.11111111111111099</v>
      </c>
      <c r="W568" s="2">
        <v>0.19245008972987501</v>
      </c>
      <c r="X568" s="2">
        <v>1.5</v>
      </c>
      <c r="Y568" s="2">
        <v>0.28867513459481198</v>
      </c>
      <c r="Z568" s="7">
        <v>33.187560738581098</v>
      </c>
      <c r="AA568" s="2">
        <v>14.469781137010701</v>
      </c>
      <c r="AB568" s="7">
        <v>2.1621621621621601</v>
      </c>
      <c r="AC568" s="2">
        <v>2.08922768470558</v>
      </c>
      <c r="AD568" s="2">
        <v>671.518987341772</v>
      </c>
      <c r="AE568" s="2">
        <v>154.22272820777701</v>
      </c>
      <c r="AF568" s="2">
        <v>24.4031830238726</v>
      </c>
      <c r="AG568" s="2">
        <v>4.0052172070401602</v>
      </c>
      <c r="AH568" s="2">
        <v>140.816326530612</v>
      </c>
      <c r="AI568" s="2">
        <v>169.78070967994299</v>
      </c>
      <c r="AJ568" s="2">
        <v>23.529411764705799</v>
      </c>
      <c r="AK568" s="2">
        <v>40.754136648679399</v>
      </c>
      <c r="AL568" s="2">
        <v>87.096774193548299</v>
      </c>
      <c r="AM568" s="2">
        <v>16.761782008731</v>
      </c>
      <c r="AN568"/>
      <c r="AO568"/>
    </row>
    <row r="569" spans="1:41" ht="15.75" hidden="1" customHeight="1" x14ac:dyDescent="0.45">
      <c r="A569" s="2" t="s">
        <v>149</v>
      </c>
      <c r="B569" s="2" t="s">
        <v>150</v>
      </c>
      <c r="C569" s="2">
        <v>3.0000000000000001E-3</v>
      </c>
      <c r="D569" s="2"/>
      <c r="E569" s="2" t="s">
        <v>83</v>
      </c>
      <c r="F569" s="2" t="s">
        <v>110</v>
      </c>
      <c r="H569" s="2">
        <v>9.6</v>
      </c>
      <c r="J569" s="2">
        <v>9.6</v>
      </c>
      <c r="K569" s="2">
        <v>31.1666666666666</v>
      </c>
      <c r="L569" s="2"/>
      <c r="M569" s="2">
        <v>2.4551533104427099</v>
      </c>
      <c r="N569" s="2">
        <v>180.444444444444</v>
      </c>
      <c r="O569" s="2">
        <v>25.803387661600102</v>
      </c>
      <c r="P569" s="2">
        <v>14.1111111111111</v>
      </c>
      <c r="Q569" s="2">
        <v>1.9317042945237199</v>
      </c>
      <c r="R569" s="2">
        <v>5.8888888888888804</v>
      </c>
      <c r="S569" s="2">
        <v>1.2619796324000501</v>
      </c>
      <c r="T569" s="2">
        <v>9.55555555555555</v>
      </c>
      <c r="U569" s="2">
        <v>1.7023948273382701</v>
      </c>
      <c r="V569" s="2">
        <v>0.88888888888888795</v>
      </c>
      <c r="W569" s="2">
        <v>0.34694433324435497</v>
      </c>
      <c r="X569" s="2">
        <v>4.2222222222222197</v>
      </c>
      <c r="Y569" s="2">
        <v>1.5122952876462401</v>
      </c>
      <c r="Z569" s="7">
        <v>141.43261484868199</v>
      </c>
      <c r="AA569" s="2">
        <v>20.224732327838101</v>
      </c>
      <c r="AB569" s="7">
        <v>127.64505119453899</v>
      </c>
      <c r="AC569" s="2">
        <v>10.055235401130499</v>
      </c>
      <c r="AD569" s="2">
        <v>104.87804878048701</v>
      </c>
      <c r="AE569" s="2">
        <v>18.684821275664</v>
      </c>
      <c r="AF569" s="2">
        <v>101.6</v>
      </c>
      <c r="AG569" s="2">
        <v>13.9082709205708</v>
      </c>
      <c r="AH569" s="2">
        <v>175.20661157024699</v>
      </c>
      <c r="AI569" s="2">
        <v>37.546501459836399</v>
      </c>
      <c r="AJ569" s="2">
        <v>123.07692307692299</v>
      </c>
      <c r="AK569" s="2">
        <v>48.038446141526101</v>
      </c>
      <c r="AL569" s="2">
        <v>116.923076923076</v>
      </c>
      <c r="AM569" s="2">
        <v>41.878946427126699</v>
      </c>
      <c r="AN569"/>
      <c r="AO569"/>
    </row>
    <row r="570" spans="1:41" ht="15.75" hidden="1" customHeight="1" x14ac:dyDescent="0.45">
      <c r="A570" s="2" t="s">
        <v>149</v>
      </c>
      <c r="B570" s="2" t="s">
        <v>150</v>
      </c>
      <c r="C570" s="2">
        <v>0.01</v>
      </c>
      <c r="D570" s="2"/>
      <c r="E570" s="2" t="s">
        <v>83</v>
      </c>
      <c r="F570" s="2" t="s">
        <v>110</v>
      </c>
      <c r="H570" s="2">
        <v>9.6</v>
      </c>
      <c r="J570" s="2">
        <v>9.6</v>
      </c>
      <c r="K570" s="2">
        <v>30.8333333333333</v>
      </c>
      <c r="L570" s="2"/>
      <c r="M570" s="2">
        <v>8.0467384697155495</v>
      </c>
      <c r="N570" s="2">
        <v>139.388888888888</v>
      </c>
      <c r="O570" s="2">
        <v>42.087651043629997</v>
      </c>
      <c r="P570" s="2">
        <v>17.1666666666666</v>
      </c>
      <c r="Q570" s="2">
        <v>1.7559422921421299</v>
      </c>
      <c r="R570" s="2">
        <v>7.2777777777777697</v>
      </c>
      <c r="S570" s="2">
        <v>2.79052630108318</v>
      </c>
      <c r="T570" s="2">
        <v>10</v>
      </c>
      <c r="U570" s="2">
        <v>1.25830573921179</v>
      </c>
      <c r="V570" s="2">
        <v>1</v>
      </c>
      <c r="W570" s="2">
        <v>0.33333333333333298</v>
      </c>
      <c r="X570" s="2">
        <v>4</v>
      </c>
      <c r="Y570" s="2">
        <v>0.66666666666666996</v>
      </c>
      <c r="Z570" s="7">
        <v>109.253211408665</v>
      </c>
      <c r="AA570" s="2">
        <v>32.988361366659703</v>
      </c>
      <c r="AB570" s="7">
        <v>126.27986348122801</v>
      </c>
      <c r="AC570" s="2">
        <v>32.955925473237698</v>
      </c>
      <c r="AD570" s="2">
        <v>109.75609756097499</v>
      </c>
      <c r="AE570" s="2">
        <v>13.8106727474465</v>
      </c>
      <c r="AF570" s="2">
        <v>123.6</v>
      </c>
      <c r="AG570" s="2">
        <v>12.6427845034233</v>
      </c>
      <c r="AH570" s="2">
        <v>216.52892561983401</v>
      </c>
      <c r="AI570" s="2">
        <v>83.023923007433694</v>
      </c>
      <c r="AJ570" s="2">
        <v>138.461538461538</v>
      </c>
      <c r="AK570" s="2">
        <v>46.153846153846203</v>
      </c>
      <c r="AL570" s="2">
        <v>110.76923076923001</v>
      </c>
      <c r="AM570" s="2">
        <v>18.461538461538499</v>
      </c>
      <c r="AN570"/>
      <c r="AO570"/>
    </row>
    <row r="571" spans="1:41" ht="15.75" hidden="1" customHeight="1" x14ac:dyDescent="0.45">
      <c r="A571" s="2" t="s">
        <v>149</v>
      </c>
      <c r="B571" s="2" t="s">
        <v>150</v>
      </c>
      <c r="C571" s="2">
        <v>0.03</v>
      </c>
      <c r="D571" s="2"/>
      <c r="E571" s="2" t="s">
        <v>83</v>
      </c>
      <c r="F571" s="2" t="s">
        <v>110</v>
      </c>
      <c r="H571" s="2">
        <v>9.6</v>
      </c>
      <c r="J571" s="2">
        <v>9.6</v>
      </c>
      <c r="K571" s="2">
        <v>31.0555555555555</v>
      </c>
      <c r="L571" s="2"/>
      <c r="M571" s="2">
        <v>3.4332254567734002</v>
      </c>
      <c r="N571" s="2">
        <v>180.166666666666</v>
      </c>
      <c r="O571" s="2">
        <v>14.4424143872602</v>
      </c>
      <c r="P571" s="2">
        <v>13.8888888888888</v>
      </c>
      <c r="Q571" s="2">
        <v>1.2729376930432701</v>
      </c>
      <c r="R571" s="2">
        <v>5.2777777777777697</v>
      </c>
      <c r="S571" s="2">
        <v>1.5122952876462401</v>
      </c>
      <c r="T571" s="2">
        <v>11</v>
      </c>
      <c r="U571" s="2">
        <v>4.0722639076235403</v>
      </c>
      <c r="V571" s="2">
        <v>0.77777777777777701</v>
      </c>
      <c r="W571" s="2">
        <v>0.34694433324435497</v>
      </c>
      <c r="X571" s="2">
        <v>3.88888888888888</v>
      </c>
      <c r="Y571" s="2">
        <v>0.63098981620002503</v>
      </c>
      <c r="Z571" s="7">
        <v>141.21489222730199</v>
      </c>
      <c r="AA571" s="2">
        <v>11.319985150040701</v>
      </c>
      <c r="AB571" s="7">
        <v>127.189988623435</v>
      </c>
      <c r="AC571" s="2">
        <v>14.0609916318364</v>
      </c>
      <c r="AD571" s="2">
        <v>120.731707317073</v>
      </c>
      <c r="AE571" s="2">
        <v>44.695579473916901</v>
      </c>
      <c r="AF571" s="2">
        <v>99.999999999999901</v>
      </c>
      <c r="AG571" s="2">
        <v>9.1651513899115393</v>
      </c>
      <c r="AH571" s="2">
        <v>157.024793388429</v>
      </c>
      <c r="AI571" s="2">
        <v>44.993909384516201</v>
      </c>
      <c r="AJ571" s="2">
        <v>107.692307692307</v>
      </c>
      <c r="AK571" s="2">
        <v>48.038446141526101</v>
      </c>
      <c r="AL571" s="2">
        <v>107.692307692307</v>
      </c>
      <c r="AM571" s="2">
        <v>17.473564140923699</v>
      </c>
      <c r="AN571"/>
      <c r="AO571"/>
    </row>
    <row r="572" spans="1:41" ht="15.75" hidden="1" customHeight="1" x14ac:dyDescent="0.45">
      <c r="A572" s="2" t="s">
        <v>149</v>
      </c>
      <c r="B572" s="2" t="s">
        <v>150</v>
      </c>
      <c r="C572" s="2">
        <v>0.1</v>
      </c>
      <c r="D572" s="2"/>
      <c r="E572" s="2" t="s">
        <v>83</v>
      </c>
      <c r="F572" s="2" t="s">
        <v>110</v>
      </c>
      <c r="H572" s="2">
        <v>9.6</v>
      </c>
      <c r="J572" s="2">
        <v>9.6</v>
      </c>
      <c r="K572" s="2">
        <v>29.8333333333333</v>
      </c>
      <c r="L572" s="2"/>
      <c r="M572" s="2">
        <v>7.3105707331537699</v>
      </c>
      <c r="N572" s="2">
        <v>156.111111111111</v>
      </c>
      <c r="O572" s="2">
        <v>40.442460268789198</v>
      </c>
      <c r="P572" s="2">
        <v>15.1666666666666</v>
      </c>
      <c r="Q572" s="2">
        <v>2.1858128414339801</v>
      </c>
      <c r="R572" s="2">
        <v>5.3888888888888804</v>
      </c>
      <c r="S572" s="2">
        <v>3.0565654896619798</v>
      </c>
      <c r="T572" s="2">
        <v>9.3333333333333304</v>
      </c>
      <c r="U572" s="2">
        <v>3.5276684147527901</v>
      </c>
      <c r="V572" s="2">
        <v>0.94444444444444398</v>
      </c>
      <c r="W572" s="2">
        <v>0.19245008972987501</v>
      </c>
      <c r="X572" s="2">
        <v>3.7777777777777701</v>
      </c>
      <c r="Y572" s="2">
        <v>1.0844011831079501</v>
      </c>
      <c r="Z572" s="7">
        <v>122.36011321576299</v>
      </c>
      <c r="AA572" s="2">
        <v>31.698858473250802</v>
      </c>
      <c r="AB572" s="7">
        <v>122.18430034129599</v>
      </c>
      <c r="AC572" s="2">
        <v>29.940904026568301</v>
      </c>
      <c r="AD572" s="2">
        <v>102.43902439024301</v>
      </c>
      <c r="AE572" s="2">
        <v>38.718311869237901</v>
      </c>
      <c r="AF572" s="2">
        <v>109.19999999999899</v>
      </c>
      <c r="AG572" s="2">
        <v>15.7378524583246</v>
      </c>
      <c r="AH572" s="2">
        <v>160.33057851239599</v>
      </c>
      <c r="AI572" s="2">
        <v>90.939138535397802</v>
      </c>
      <c r="AJ572" s="2">
        <v>130.76923076923001</v>
      </c>
      <c r="AK572" s="2">
        <v>26.646935501059598</v>
      </c>
      <c r="AL572" s="2">
        <v>104.615384615384</v>
      </c>
      <c r="AM572" s="2">
        <v>30.029571224527899</v>
      </c>
      <c r="AN572"/>
      <c r="AO572"/>
    </row>
    <row r="573" spans="1:41" ht="15.75" hidden="1" customHeight="1" x14ac:dyDescent="0.45">
      <c r="A573" s="2" t="s">
        <v>149</v>
      </c>
      <c r="B573" s="2" t="s">
        <v>150</v>
      </c>
      <c r="C573" s="2">
        <v>0.3</v>
      </c>
      <c r="D573" s="2"/>
      <c r="E573" s="2" t="s">
        <v>83</v>
      </c>
      <c r="F573" s="2" t="s">
        <v>110</v>
      </c>
      <c r="H573" s="2">
        <v>9.6</v>
      </c>
      <c r="J573" s="2">
        <v>9.6</v>
      </c>
      <c r="K573" s="2">
        <v>30.9444444444444</v>
      </c>
      <c r="L573" s="2"/>
      <c r="M573" s="2">
        <v>3.9311199045187699</v>
      </c>
      <c r="N573" s="2">
        <v>179</v>
      </c>
      <c r="O573" s="2">
        <v>20.269709201444101</v>
      </c>
      <c r="P573" s="2">
        <v>13.6666666666666</v>
      </c>
      <c r="Q573" s="2">
        <v>0.16666666666681801</v>
      </c>
      <c r="R573" s="2">
        <v>4.3888888888888804</v>
      </c>
      <c r="S573" s="2">
        <v>2.65797193642348</v>
      </c>
      <c r="T573" s="2">
        <v>9.7222222222222197</v>
      </c>
      <c r="U573" s="2">
        <v>2.1495046802392199</v>
      </c>
      <c r="V573" s="2">
        <v>0.88888888888888895</v>
      </c>
      <c r="W573" s="2">
        <v>9.6225044864937798E-2</v>
      </c>
      <c r="X573" s="2">
        <v>3.7222222222222201</v>
      </c>
      <c r="Y573" s="2">
        <v>0.82214714371937503</v>
      </c>
      <c r="Z573" s="7">
        <v>140.300457217504</v>
      </c>
      <c r="AA573" s="2">
        <v>15.887427199041699</v>
      </c>
      <c r="AB573" s="7">
        <v>126.734926052332</v>
      </c>
      <c r="AC573" s="2">
        <v>16.100149779599001</v>
      </c>
      <c r="AD573" s="2">
        <v>106.70731707317</v>
      </c>
      <c r="AE573" s="2">
        <v>23.592124539211</v>
      </c>
      <c r="AF573" s="2">
        <v>98.4</v>
      </c>
      <c r="AG573" s="2">
        <v>1.20000000000109</v>
      </c>
      <c r="AH573" s="2">
        <v>130.57851239669401</v>
      </c>
      <c r="AI573" s="2">
        <v>79.080156786153296</v>
      </c>
      <c r="AJ573" s="2">
        <v>123.07692307692299</v>
      </c>
      <c r="AK573" s="2">
        <v>13.323467750529799</v>
      </c>
      <c r="AL573" s="2">
        <v>103.07692307692299</v>
      </c>
      <c r="AM573" s="2">
        <v>22.767151672228799</v>
      </c>
      <c r="AN573"/>
      <c r="AO573"/>
    </row>
    <row r="574" spans="1:41" ht="15.75" hidden="1" customHeight="1" x14ac:dyDescent="0.45">
      <c r="A574" s="2" t="s">
        <v>149</v>
      </c>
      <c r="B574" s="2" t="s">
        <v>150</v>
      </c>
      <c r="C574" s="2">
        <v>1</v>
      </c>
      <c r="D574" s="2"/>
      <c r="E574" s="2" t="s">
        <v>83</v>
      </c>
      <c r="F574" s="2" t="s">
        <v>110</v>
      </c>
      <c r="H574" s="2">
        <v>9.6</v>
      </c>
      <c r="J574" s="2">
        <v>9.6</v>
      </c>
      <c r="K574" s="2">
        <v>29.2777777777777</v>
      </c>
      <c r="L574" s="2"/>
      <c r="M574" s="2">
        <v>4.5225771086520403</v>
      </c>
      <c r="N574" s="2">
        <v>159.666666666666</v>
      </c>
      <c r="O574" s="2">
        <v>44.9731401320091</v>
      </c>
      <c r="P574" s="2">
        <v>15.6111111111111</v>
      </c>
      <c r="Q574" s="2">
        <v>3.3347219329908602</v>
      </c>
      <c r="R574" s="2">
        <v>5</v>
      </c>
      <c r="S574" s="2">
        <v>0.60092521257734</v>
      </c>
      <c r="T574" s="2">
        <v>8.6111111111111107</v>
      </c>
      <c r="U574" s="2">
        <v>3.2588909724583202</v>
      </c>
      <c r="V574" s="2">
        <v>1.1111111111111101</v>
      </c>
      <c r="W574" s="2">
        <v>0.34694433324435497</v>
      </c>
      <c r="X574" s="2">
        <v>3.9444444444444402</v>
      </c>
      <c r="Y574" s="2">
        <v>0.53575837561071404</v>
      </c>
      <c r="Z574" s="7">
        <v>125.146962769431</v>
      </c>
      <c r="AA574" s="2">
        <v>35.250011860490503</v>
      </c>
      <c r="AB574" s="7">
        <v>119.90898748577899</v>
      </c>
      <c r="AC574" s="2">
        <v>18.522500103694298</v>
      </c>
      <c r="AD574" s="2">
        <v>94.512195121951194</v>
      </c>
      <c r="AE574" s="2">
        <v>35.768315551371799</v>
      </c>
      <c r="AF574" s="2">
        <v>112.399999999999</v>
      </c>
      <c r="AG574" s="2">
        <v>24.0099979175342</v>
      </c>
      <c r="AH574" s="2">
        <v>148.760330578512</v>
      </c>
      <c r="AI574" s="2">
        <v>17.878766655193498</v>
      </c>
      <c r="AJ574" s="2">
        <v>153.84615384615299</v>
      </c>
      <c r="AK574" s="2">
        <v>48.038446141526101</v>
      </c>
      <c r="AL574" s="2">
        <v>109.230769230769</v>
      </c>
      <c r="AM574" s="2">
        <v>14.836385786142801</v>
      </c>
      <c r="AN574"/>
      <c r="AO574"/>
    </row>
    <row r="575" spans="1:41" ht="15.75" hidden="1" customHeight="1" x14ac:dyDescent="0.45">
      <c r="A575" s="2" t="s">
        <v>149</v>
      </c>
      <c r="B575" s="2" t="s">
        <v>150</v>
      </c>
      <c r="C575" s="2">
        <v>3</v>
      </c>
      <c r="D575" s="2"/>
      <c r="E575" s="2" t="s">
        <v>83</v>
      </c>
      <c r="F575" s="2" t="s">
        <v>110</v>
      </c>
      <c r="H575" s="2">
        <v>9.6</v>
      </c>
      <c r="J575" s="2">
        <v>9.6</v>
      </c>
      <c r="K575" s="2">
        <v>24.5</v>
      </c>
      <c r="L575" s="2"/>
      <c r="M575" s="2">
        <v>4.2064764880413303</v>
      </c>
      <c r="N575" s="2">
        <v>182.277777777777</v>
      </c>
      <c r="O575" s="2">
        <v>9.7558149800987692</v>
      </c>
      <c r="P575" s="2">
        <v>15.7222222222222</v>
      </c>
      <c r="Q575" s="2">
        <v>0.25458753860870298</v>
      </c>
      <c r="R575" s="2">
        <v>4.4444444444444402</v>
      </c>
      <c r="S575" s="2">
        <v>0.63098981620003303</v>
      </c>
      <c r="T575" s="2">
        <v>7.05555555555555</v>
      </c>
      <c r="U575" s="2">
        <v>0.38490017945971899</v>
      </c>
      <c r="V575" s="2">
        <v>0.55555555555555503</v>
      </c>
      <c r="W575" s="2">
        <v>0.25458753860865702</v>
      </c>
      <c r="X575" s="2">
        <v>3.88888888888888</v>
      </c>
      <c r="Y575" s="2">
        <v>0.83887049280785997</v>
      </c>
      <c r="Z575" s="7">
        <v>142.86958414979301</v>
      </c>
      <c r="AA575" s="2">
        <v>7.6466218002080497</v>
      </c>
      <c r="AB575" s="7">
        <v>100.341296928327</v>
      </c>
      <c r="AC575" s="2">
        <v>17.227890053411599</v>
      </c>
      <c r="AD575" s="2">
        <v>77.439024390243802</v>
      </c>
      <c r="AE575" s="2">
        <v>4.2245141648017901</v>
      </c>
      <c r="AF575" s="2">
        <v>113.19999999999899</v>
      </c>
      <c r="AG575" s="2">
        <v>1.8330302779826599</v>
      </c>
      <c r="AH575" s="2">
        <v>132.23140495867699</v>
      </c>
      <c r="AI575" s="2">
        <v>18.773250729918299</v>
      </c>
      <c r="AJ575" s="2">
        <v>76.923076923076906</v>
      </c>
      <c r="AK575" s="2">
        <v>35.250582268891002</v>
      </c>
      <c r="AL575" s="2">
        <v>107.692307692307</v>
      </c>
      <c r="AM575" s="2">
        <v>23.230259800833</v>
      </c>
      <c r="AN575"/>
      <c r="AO575"/>
    </row>
    <row r="576" spans="1:41" ht="15.75" hidden="1" customHeight="1" x14ac:dyDescent="0.45">
      <c r="A576" s="2" t="s">
        <v>149</v>
      </c>
      <c r="B576" s="2" t="s">
        <v>150</v>
      </c>
      <c r="C576" s="2">
        <v>10</v>
      </c>
      <c r="D576" s="2"/>
      <c r="E576" s="2" t="s">
        <v>83</v>
      </c>
      <c r="F576" s="2" t="s">
        <v>110</v>
      </c>
      <c r="H576" s="2">
        <v>9.6</v>
      </c>
      <c r="J576" s="2">
        <v>9.6</v>
      </c>
      <c r="K576" s="2">
        <v>1.1666666666666601</v>
      </c>
      <c r="L576" s="2"/>
      <c r="M576" s="2">
        <v>2.0207259421636898</v>
      </c>
      <c r="N576" s="2">
        <v>55.0555555555555</v>
      </c>
      <c r="O576" s="2">
        <v>32.161197001862199</v>
      </c>
      <c r="P576" s="2">
        <v>2.5</v>
      </c>
      <c r="Q576" s="2">
        <v>2.7838821814150099</v>
      </c>
      <c r="R576" s="2">
        <v>12.3888888888888</v>
      </c>
      <c r="S576" s="2">
        <v>6.2011050389187501</v>
      </c>
      <c r="T576" s="2">
        <v>51.5</v>
      </c>
      <c r="U576" s="2">
        <v>22.7840099875134</v>
      </c>
      <c r="V576" s="2">
        <v>0</v>
      </c>
      <c r="W576" s="2">
        <v>0</v>
      </c>
      <c r="X576" s="2">
        <v>4.2222222222222197</v>
      </c>
      <c r="Y576" s="2">
        <v>1.2509255832441899</v>
      </c>
      <c r="Z576" s="7">
        <v>43.152623557587603</v>
      </c>
      <c r="AA576" s="2">
        <v>25.207992424712302</v>
      </c>
      <c r="AB576" s="7">
        <v>4.7781569965870201</v>
      </c>
      <c r="AC576" s="2">
        <v>8.2760106846294406</v>
      </c>
      <c r="AD576" s="2">
        <v>565.24390243902405</v>
      </c>
      <c r="AE576" s="2">
        <v>250.06840230197599</v>
      </c>
      <c r="AF576" s="2">
        <v>17.999999999999901</v>
      </c>
      <c r="AG576" s="2">
        <v>20.043951706188</v>
      </c>
      <c r="AH576" s="2">
        <v>368.59504132231399</v>
      </c>
      <c r="AI576" s="2">
        <v>184.495687108326</v>
      </c>
      <c r="AJ576" s="2">
        <v>0</v>
      </c>
      <c r="AK576" s="2">
        <v>0</v>
      </c>
      <c r="AL576" s="2">
        <v>116.923076923076</v>
      </c>
      <c r="AM576" s="2">
        <v>34.641016151377499</v>
      </c>
      <c r="AN576"/>
      <c r="AO576"/>
    </row>
    <row r="577" spans="1:41" ht="15.75" hidden="1" customHeight="1" x14ac:dyDescent="0.45">
      <c r="A577" s="2" t="s">
        <v>149</v>
      </c>
      <c r="B577" s="2" t="s">
        <v>150</v>
      </c>
      <c r="C577" s="2">
        <v>3.0000000000000001E-3</v>
      </c>
      <c r="D577" s="2"/>
      <c r="E577" s="2" t="s">
        <v>85</v>
      </c>
      <c r="F577" s="2" t="s">
        <v>84</v>
      </c>
      <c r="G577" s="2" t="s">
        <v>111</v>
      </c>
      <c r="H577" s="2" t="s">
        <v>87</v>
      </c>
      <c r="I577" s="2">
        <v>3539</v>
      </c>
      <c r="K577" s="2">
        <v>2.6111111111111098</v>
      </c>
      <c r="L577" s="2"/>
      <c r="M577" s="2">
        <v>0.53575837561072004</v>
      </c>
      <c r="N577" s="2">
        <v>351.61111111111097</v>
      </c>
      <c r="O577" s="2">
        <v>41.440832431221899</v>
      </c>
      <c r="P577" s="2">
        <v>0.38888888888888801</v>
      </c>
      <c r="Q577" s="2">
        <v>0.19245008972987501</v>
      </c>
      <c r="R577" s="2">
        <v>0.38888888888888801</v>
      </c>
      <c r="S577" s="2">
        <v>0.53575837561071904</v>
      </c>
      <c r="T577" s="2">
        <v>6.5</v>
      </c>
      <c r="U577" s="2">
        <v>0.28867513459482902</v>
      </c>
      <c r="V577" s="2">
        <v>0</v>
      </c>
      <c r="W577" s="2">
        <v>0</v>
      </c>
      <c r="X577" s="2">
        <v>0.55555555555555503</v>
      </c>
      <c r="Y577" s="2">
        <v>0.25458753860865702</v>
      </c>
      <c r="Z577" s="7">
        <v>116.976249884483</v>
      </c>
      <c r="AA577" s="2">
        <v>13.7868031376396</v>
      </c>
      <c r="AB577" s="7">
        <v>82.456140350877106</v>
      </c>
      <c r="AC577" s="2">
        <v>16.918685545601701</v>
      </c>
      <c r="AD577" s="2">
        <v>115.555555555555</v>
      </c>
      <c r="AE577" s="2">
        <v>5.1320023927969602</v>
      </c>
      <c r="AF577" s="2">
        <v>66.6666666666666</v>
      </c>
      <c r="AG577" s="2">
        <v>32.991443953692901</v>
      </c>
      <c r="AH577" s="2">
        <v>24.5614035087719</v>
      </c>
      <c r="AI577" s="2">
        <v>33.837371091203302</v>
      </c>
      <c r="AJ577" s="2">
        <v>0</v>
      </c>
      <c r="AK577" s="2">
        <v>0</v>
      </c>
      <c r="AL577" s="2">
        <v>95.238095238095198</v>
      </c>
      <c r="AM577" s="2">
        <v>43.643578047198403</v>
      </c>
      <c r="AN577"/>
      <c r="AO577"/>
    </row>
    <row r="578" spans="1:41" ht="15.75" hidden="1" customHeight="1" x14ac:dyDescent="0.45">
      <c r="A578" s="2" t="s">
        <v>149</v>
      </c>
      <c r="B578" s="2" t="s">
        <v>150</v>
      </c>
      <c r="C578" s="2">
        <v>0.01</v>
      </c>
      <c r="D578" s="2"/>
      <c r="E578" s="2" t="s">
        <v>85</v>
      </c>
      <c r="F578" s="2" t="s">
        <v>84</v>
      </c>
      <c r="G578" s="2" t="s">
        <v>111</v>
      </c>
      <c r="H578" s="2" t="s">
        <v>87</v>
      </c>
      <c r="I578" s="2">
        <v>3539</v>
      </c>
      <c r="K578" s="2">
        <v>2.6666666666666599</v>
      </c>
      <c r="L578" s="2"/>
      <c r="M578" s="2">
        <v>0.28867513459481697</v>
      </c>
      <c r="N578" s="2">
        <v>364.17777777777701</v>
      </c>
      <c r="O578" s="2">
        <v>23.411543528148101</v>
      </c>
      <c r="P578" s="2">
        <v>0.28888888888888797</v>
      </c>
      <c r="Q578" s="2">
        <v>0.183585684909536</v>
      </c>
      <c r="R578" s="2">
        <v>0.11111111111111099</v>
      </c>
      <c r="S578" s="2">
        <v>9.6225044864937603E-2</v>
      </c>
      <c r="T578" s="2">
        <v>6.4111111111111097</v>
      </c>
      <c r="U578" s="2">
        <v>0.91063673287390501</v>
      </c>
      <c r="V578" s="2">
        <v>5.5555555555555497E-2</v>
      </c>
      <c r="W578" s="2">
        <v>9.6225044864937603E-2</v>
      </c>
      <c r="X578" s="2">
        <v>0.71111111111111103</v>
      </c>
      <c r="Y578" s="2">
        <v>0.183585684909536</v>
      </c>
      <c r="Z578" s="7">
        <v>121.157009518528</v>
      </c>
      <c r="AA578" s="2">
        <v>7.7887031421618396</v>
      </c>
      <c r="AB578" s="7">
        <v>84.210526315789394</v>
      </c>
      <c r="AC578" s="2">
        <v>9.1160568819415797</v>
      </c>
      <c r="AD578" s="2">
        <v>113.975308641975</v>
      </c>
      <c r="AE578" s="2">
        <v>16.189097473313801</v>
      </c>
      <c r="AF578" s="2">
        <v>49.523809523809497</v>
      </c>
      <c r="AG578" s="2">
        <v>31.471831698777699</v>
      </c>
      <c r="AH578" s="2">
        <v>7.0175438596491198</v>
      </c>
      <c r="AI578" s="2">
        <v>6.0773712546276304</v>
      </c>
      <c r="AJ578" s="2">
        <v>66.6666666666666</v>
      </c>
      <c r="AK578" s="2">
        <v>115.47005383792499</v>
      </c>
      <c r="AL578" s="2">
        <v>121.904761904761</v>
      </c>
      <c r="AM578" s="2">
        <v>31.471831698777599</v>
      </c>
      <c r="AN578"/>
      <c r="AO578"/>
    </row>
    <row r="579" spans="1:41" ht="15.75" hidden="1" customHeight="1" x14ac:dyDescent="0.45">
      <c r="A579" s="2" t="s">
        <v>149</v>
      </c>
      <c r="B579" s="2" t="s">
        <v>150</v>
      </c>
      <c r="C579" s="2">
        <v>0.03</v>
      </c>
      <c r="D579" s="2"/>
      <c r="E579" s="2" t="s">
        <v>85</v>
      </c>
      <c r="F579" s="2" t="s">
        <v>84</v>
      </c>
      <c r="G579" s="2" t="s">
        <v>111</v>
      </c>
      <c r="H579" s="2" t="s">
        <v>87</v>
      </c>
      <c r="I579" s="2">
        <v>3539</v>
      </c>
      <c r="K579" s="2">
        <v>3.1111111111111098</v>
      </c>
      <c r="L579" s="2"/>
      <c r="M579" s="2">
        <v>0.50917507721731203</v>
      </c>
      <c r="N579" s="2">
        <v>351.62222222222198</v>
      </c>
      <c r="O579" s="2">
        <v>30.122810355339102</v>
      </c>
      <c r="P579" s="2">
        <v>0.71111111111111103</v>
      </c>
      <c r="Q579" s="2">
        <v>0.183585684909536</v>
      </c>
      <c r="R579" s="2">
        <v>3.0888888888888801</v>
      </c>
      <c r="S579" s="2">
        <v>3.9695134509202799</v>
      </c>
      <c r="T579" s="2">
        <v>8.0777777777777704</v>
      </c>
      <c r="U579" s="2">
        <v>2.16444330367298</v>
      </c>
      <c r="V579" s="2">
        <v>0</v>
      </c>
      <c r="W579" s="2">
        <v>0</v>
      </c>
      <c r="X579" s="2">
        <v>0.58888888888888902</v>
      </c>
      <c r="Y579" s="2">
        <v>0.25018511664883702</v>
      </c>
      <c r="Z579" s="7">
        <v>116.97994640051699</v>
      </c>
      <c r="AA579" s="2">
        <v>10.021450631108101</v>
      </c>
      <c r="AB579" s="7">
        <v>98.245614035087698</v>
      </c>
      <c r="AC579" s="2">
        <v>16.0792129647572</v>
      </c>
      <c r="AD579" s="2">
        <v>143.604938271604</v>
      </c>
      <c r="AE579" s="2">
        <v>38.478992065297398</v>
      </c>
      <c r="AF579" s="2">
        <v>121.904761904761</v>
      </c>
      <c r="AG579" s="2">
        <v>31.471831698777599</v>
      </c>
      <c r="AH579" s="2">
        <v>195.08771929824499</v>
      </c>
      <c r="AI579" s="2">
        <v>250.706112689701</v>
      </c>
      <c r="AJ579" s="2">
        <v>0</v>
      </c>
      <c r="AK579" s="2">
        <v>0</v>
      </c>
      <c r="AL579" s="2">
        <v>100.95238095238</v>
      </c>
      <c r="AM579" s="2">
        <v>42.888877139800698</v>
      </c>
      <c r="AN579"/>
      <c r="AO579"/>
    </row>
    <row r="580" spans="1:41" ht="15.75" hidden="1" customHeight="1" x14ac:dyDescent="0.45">
      <c r="A580" s="2" t="s">
        <v>149</v>
      </c>
      <c r="B580" s="2" t="s">
        <v>150</v>
      </c>
      <c r="C580" s="2">
        <v>0.1</v>
      </c>
      <c r="D580" s="2"/>
      <c r="E580" s="2" t="s">
        <v>85</v>
      </c>
      <c r="F580" s="2" t="s">
        <v>84</v>
      </c>
      <c r="G580" s="2" t="s">
        <v>111</v>
      </c>
      <c r="H580" s="2" t="s">
        <v>87</v>
      </c>
      <c r="I580" s="2">
        <v>3539</v>
      </c>
      <c r="K580" s="2">
        <v>3.2777777777777701</v>
      </c>
      <c r="L580" s="2"/>
      <c r="M580" s="2">
        <v>0.91792842454768098</v>
      </c>
      <c r="N580" s="2">
        <v>336.388888888888</v>
      </c>
      <c r="O580" s="2">
        <v>12.6406897373937</v>
      </c>
      <c r="P580" s="2">
        <v>0.16666666666666599</v>
      </c>
      <c r="Q580" s="2">
        <v>0.16666666666666599</v>
      </c>
      <c r="R580" s="2">
        <v>0.11111111111111099</v>
      </c>
      <c r="S580" s="2">
        <v>0.19245008972987501</v>
      </c>
      <c r="T580" s="2">
        <v>5.3333333333333304</v>
      </c>
      <c r="U580" s="2">
        <v>0.50000000000000699</v>
      </c>
      <c r="V580" s="2">
        <v>5.5555555555555497E-2</v>
      </c>
      <c r="W580" s="2">
        <v>9.6225044864937603E-2</v>
      </c>
      <c r="X580" s="2">
        <v>0.55555555555555503</v>
      </c>
      <c r="Y580" s="2">
        <v>0.19245008972987501</v>
      </c>
      <c r="Z580" s="7">
        <v>111.912022918399</v>
      </c>
      <c r="AA580" s="2">
        <v>4.2053861061470599</v>
      </c>
      <c r="AB580" s="7">
        <v>103.50877192982399</v>
      </c>
      <c r="AC580" s="2">
        <v>28.987213406768799</v>
      </c>
      <c r="AD580" s="2">
        <v>94.814814814814795</v>
      </c>
      <c r="AE580" s="2">
        <v>8.8888888888890101</v>
      </c>
      <c r="AF580" s="2">
        <v>28.571428571428498</v>
      </c>
      <c r="AG580" s="2">
        <v>28.571428571428498</v>
      </c>
      <c r="AH580" s="2">
        <v>7.0175438596491198</v>
      </c>
      <c r="AI580" s="2">
        <v>12.1547425092552</v>
      </c>
      <c r="AJ580" s="2">
        <v>66.6666666666666</v>
      </c>
      <c r="AK580" s="2">
        <v>115.47005383792499</v>
      </c>
      <c r="AL580" s="2">
        <v>95.238095238095198</v>
      </c>
      <c r="AM580" s="2">
        <v>32.991443953692901</v>
      </c>
      <c r="AN580"/>
      <c r="AO580"/>
    </row>
    <row r="581" spans="1:41" ht="15.75" hidden="1" customHeight="1" x14ac:dyDescent="0.45">
      <c r="A581" s="2" t="s">
        <v>149</v>
      </c>
      <c r="B581" s="2" t="s">
        <v>150</v>
      </c>
      <c r="C581" s="2">
        <v>0.3</v>
      </c>
      <c r="D581" s="2"/>
      <c r="E581" s="2" t="s">
        <v>85</v>
      </c>
      <c r="F581" s="2" t="s">
        <v>84</v>
      </c>
      <c r="G581" s="2" t="s">
        <v>111</v>
      </c>
      <c r="H581" s="2" t="s">
        <v>87</v>
      </c>
      <c r="I581" s="2">
        <v>3539</v>
      </c>
      <c r="K581" s="2">
        <v>2.8333333333333299</v>
      </c>
      <c r="L581" s="2"/>
      <c r="M581" s="2">
        <v>0.33333333333332998</v>
      </c>
      <c r="N581" s="2">
        <v>320.166666666666</v>
      </c>
      <c r="O581" s="2">
        <v>21.4579692525753</v>
      </c>
      <c r="P581" s="2">
        <v>0.5</v>
      </c>
      <c r="Q581" s="2">
        <v>0.16666666666666599</v>
      </c>
      <c r="R581" s="2">
        <v>1.05555555555555</v>
      </c>
      <c r="S581" s="2">
        <v>0.94770678384622098</v>
      </c>
      <c r="T581" s="2">
        <v>5.8888888888888804</v>
      </c>
      <c r="U581" s="2">
        <v>0.94770678384621898</v>
      </c>
      <c r="V581" s="2">
        <v>0</v>
      </c>
      <c r="W581" s="2">
        <v>0</v>
      </c>
      <c r="X581" s="2">
        <v>0.33333333333333298</v>
      </c>
      <c r="Y581" s="2">
        <v>0.16666666666666599</v>
      </c>
      <c r="Z581" s="7">
        <v>106.515109509287</v>
      </c>
      <c r="AA581" s="2">
        <v>7.13877546523159</v>
      </c>
      <c r="AB581" s="7">
        <v>89.473684210526301</v>
      </c>
      <c r="AC581" s="2">
        <v>10.5263157894735</v>
      </c>
      <c r="AD581" s="2">
        <v>104.691358024691</v>
      </c>
      <c r="AE581" s="2">
        <v>16.848120601710502</v>
      </c>
      <c r="AF581" s="2">
        <v>85.714285714285694</v>
      </c>
      <c r="AG581" s="2">
        <v>28.571428571428601</v>
      </c>
      <c r="AH581" s="2">
        <v>66.6666666666666</v>
      </c>
      <c r="AI581" s="2">
        <v>59.855165295550698</v>
      </c>
      <c r="AJ581" s="2">
        <v>0</v>
      </c>
      <c r="AK581" s="2">
        <v>0</v>
      </c>
      <c r="AL581" s="2">
        <v>57.142857142857103</v>
      </c>
      <c r="AM581" s="2">
        <v>28.571428571428601</v>
      </c>
      <c r="AN581"/>
      <c r="AO581"/>
    </row>
    <row r="582" spans="1:41" ht="15.75" hidden="1" customHeight="1" x14ac:dyDescent="0.45">
      <c r="A582" s="2" t="s">
        <v>149</v>
      </c>
      <c r="B582" s="2" t="s">
        <v>150</v>
      </c>
      <c r="C582" s="2">
        <v>1</v>
      </c>
      <c r="D582" s="2"/>
      <c r="E582" s="2" t="s">
        <v>85</v>
      </c>
      <c r="F582" s="2" t="s">
        <v>84</v>
      </c>
      <c r="G582" s="2" t="s">
        <v>111</v>
      </c>
      <c r="H582" s="2" t="s">
        <v>87</v>
      </c>
      <c r="I582" s="2">
        <v>3539</v>
      </c>
      <c r="K582" s="2">
        <v>3.5</v>
      </c>
      <c r="L582" s="2"/>
      <c r="M582" s="2">
        <v>0.47140452079103801</v>
      </c>
      <c r="N582" s="2">
        <v>307</v>
      </c>
      <c r="O582" s="2">
        <v>5.8925565098900901</v>
      </c>
      <c r="P582" s="2">
        <v>0.5</v>
      </c>
      <c r="Q582" s="2">
        <v>1.05367121277235E-8</v>
      </c>
      <c r="R582" s="2">
        <v>8.3333333333333301E-2</v>
      </c>
      <c r="S582" s="2">
        <v>0.117851130197757</v>
      </c>
      <c r="T582" s="2">
        <v>6.5</v>
      </c>
      <c r="U582" s="2">
        <v>1.8856180831641201</v>
      </c>
      <c r="V582" s="2">
        <v>0</v>
      </c>
      <c r="W582" s="2">
        <v>0</v>
      </c>
      <c r="X582" s="2">
        <v>0.91666666666666596</v>
      </c>
      <c r="Y582" s="2">
        <v>0.35355339059327301</v>
      </c>
      <c r="Z582" s="7">
        <v>102.134738009426</v>
      </c>
      <c r="AA582" s="2">
        <v>1.96037366561355</v>
      </c>
      <c r="AB582" s="7">
        <v>110.526315789473</v>
      </c>
      <c r="AC582" s="2">
        <v>14.886458551295901</v>
      </c>
      <c r="AD582" s="2">
        <v>115.555555555555</v>
      </c>
      <c r="AE582" s="2">
        <v>33.522099256251103</v>
      </c>
      <c r="AF582" s="2">
        <v>85.714285714285694</v>
      </c>
      <c r="AG582" s="2">
        <v>1.8062935076097401E-6</v>
      </c>
      <c r="AH582" s="2">
        <v>5.2631578947368398</v>
      </c>
      <c r="AI582" s="2">
        <v>7.4432292756478597</v>
      </c>
      <c r="AJ582" s="2">
        <v>0</v>
      </c>
      <c r="AK582" s="2">
        <v>0</v>
      </c>
      <c r="AL582" s="2">
        <v>157.142857142857</v>
      </c>
      <c r="AM582" s="2">
        <v>60.609152673132598</v>
      </c>
      <c r="AN582"/>
      <c r="AO582"/>
    </row>
    <row r="583" spans="1:41" ht="15.75" hidden="1" customHeight="1" x14ac:dyDescent="0.45">
      <c r="A583" s="2" t="s">
        <v>149</v>
      </c>
      <c r="B583" s="2" t="s">
        <v>150</v>
      </c>
      <c r="C583" s="2">
        <v>3</v>
      </c>
      <c r="D583" s="2"/>
      <c r="E583" s="2" t="s">
        <v>85</v>
      </c>
      <c r="F583" s="2" t="s">
        <v>84</v>
      </c>
      <c r="G583" s="2" t="s">
        <v>111</v>
      </c>
      <c r="H583" s="2" t="s">
        <v>87</v>
      </c>
      <c r="I583" s="2">
        <v>3539</v>
      </c>
      <c r="K583" s="2">
        <v>2.8333333333333299</v>
      </c>
      <c r="L583" s="2"/>
      <c r="M583" s="2">
        <v>0.16666666666667401</v>
      </c>
      <c r="N583" s="2">
        <v>334.83333333333297</v>
      </c>
      <c r="O583" s="2">
        <v>16.783755373708701</v>
      </c>
      <c r="P583" s="2">
        <v>0.66666666666666596</v>
      </c>
      <c r="Q583" s="2">
        <v>0.16666666666666699</v>
      </c>
      <c r="R583" s="2">
        <v>0</v>
      </c>
      <c r="S583" s="2">
        <v>0</v>
      </c>
      <c r="T583" s="2">
        <v>5.4444444444444402</v>
      </c>
      <c r="U583" s="2">
        <v>1.2619796324000601</v>
      </c>
      <c r="V583" s="2">
        <v>0</v>
      </c>
      <c r="W583" s="2">
        <v>0</v>
      </c>
      <c r="X583" s="2">
        <v>0.38888888888888801</v>
      </c>
      <c r="Y583" s="2">
        <v>0.41943524640392998</v>
      </c>
      <c r="Z583" s="7">
        <v>111.39451067368999</v>
      </c>
      <c r="AA583" s="2">
        <v>5.58372787592194</v>
      </c>
      <c r="AB583" s="7">
        <v>89.473684210526301</v>
      </c>
      <c r="AC583" s="2">
        <v>5.2631578947370796</v>
      </c>
      <c r="AD583" s="2">
        <v>96.790123456790099</v>
      </c>
      <c r="AE583" s="2">
        <v>22.435193464889998</v>
      </c>
      <c r="AF583" s="2">
        <v>114.28571428571399</v>
      </c>
      <c r="AG583" s="2">
        <v>28.571428571428601</v>
      </c>
      <c r="AH583" s="2">
        <v>0</v>
      </c>
      <c r="AI583" s="2">
        <v>0</v>
      </c>
      <c r="AJ583" s="2">
        <v>0</v>
      </c>
      <c r="AK583" s="2">
        <v>0</v>
      </c>
      <c r="AL583" s="2">
        <v>66.6666666666666</v>
      </c>
      <c r="AM583" s="2">
        <v>71.903185097816603</v>
      </c>
      <c r="AN583"/>
      <c r="AO583"/>
    </row>
    <row r="584" spans="1:41" ht="15.75" hidden="1" customHeight="1" x14ac:dyDescent="0.45">
      <c r="A584" s="2" t="s">
        <v>149</v>
      </c>
      <c r="B584" s="2" t="s">
        <v>150</v>
      </c>
      <c r="C584" s="2">
        <v>10</v>
      </c>
      <c r="D584" s="2"/>
      <c r="E584" s="2" t="s">
        <v>85</v>
      </c>
      <c r="F584" s="2" t="s">
        <v>84</v>
      </c>
      <c r="G584" s="2" t="s">
        <v>111</v>
      </c>
      <c r="H584" s="2" t="s">
        <v>87</v>
      </c>
      <c r="I584" s="2">
        <v>3539</v>
      </c>
      <c r="K584" s="2">
        <v>5.8333333333333304</v>
      </c>
      <c r="L584" s="2"/>
      <c r="M584" s="2">
        <v>0.57735026918963395</v>
      </c>
      <c r="N584" s="2">
        <v>291.166666666666</v>
      </c>
      <c r="O584" s="2">
        <v>28.4316920198413</v>
      </c>
      <c r="P584" s="2">
        <v>0.33333333333333298</v>
      </c>
      <c r="Q584" s="2">
        <v>0.16666666666666599</v>
      </c>
      <c r="R584" s="2">
        <v>0.11111111111111099</v>
      </c>
      <c r="S584" s="2">
        <v>0.19245008972987501</v>
      </c>
      <c r="T584" s="2">
        <v>5.3333333333333304</v>
      </c>
      <c r="U584" s="2">
        <v>1</v>
      </c>
      <c r="V584" s="2">
        <v>5.5555555555555497E-2</v>
      </c>
      <c r="W584" s="2">
        <v>9.6225044864937603E-2</v>
      </c>
      <c r="X584" s="2">
        <v>0.83333333333333304</v>
      </c>
      <c r="Y584" s="2">
        <v>0.600925212577331</v>
      </c>
      <c r="Z584" s="7">
        <v>96.867202661491504</v>
      </c>
      <c r="AA584" s="2">
        <v>9.4588384873328497</v>
      </c>
      <c r="AB584" s="7">
        <v>184.210526315789</v>
      </c>
      <c r="AC584" s="2">
        <v>18.232113763883099</v>
      </c>
      <c r="AD584" s="2">
        <v>94.814814814814795</v>
      </c>
      <c r="AE584" s="2">
        <v>17.777777777777899</v>
      </c>
      <c r="AF584" s="2">
        <v>57.142857142857103</v>
      </c>
      <c r="AG584" s="2">
        <v>28.571428571428498</v>
      </c>
      <c r="AH584" s="2">
        <v>7.0175438596491198</v>
      </c>
      <c r="AI584" s="2">
        <v>12.1547425092552</v>
      </c>
      <c r="AJ584" s="2">
        <v>66.6666666666666</v>
      </c>
      <c r="AK584" s="2">
        <v>115.47005383792499</v>
      </c>
      <c r="AL584" s="2">
        <v>142.85714285714201</v>
      </c>
      <c r="AM584" s="2">
        <v>103.015750727542</v>
      </c>
      <c r="AN584"/>
      <c r="AO584"/>
    </row>
    <row r="585" spans="1:41" ht="15.75" hidden="1" customHeight="1" x14ac:dyDescent="0.45">
      <c r="A585" s="2" t="s">
        <v>149</v>
      </c>
      <c r="B585" s="2" t="s">
        <v>150</v>
      </c>
      <c r="C585" s="2">
        <v>3.0000000000000001E-3</v>
      </c>
      <c r="D585" s="2"/>
      <c r="E585" s="2" t="s">
        <v>85</v>
      </c>
      <c r="F585" s="2" t="s">
        <v>84</v>
      </c>
      <c r="G585" s="2" t="s">
        <v>86</v>
      </c>
      <c r="H585" s="2" t="s">
        <v>87</v>
      </c>
      <c r="I585" s="2">
        <v>3539</v>
      </c>
      <c r="K585" s="2">
        <v>7.3888888888888804</v>
      </c>
      <c r="L585" s="2"/>
      <c r="M585" s="2">
        <v>0.91792842454768497</v>
      </c>
      <c r="N585" s="2">
        <v>359.722222222222</v>
      </c>
      <c r="O585" s="2">
        <v>18.8932184580535</v>
      </c>
      <c r="P585" s="2">
        <v>0.44444444444444398</v>
      </c>
      <c r="Q585" s="2">
        <v>9.6225044864937506E-2</v>
      </c>
      <c r="R585" s="2">
        <v>0.61111111111111105</v>
      </c>
      <c r="S585" s="2">
        <v>9.6225044864937798E-2</v>
      </c>
      <c r="T585" s="2">
        <v>2.5</v>
      </c>
      <c r="U585" s="2">
        <v>0.500000000000003</v>
      </c>
      <c r="V585" s="2">
        <v>0</v>
      </c>
      <c r="W585" s="2">
        <v>0</v>
      </c>
      <c r="X585" s="2">
        <v>0.61111111111111105</v>
      </c>
      <c r="Y585" s="2">
        <v>0.58531409738070705</v>
      </c>
      <c r="Z585" s="7">
        <v>95.670803782505899</v>
      </c>
      <c r="AA585" s="2">
        <v>5.0247921430993596</v>
      </c>
      <c r="AB585" s="7">
        <v>80.606060606060595</v>
      </c>
      <c r="AC585" s="2">
        <v>10.013764631429201</v>
      </c>
      <c r="AD585" s="2">
        <v>64.516129032257993</v>
      </c>
      <c r="AE585" s="2">
        <v>12.903225806451699</v>
      </c>
      <c r="AF585" s="2">
        <v>88.8888888888888</v>
      </c>
      <c r="AG585" s="2">
        <v>19.245008972987499</v>
      </c>
      <c r="AH585" s="2">
        <v>58.6666666666666</v>
      </c>
      <c r="AI585" s="2">
        <v>9.2376043070340295</v>
      </c>
      <c r="AJ585"/>
      <c r="AK585"/>
      <c r="AL585" s="2">
        <v>112.82051282051199</v>
      </c>
      <c r="AM585" s="2">
        <v>108.057987208746</v>
      </c>
      <c r="AN585"/>
      <c r="AO585"/>
    </row>
    <row r="586" spans="1:41" ht="15.75" hidden="1" customHeight="1" x14ac:dyDescent="0.45">
      <c r="A586" s="2" t="s">
        <v>149</v>
      </c>
      <c r="B586" s="2" t="s">
        <v>150</v>
      </c>
      <c r="C586" s="2">
        <v>0.01</v>
      </c>
      <c r="D586" s="2"/>
      <c r="E586" s="2" t="s">
        <v>85</v>
      </c>
      <c r="F586" s="2" t="s">
        <v>84</v>
      </c>
      <c r="G586" s="2" t="s">
        <v>86</v>
      </c>
      <c r="H586" s="2" t="s">
        <v>87</v>
      </c>
      <c r="I586" s="2">
        <v>3539</v>
      </c>
      <c r="K586" s="2">
        <v>7.6111111111111098</v>
      </c>
      <c r="L586" s="2"/>
      <c r="M586" s="2">
        <v>1.2729376930432801</v>
      </c>
      <c r="N586" s="2">
        <v>393.888888888888</v>
      </c>
      <c r="O586" s="2">
        <v>66.054971495409006</v>
      </c>
      <c r="P586" s="2">
        <v>0.33333333333333298</v>
      </c>
      <c r="Q586" s="2">
        <v>0.16666666666666599</v>
      </c>
      <c r="R586" s="2">
        <v>1.55555555555555</v>
      </c>
      <c r="S586" s="2">
        <v>1.5752718754175301</v>
      </c>
      <c r="T586" s="2">
        <v>6.3333333333333304</v>
      </c>
      <c r="U586" s="2">
        <v>4.8218253804964704</v>
      </c>
      <c r="V586" s="2">
        <v>0</v>
      </c>
      <c r="W586" s="2">
        <v>0</v>
      </c>
      <c r="X586" s="2">
        <v>0.61111111111111105</v>
      </c>
      <c r="Y586" s="2">
        <v>0.34694433324435497</v>
      </c>
      <c r="Z586" s="7">
        <v>104.75768321513</v>
      </c>
      <c r="AA586" s="2">
        <v>17.567811567927901</v>
      </c>
      <c r="AB586" s="7">
        <v>83.030303030303003</v>
      </c>
      <c r="AC586" s="2">
        <v>13.886593015017599</v>
      </c>
      <c r="AD586" s="2">
        <v>163.44086021505299</v>
      </c>
      <c r="AE586" s="2">
        <v>124.43420336765099</v>
      </c>
      <c r="AF586" s="2">
        <v>66.6666666666666</v>
      </c>
      <c r="AG586" s="2">
        <v>33.3333333333333</v>
      </c>
      <c r="AH586" s="2">
        <v>149.333333333333</v>
      </c>
      <c r="AI586" s="2">
        <v>151.226100040083</v>
      </c>
      <c r="AJ586"/>
      <c r="AK586"/>
      <c r="AL586" s="2">
        <v>112.82051282051199</v>
      </c>
      <c r="AM586" s="2">
        <v>64.051261522034807</v>
      </c>
      <c r="AN586"/>
      <c r="AO586"/>
    </row>
    <row r="587" spans="1:41" ht="15.75" hidden="1" customHeight="1" x14ac:dyDescent="0.45">
      <c r="A587" s="2" t="s">
        <v>149</v>
      </c>
      <c r="B587" s="2" t="s">
        <v>150</v>
      </c>
      <c r="C587" s="2">
        <v>0.03</v>
      </c>
      <c r="D587" s="2"/>
      <c r="E587" s="2" t="s">
        <v>85</v>
      </c>
      <c r="F587" s="2" t="s">
        <v>84</v>
      </c>
      <c r="G587" s="2" t="s">
        <v>86</v>
      </c>
      <c r="H587" s="2" t="s">
        <v>87</v>
      </c>
      <c r="I587" s="2">
        <v>3539</v>
      </c>
      <c r="K587" s="2">
        <v>6.9444444444444402</v>
      </c>
      <c r="L587" s="2"/>
      <c r="M587" s="2">
        <v>0.25458753860861899</v>
      </c>
      <c r="N587" s="2">
        <v>397.722222222222</v>
      </c>
      <c r="O587" s="2">
        <v>55.005639441518497</v>
      </c>
      <c r="P587" s="2">
        <v>0.38888888888888801</v>
      </c>
      <c r="Q587" s="2">
        <v>9.62250448649377E-2</v>
      </c>
      <c r="R587" s="2">
        <v>1.5</v>
      </c>
      <c r="S587" s="2">
        <v>1.0408329997330601</v>
      </c>
      <c r="T587" s="2">
        <v>3.6111111111111098</v>
      </c>
      <c r="U587" s="2">
        <v>1.3574213025411701</v>
      </c>
      <c r="V587" s="2">
        <v>0</v>
      </c>
      <c r="W587" s="2">
        <v>0</v>
      </c>
      <c r="X587" s="2">
        <v>0.66666666666666596</v>
      </c>
      <c r="Y587" s="2">
        <v>0.44095855184409799</v>
      </c>
      <c r="Z587" s="7">
        <v>105.777186761229</v>
      </c>
      <c r="AA587" s="2">
        <v>14.629159425935701</v>
      </c>
      <c r="AB587" s="7">
        <v>75.757575757575694</v>
      </c>
      <c r="AC587" s="2">
        <v>2.7773186030031201</v>
      </c>
      <c r="AD587" s="2">
        <v>93.1899641577061</v>
      </c>
      <c r="AE587" s="2">
        <v>35.030227162353</v>
      </c>
      <c r="AF587" s="2">
        <v>77.7777777777777</v>
      </c>
      <c r="AG587" s="2">
        <v>19.245008972987499</v>
      </c>
      <c r="AH587" s="2">
        <v>143.99999999999901</v>
      </c>
      <c r="AI587" s="2">
        <v>99.919967974374302</v>
      </c>
      <c r="AJ587"/>
      <c r="AK587"/>
      <c r="AL587" s="2">
        <v>123.07692307692299</v>
      </c>
      <c r="AM587" s="2">
        <v>81.407732648141206</v>
      </c>
      <c r="AN587"/>
      <c r="AO587"/>
    </row>
    <row r="588" spans="1:41" ht="15.75" hidden="1" customHeight="1" x14ac:dyDescent="0.45">
      <c r="A588" s="2" t="s">
        <v>149</v>
      </c>
      <c r="B588" s="2" t="s">
        <v>150</v>
      </c>
      <c r="C588" s="2">
        <v>0.1</v>
      </c>
      <c r="D588" s="2"/>
      <c r="E588" s="2" t="s">
        <v>85</v>
      </c>
      <c r="F588" s="2" t="s">
        <v>84</v>
      </c>
      <c r="G588" s="2" t="s">
        <v>86</v>
      </c>
      <c r="H588" s="2" t="s">
        <v>87</v>
      </c>
      <c r="I588" s="2">
        <v>3539</v>
      </c>
      <c r="K588" s="2">
        <v>6.55555555555555</v>
      </c>
      <c r="L588" s="2"/>
      <c r="M588" s="2">
        <v>1.83585684909536</v>
      </c>
      <c r="N588" s="2">
        <v>366.33333333333297</v>
      </c>
      <c r="O588" s="2">
        <v>63.388353294066299</v>
      </c>
      <c r="P588" s="2">
        <v>0.22222222222222199</v>
      </c>
      <c r="Q588" s="2">
        <v>9.62250448649377E-2</v>
      </c>
      <c r="R588" s="2">
        <v>1.5</v>
      </c>
      <c r="S588" s="2">
        <v>1.20185042515466</v>
      </c>
      <c r="T588" s="2">
        <v>3.05555555555555</v>
      </c>
      <c r="U588" s="2">
        <v>0.34694433324435497</v>
      </c>
      <c r="V588" s="2">
        <v>5.5555555555555497E-2</v>
      </c>
      <c r="W588" s="2">
        <v>9.6225044864937603E-2</v>
      </c>
      <c r="X588" s="2">
        <v>0.61111111111111105</v>
      </c>
      <c r="Y588" s="2">
        <v>0.25458753860865702</v>
      </c>
      <c r="Z588" s="7">
        <v>97.429078014184299</v>
      </c>
      <c r="AA588" s="2">
        <v>16.858604599485702</v>
      </c>
      <c r="AB588" s="7">
        <v>71.515151515151501</v>
      </c>
      <c r="AC588" s="2">
        <v>20.027529262858501</v>
      </c>
      <c r="AD588" s="2">
        <v>78.853046594982004</v>
      </c>
      <c r="AE588" s="2">
        <v>8.9534021482414197</v>
      </c>
      <c r="AF588" s="2">
        <v>44.4444444444444</v>
      </c>
      <c r="AG588" s="2">
        <v>19.245008972987499</v>
      </c>
      <c r="AH588" s="2">
        <v>143.99999999999901</v>
      </c>
      <c r="AI588" s="2">
        <v>115.377640814847</v>
      </c>
      <c r="AJ588"/>
      <c r="AK588"/>
      <c r="AL588" s="2">
        <v>112.82051282051199</v>
      </c>
      <c r="AM588" s="2">
        <v>47.000776358521399</v>
      </c>
      <c r="AN588"/>
      <c r="AO588"/>
    </row>
    <row r="589" spans="1:41" ht="15.75" hidden="1" customHeight="1" x14ac:dyDescent="0.45">
      <c r="A589" s="2" t="s">
        <v>149</v>
      </c>
      <c r="B589" s="2" t="s">
        <v>150</v>
      </c>
      <c r="C589" s="2">
        <v>0.3</v>
      </c>
      <c r="D589" s="2"/>
      <c r="E589" s="2" t="s">
        <v>85</v>
      </c>
      <c r="F589" s="2" t="s">
        <v>84</v>
      </c>
      <c r="G589" s="2" t="s">
        <v>86</v>
      </c>
      <c r="H589" s="2" t="s">
        <v>87</v>
      </c>
      <c r="I589" s="2">
        <v>3539</v>
      </c>
      <c r="K589" s="2">
        <v>7.3333333333333304</v>
      </c>
      <c r="L589" s="2"/>
      <c r="M589" s="2">
        <v>0.57735026918962096</v>
      </c>
      <c r="N589" s="2">
        <v>400.55555555555497</v>
      </c>
      <c r="O589" s="2">
        <v>31.238479357878202</v>
      </c>
      <c r="P589" s="2">
        <v>0.38888888888888801</v>
      </c>
      <c r="Q589" s="2">
        <v>9.6225044864937506E-2</v>
      </c>
      <c r="R589" s="2">
        <v>0.61111111111111105</v>
      </c>
      <c r="S589" s="2">
        <v>0.25458753860865702</v>
      </c>
      <c r="T589" s="2">
        <v>3.2222222222222201</v>
      </c>
      <c r="U589" s="2">
        <v>1.6015039228221699</v>
      </c>
      <c r="V589" s="2">
        <v>0</v>
      </c>
      <c r="W589" s="2">
        <v>0</v>
      </c>
      <c r="X589" s="2">
        <v>0.44444444444444398</v>
      </c>
      <c r="Y589" s="2">
        <v>0.19245008972987501</v>
      </c>
      <c r="Z589" s="7">
        <v>106.53073286052</v>
      </c>
      <c r="AA589" s="2">
        <v>8.3081062122016505</v>
      </c>
      <c r="AB589" s="7">
        <v>80</v>
      </c>
      <c r="AC589" s="2">
        <v>6.2983665729776899</v>
      </c>
      <c r="AD589" s="2">
        <v>83.154121863799205</v>
      </c>
      <c r="AE589" s="2">
        <v>41.3291334921851</v>
      </c>
      <c r="AF589" s="2">
        <v>77.7777777777777</v>
      </c>
      <c r="AG589" s="2">
        <v>19.245008972987499</v>
      </c>
      <c r="AH589" s="2">
        <v>58.6666666666666</v>
      </c>
      <c r="AI589" s="2">
        <v>24.440403706431098</v>
      </c>
      <c r="AJ589"/>
      <c r="AK589"/>
      <c r="AL589" s="2">
        <v>82.051282051282001</v>
      </c>
      <c r="AM589" s="2">
        <v>35.529247334746202</v>
      </c>
      <c r="AN589"/>
      <c r="AO589"/>
    </row>
    <row r="590" spans="1:41" ht="15.75" hidden="1" customHeight="1" x14ac:dyDescent="0.45">
      <c r="A590" s="2" t="s">
        <v>149</v>
      </c>
      <c r="B590" s="2" t="s">
        <v>150</v>
      </c>
      <c r="C590" s="2">
        <v>1</v>
      </c>
      <c r="D590" s="2"/>
      <c r="E590" s="2" t="s">
        <v>85</v>
      </c>
      <c r="F590" s="2" t="s">
        <v>84</v>
      </c>
      <c r="G590" s="2" t="s">
        <v>86</v>
      </c>
      <c r="H590" s="2" t="s">
        <v>87</v>
      </c>
      <c r="I590" s="2">
        <v>3539</v>
      </c>
      <c r="K590" s="2">
        <v>8.2222222222222197</v>
      </c>
      <c r="L590" s="2"/>
      <c r="M590" s="2">
        <v>1.7821127702606101</v>
      </c>
      <c r="N590" s="2">
        <v>384.722222222222</v>
      </c>
      <c r="O590" s="2">
        <v>77.516366252791997</v>
      </c>
      <c r="P590" s="2">
        <v>0.38888888888888801</v>
      </c>
      <c r="Q590" s="2">
        <v>0.25458753860865702</v>
      </c>
      <c r="R590" s="2">
        <v>1.1666666666666601</v>
      </c>
      <c r="S590" s="2">
        <v>0.44095855184409899</v>
      </c>
      <c r="T590" s="2">
        <v>3.9444444444444402</v>
      </c>
      <c r="U590" s="2">
        <v>1.45614915800901</v>
      </c>
      <c r="V590" s="2">
        <v>0</v>
      </c>
      <c r="W590" s="2">
        <v>0</v>
      </c>
      <c r="X590" s="2">
        <v>0.94444444444444398</v>
      </c>
      <c r="Y590" s="2">
        <v>0.25458753860865702</v>
      </c>
      <c r="Z590" s="7">
        <v>102.319739952718</v>
      </c>
      <c r="AA590" s="2">
        <v>20.616054854465901</v>
      </c>
      <c r="AB590" s="7">
        <v>89.696969696969703</v>
      </c>
      <c r="AC590" s="2">
        <v>19.441230221024799</v>
      </c>
      <c r="AD590" s="2">
        <v>101.79211469534</v>
      </c>
      <c r="AE590" s="2">
        <v>37.578042787329402</v>
      </c>
      <c r="AF590" s="2">
        <v>77.7777777777777</v>
      </c>
      <c r="AG590" s="2">
        <v>50.917507721731504</v>
      </c>
      <c r="AH590" s="2">
        <v>111.99999999999901</v>
      </c>
      <c r="AI590" s="2">
        <v>42.332020977033501</v>
      </c>
      <c r="AJ590"/>
      <c r="AK590"/>
      <c r="AL590" s="2">
        <v>174.358974358974</v>
      </c>
      <c r="AM590" s="2">
        <v>47.0007763585213</v>
      </c>
      <c r="AN590"/>
      <c r="AO590"/>
    </row>
    <row r="591" spans="1:41" ht="15.75" hidden="1" customHeight="1" x14ac:dyDescent="0.45">
      <c r="A591" s="2" t="s">
        <v>149</v>
      </c>
      <c r="B591" s="2" t="s">
        <v>150</v>
      </c>
      <c r="C591" s="2">
        <v>3</v>
      </c>
      <c r="D591" s="2"/>
      <c r="E591" s="2" t="s">
        <v>85</v>
      </c>
      <c r="F591" s="2" t="s">
        <v>84</v>
      </c>
      <c r="G591" s="2" t="s">
        <v>86</v>
      </c>
      <c r="H591" s="2" t="s">
        <v>87</v>
      </c>
      <c r="I591" s="2">
        <v>3539</v>
      </c>
      <c r="K591" s="2">
        <v>8.8888888888888893</v>
      </c>
      <c r="L591" s="2"/>
      <c r="M591" s="2">
        <v>2.0838888148345598</v>
      </c>
      <c r="N591" s="2">
        <v>334</v>
      </c>
      <c r="O591" s="2">
        <v>44.0760075828615</v>
      </c>
      <c r="P591" s="2">
        <v>0.44444444444444398</v>
      </c>
      <c r="Q591" s="2">
        <v>0.38490017945975002</v>
      </c>
      <c r="R591" s="2">
        <v>0.61111111111111105</v>
      </c>
      <c r="S591" s="2">
        <v>0.38490017945975002</v>
      </c>
      <c r="T591" s="2">
        <v>2.55555555555555</v>
      </c>
      <c r="U591" s="2">
        <v>0.58531409738070606</v>
      </c>
      <c r="V591" s="2">
        <v>0</v>
      </c>
      <c r="W591" s="2">
        <v>0</v>
      </c>
      <c r="X591" s="2">
        <v>0.77777777777777701</v>
      </c>
      <c r="Y591" s="2">
        <v>0.19245008972987501</v>
      </c>
      <c r="Z591" s="7">
        <v>88.829787234042499</v>
      </c>
      <c r="AA591" s="2">
        <v>11.722342442250399</v>
      </c>
      <c r="AB591" s="7">
        <v>96.969696969696898</v>
      </c>
      <c r="AC591" s="2">
        <v>22.733332525467901</v>
      </c>
      <c r="AD591" s="2">
        <v>65.949820788530403</v>
      </c>
      <c r="AE591" s="2">
        <v>15.1048799324053</v>
      </c>
      <c r="AF591" s="2">
        <v>88.8888888888889</v>
      </c>
      <c r="AG591" s="2">
        <v>76.980035891950095</v>
      </c>
      <c r="AH591" s="2">
        <v>58.6666666666666</v>
      </c>
      <c r="AI591" s="2">
        <v>36.950417228135997</v>
      </c>
      <c r="AJ591"/>
      <c r="AK591"/>
      <c r="AL591" s="2">
        <v>143.58974358974299</v>
      </c>
      <c r="AM591" s="2">
        <v>35.529247334746103</v>
      </c>
      <c r="AN591"/>
      <c r="AO591"/>
    </row>
    <row r="592" spans="1:41" ht="15.75" hidden="1" customHeight="1" x14ac:dyDescent="0.45">
      <c r="A592" s="2" t="s">
        <v>149</v>
      </c>
      <c r="B592" s="2" t="s">
        <v>150</v>
      </c>
      <c r="C592" s="2">
        <v>10</v>
      </c>
      <c r="D592" s="2"/>
      <c r="E592" s="2" t="s">
        <v>85</v>
      </c>
      <c r="F592" s="2" t="s">
        <v>84</v>
      </c>
      <c r="G592" s="2" t="s">
        <v>86</v>
      </c>
      <c r="H592" s="2" t="s">
        <v>87</v>
      </c>
      <c r="I592" s="2">
        <v>3539</v>
      </c>
      <c r="K592" s="2">
        <v>10.2777777777777</v>
      </c>
      <c r="L592" s="2"/>
      <c r="M592" s="2">
        <v>5.1433164110040597</v>
      </c>
      <c r="N592" s="2">
        <v>336.05555555555497</v>
      </c>
      <c r="O592" s="2">
        <v>85.766532797753598</v>
      </c>
      <c r="P592" s="2">
        <v>0.38888888888888801</v>
      </c>
      <c r="Q592" s="2">
        <v>0.34694433324435497</v>
      </c>
      <c r="R592" s="2">
        <v>0.94444444444444398</v>
      </c>
      <c r="S592" s="2">
        <v>9.6225044864937798E-2</v>
      </c>
      <c r="T592" s="2">
        <v>3.7222222222222201</v>
      </c>
      <c r="U592" s="2">
        <v>0.82214714371937303</v>
      </c>
      <c r="V592" s="2">
        <v>0</v>
      </c>
      <c r="W592" s="2">
        <v>0</v>
      </c>
      <c r="X592" s="2">
        <v>0.88888888888888795</v>
      </c>
      <c r="Y592" s="2">
        <v>0.19245008972987501</v>
      </c>
      <c r="Z592" s="7">
        <v>89.376477541371102</v>
      </c>
      <c r="AA592" s="2">
        <v>22.810248084508899</v>
      </c>
      <c r="AB592" s="7">
        <v>112.121212121212</v>
      </c>
      <c r="AC592" s="2">
        <v>56.108906301862397</v>
      </c>
      <c r="AD592" s="2">
        <v>96.057347670250905</v>
      </c>
      <c r="AE592" s="2">
        <v>21.216700483080601</v>
      </c>
      <c r="AF592" s="2">
        <v>77.7777777777777</v>
      </c>
      <c r="AG592" s="2">
        <v>69.388866648871002</v>
      </c>
      <c r="AH592" s="2">
        <v>90.6666666666666</v>
      </c>
      <c r="AI592" s="2">
        <v>9.2376043070340295</v>
      </c>
      <c r="AJ592"/>
      <c r="AK592"/>
      <c r="AL592" s="2">
        <v>164.102564102564</v>
      </c>
      <c r="AM592" s="2">
        <v>35.529247334746103</v>
      </c>
      <c r="AN592"/>
      <c r="AO592"/>
    </row>
    <row r="593" spans="1:41" ht="15.75" hidden="1" customHeight="1" x14ac:dyDescent="0.45">
      <c r="A593" s="2" t="s">
        <v>149</v>
      </c>
      <c r="B593" s="2" t="s">
        <v>150</v>
      </c>
      <c r="C593" s="2">
        <v>3.0000000000000001E-3</v>
      </c>
      <c r="D593" s="2"/>
      <c r="E593" s="2" t="s">
        <v>85</v>
      </c>
      <c r="F593" s="2" t="s">
        <v>84</v>
      </c>
      <c r="G593" s="2" t="s">
        <v>111</v>
      </c>
      <c r="H593" s="2">
        <v>7.1</v>
      </c>
      <c r="I593" s="2">
        <v>3539</v>
      </c>
      <c r="J593" s="2">
        <v>7.1</v>
      </c>
      <c r="K593" s="2">
        <v>3.7777777777777701</v>
      </c>
      <c r="L593" s="2"/>
      <c r="M593" s="2">
        <v>0.69388866648871295</v>
      </c>
      <c r="N593" s="2">
        <v>303.11111111111097</v>
      </c>
      <c r="O593" s="2">
        <v>35.0611898976207</v>
      </c>
      <c r="P593" s="2">
        <v>0.77777777777777701</v>
      </c>
      <c r="Q593" s="2">
        <v>9.6225044864937201E-2</v>
      </c>
      <c r="R593" s="2">
        <v>0.83333333333333304</v>
      </c>
      <c r="S593" s="2">
        <v>0.600925212577331</v>
      </c>
      <c r="T593" s="2">
        <v>3.88888888888888</v>
      </c>
      <c r="U593" s="2">
        <v>1.3368010461684401</v>
      </c>
      <c r="V593" s="2">
        <v>0</v>
      </c>
      <c r="W593" s="2">
        <v>0</v>
      </c>
      <c r="X593" s="2">
        <v>0.55555555555555503</v>
      </c>
      <c r="Y593" s="2">
        <v>0.41943524640392998</v>
      </c>
      <c r="Z593" s="7">
        <v>116.599882459795</v>
      </c>
      <c r="AA593" s="2">
        <v>13.4872344533242</v>
      </c>
      <c r="AB593" s="7">
        <v>86.349206349206298</v>
      </c>
      <c r="AC593" s="2">
        <v>15.860312376884799</v>
      </c>
      <c r="AD593" s="2">
        <v>106.06060606060601</v>
      </c>
      <c r="AE593" s="2">
        <v>36.458210350048297</v>
      </c>
      <c r="AF593" s="2">
        <v>88.8888888888888</v>
      </c>
      <c r="AG593" s="2">
        <v>10.997147984564201</v>
      </c>
      <c r="AH593" s="2">
        <v>1000</v>
      </c>
      <c r="AI593" s="2">
        <v>721.11025509279705</v>
      </c>
      <c r="AJ593" s="2">
        <v>0</v>
      </c>
      <c r="AK593" s="2">
        <v>0</v>
      </c>
      <c r="AL593" s="2">
        <v>148.14814814814801</v>
      </c>
      <c r="AM593" s="2">
        <v>111.849399041048</v>
      </c>
      <c r="AN593"/>
      <c r="AO593"/>
    </row>
    <row r="594" spans="1:41" ht="15.75" hidden="1" customHeight="1" x14ac:dyDescent="0.45">
      <c r="A594" s="2" t="s">
        <v>149</v>
      </c>
      <c r="B594" s="2" t="s">
        <v>150</v>
      </c>
      <c r="C594" s="2">
        <v>0.01</v>
      </c>
      <c r="D594" s="2"/>
      <c r="E594" s="2" t="s">
        <v>85</v>
      </c>
      <c r="F594" s="2" t="s">
        <v>84</v>
      </c>
      <c r="G594" s="2" t="s">
        <v>111</v>
      </c>
      <c r="H594" s="2">
        <v>7.1</v>
      </c>
      <c r="I594" s="2">
        <v>3539</v>
      </c>
      <c r="J594" s="2">
        <v>7.1</v>
      </c>
      <c r="K594" s="2">
        <v>4.4444444444444402</v>
      </c>
      <c r="L594" s="2"/>
      <c r="M594" s="2">
        <v>0.85526690657448201</v>
      </c>
      <c r="N594" s="2">
        <v>268.722222222222</v>
      </c>
      <c r="O594" s="2">
        <v>28.990579568261602</v>
      </c>
      <c r="P594" s="2">
        <v>0.72222222222222199</v>
      </c>
      <c r="Q594" s="2">
        <v>9.6225044864937201E-2</v>
      </c>
      <c r="R594" s="2">
        <v>0.11111111111111099</v>
      </c>
      <c r="S594" s="2">
        <v>9.6225044864937603E-2</v>
      </c>
      <c r="T594" s="2">
        <v>3.3333333333333299</v>
      </c>
      <c r="U594" s="2">
        <v>0.44095855184409599</v>
      </c>
      <c r="V594" s="2">
        <v>0</v>
      </c>
      <c r="W594" s="2">
        <v>0</v>
      </c>
      <c r="X594" s="2">
        <v>0.55555555555555503</v>
      </c>
      <c r="Y594" s="2">
        <v>0.34694433324435497</v>
      </c>
      <c r="Z594" s="7">
        <v>103.37126676283501</v>
      </c>
      <c r="AA594" s="2">
        <v>11.152010091974301</v>
      </c>
      <c r="AB594" s="7">
        <v>101.587301587301</v>
      </c>
      <c r="AC594" s="2">
        <v>19.5489578645596</v>
      </c>
      <c r="AD594" s="2">
        <v>90.909090909090807</v>
      </c>
      <c r="AE594" s="2">
        <v>12.0261423230208</v>
      </c>
      <c r="AF594" s="2">
        <v>82.539682539682502</v>
      </c>
      <c r="AG594" s="2">
        <v>10.997147984564201</v>
      </c>
      <c r="AH594" s="2">
        <v>133.333333333333</v>
      </c>
      <c r="AI594" s="2">
        <v>115.47005383792499</v>
      </c>
      <c r="AJ594" s="2">
        <v>0</v>
      </c>
      <c r="AK594" s="2">
        <v>0</v>
      </c>
      <c r="AL594" s="2">
        <v>148.14814814814801</v>
      </c>
      <c r="AM594" s="2">
        <v>92.518488865161402</v>
      </c>
      <c r="AN594"/>
      <c r="AO594"/>
    </row>
    <row r="595" spans="1:41" ht="15.75" hidden="1" customHeight="1" x14ac:dyDescent="0.45">
      <c r="A595" s="2" t="s">
        <v>149</v>
      </c>
      <c r="B595" s="2" t="s">
        <v>150</v>
      </c>
      <c r="C595" s="2">
        <v>0.03</v>
      </c>
      <c r="D595" s="2"/>
      <c r="E595" s="2" t="s">
        <v>85</v>
      </c>
      <c r="F595" s="2" t="s">
        <v>84</v>
      </c>
      <c r="G595" s="2" t="s">
        <v>111</v>
      </c>
      <c r="H595" s="2">
        <v>7.1</v>
      </c>
      <c r="I595" s="2">
        <v>3539</v>
      </c>
      <c r="J595" s="2">
        <v>7.1</v>
      </c>
      <c r="K595" s="2">
        <v>3.9</v>
      </c>
      <c r="L595" s="2"/>
      <c r="M595" s="2">
        <v>0.79372539331937797</v>
      </c>
      <c r="N595" s="2">
        <v>319.82222222222202</v>
      </c>
      <c r="O595" s="2">
        <v>49.000003779289301</v>
      </c>
      <c r="P595" s="2">
        <v>0.45555555555555499</v>
      </c>
      <c r="Q595" s="2">
        <v>0.333888426695927</v>
      </c>
      <c r="R595" s="2">
        <v>0.3</v>
      </c>
      <c r="S595" s="2">
        <v>0.26457513110645903</v>
      </c>
      <c r="T595" s="2">
        <v>4.3888888888888804</v>
      </c>
      <c r="U595" s="2">
        <v>1.3574213025411801</v>
      </c>
      <c r="V595" s="2">
        <v>0</v>
      </c>
      <c r="W595" s="2">
        <v>0</v>
      </c>
      <c r="X595" s="2">
        <v>0.46666666666666601</v>
      </c>
      <c r="Y595" s="2">
        <v>0.338296385503073</v>
      </c>
      <c r="Z595" s="7">
        <v>123.028263076347</v>
      </c>
      <c r="AA595" s="2">
        <v>18.8491760010088</v>
      </c>
      <c r="AB595" s="7">
        <v>89.142857142857096</v>
      </c>
      <c r="AC595" s="2">
        <v>18.1422947044429</v>
      </c>
      <c r="AD595" s="2">
        <v>119.69696969696901</v>
      </c>
      <c r="AE595" s="2">
        <v>37.020580978395799</v>
      </c>
      <c r="AF595" s="2">
        <v>52.063492063491999</v>
      </c>
      <c r="AG595" s="2">
        <v>38.1586773366773</v>
      </c>
      <c r="AH595" s="2">
        <v>359.99999999999898</v>
      </c>
      <c r="AI595" s="2">
        <v>317.49015732775001</v>
      </c>
      <c r="AJ595" s="2">
        <v>0</v>
      </c>
      <c r="AK595" s="2">
        <v>0</v>
      </c>
      <c r="AL595" s="2">
        <v>124.444444444444</v>
      </c>
      <c r="AM595" s="2">
        <v>90.212369467486297</v>
      </c>
      <c r="AN595"/>
      <c r="AO595"/>
    </row>
    <row r="596" spans="1:41" ht="15.75" hidden="1" customHeight="1" x14ac:dyDescent="0.45">
      <c r="A596" s="2" t="s">
        <v>149</v>
      </c>
      <c r="B596" s="2" t="s">
        <v>150</v>
      </c>
      <c r="C596" s="2">
        <v>0.1</v>
      </c>
      <c r="D596" s="2"/>
      <c r="E596" s="2" t="s">
        <v>85</v>
      </c>
      <c r="F596" s="2" t="s">
        <v>84</v>
      </c>
      <c r="G596" s="2" t="s">
        <v>111</v>
      </c>
      <c r="H596" s="2">
        <v>7.1</v>
      </c>
      <c r="I596" s="2">
        <v>3539</v>
      </c>
      <c r="J596" s="2">
        <v>7.1</v>
      </c>
      <c r="K596" s="2">
        <v>3.7222222222222201</v>
      </c>
      <c r="L596" s="2"/>
      <c r="M596" s="2">
        <v>0.67357531405456195</v>
      </c>
      <c r="N596" s="2">
        <v>290.47777777777702</v>
      </c>
      <c r="O596" s="2">
        <v>51.1189933535615</v>
      </c>
      <c r="P596" s="2">
        <v>0.57777777777777695</v>
      </c>
      <c r="Q596" s="2">
        <v>0.1539600717839</v>
      </c>
      <c r="R596" s="2">
        <v>0.37777777777777699</v>
      </c>
      <c r="S596" s="2">
        <v>0.36565517048676299</v>
      </c>
      <c r="T596" s="2">
        <v>4.0444444444444398</v>
      </c>
      <c r="U596" s="2">
        <v>1.4852359832450599</v>
      </c>
      <c r="V596" s="2">
        <v>0</v>
      </c>
      <c r="W596" s="2">
        <v>0</v>
      </c>
      <c r="X596" s="2">
        <v>0.57777777777777695</v>
      </c>
      <c r="Y596" s="2">
        <v>0.367171369819073</v>
      </c>
      <c r="Z596" s="7">
        <v>111.740129294224</v>
      </c>
      <c r="AA596" s="2">
        <v>19.664302620379502</v>
      </c>
      <c r="AB596" s="7">
        <v>85.079365079365004</v>
      </c>
      <c r="AC596" s="2">
        <v>15.396007178389899</v>
      </c>
      <c r="AD596" s="2">
        <v>110.30303030303</v>
      </c>
      <c r="AE596" s="2">
        <v>40.5064359066835</v>
      </c>
      <c r="AF596" s="2">
        <v>66.031746031745996</v>
      </c>
      <c r="AG596" s="2">
        <v>17.595436775302801</v>
      </c>
      <c r="AH596" s="2">
        <v>453.33333333333297</v>
      </c>
      <c r="AI596" s="2">
        <v>438.78620458411501</v>
      </c>
      <c r="AJ596" s="2">
        <v>0</v>
      </c>
      <c r="AK596" s="2">
        <v>0</v>
      </c>
      <c r="AL596" s="2">
        <v>154.07407407407399</v>
      </c>
      <c r="AM596" s="2">
        <v>97.912365285086196</v>
      </c>
      <c r="AN596"/>
      <c r="AO596"/>
    </row>
    <row r="597" spans="1:41" ht="15.75" hidden="1" customHeight="1" x14ac:dyDescent="0.45">
      <c r="A597" s="2" t="s">
        <v>149</v>
      </c>
      <c r="B597" s="2" t="s">
        <v>150</v>
      </c>
      <c r="C597" s="2">
        <v>0.3</v>
      </c>
      <c r="D597" s="2"/>
      <c r="E597" s="2" t="s">
        <v>85</v>
      </c>
      <c r="F597" s="2" t="s">
        <v>84</v>
      </c>
      <c r="G597" s="2" t="s">
        <v>111</v>
      </c>
      <c r="H597" s="2">
        <v>7.1</v>
      </c>
      <c r="I597" s="2">
        <v>3539</v>
      </c>
      <c r="J597" s="2">
        <v>7.1</v>
      </c>
      <c r="K597" s="2">
        <v>4.1666666666666599</v>
      </c>
      <c r="L597" s="2"/>
      <c r="M597" s="2">
        <v>0.28867513459481697</v>
      </c>
      <c r="N597" s="2">
        <v>316.5</v>
      </c>
      <c r="O597" s="2">
        <v>21.9892650576998</v>
      </c>
      <c r="P597" s="2">
        <v>0.61111111111111105</v>
      </c>
      <c r="Q597" s="2">
        <v>0.19245008972987501</v>
      </c>
      <c r="R597" s="2">
        <v>0.27777777777777701</v>
      </c>
      <c r="S597" s="2">
        <v>0.19245008972987501</v>
      </c>
      <c r="T597" s="2">
        <v>4.3333333333333304</v>
      </c>
      <c r="U597" s="2">
        <v>1.58989866902824</v>
      </c>
      <c r="V597" s="2">
        <v>0</v>
      </c>
      <c r="W597" s="2">
        <v>0</v>
      </c>
      <c r="X597" s="2">
        <v>0.77777777777777701</v>
      </c>
      <c r="Y597" s="2">
        <v>0.25458753860865702</v>
      </c>
      <c r="Z597" s="7">
        <v>121.750280493668</v>
      </c>
      <c r="AA597" s="2">
        <v>8.4587652089244596</v>
      </c>
      <c r="AB597" s="7">
        <v>95.238095238095198</v>
      </c>
      <c r="AC597" s="2">
        <v>6.5982887907386703</v>
      </c>
      <c r="AD597" s="2">
        <v>118.181818181818</v>
      </c>
      <c r="AE597" s="2">
        <v>43.360872791679299</v>
      </c>
      <c r="AF597" s="2">
        <v>69.841269841269806</v>
      </c>
      <c r="AG597" s="2">
        <v>21.994295969128601</v>
      </c>
      <c r="AH597" s="2">
        <v>333.33333333333297</v>
      </c>
      <c r="AI597" s="2">
        <v>230.94010767584999</v>
      </c>
      <c r="AJ597" s="2">
        <v>0</v>
      </c>
      <c r="AK597" s="2">
        <v>0</v>
      </c>
      <c r="AL597" s="2">
        <v>207.40740740740699</v>
      </c>
      <c r="AM597" s="2">
        <v>67.890010295642</v>
      </c>
      <c r="AN597"/>
      <c r="AO597"/>
    </row>
    <row r="598" spans="1:41" ht="15.75" hidden="1" customHeight="1" x14ac:dyDescent="0.45">
      <c r="A598" s="2" t="s">
        <v>149</v>
      </c>
      <c r="B598" s="2" t="s">
        <v>150</v>
      </c>
      <c r="C598" s="2">
        <v>1</v>
      </c>
      <c r="D598" s="2"/>
      <c r="E598" s="2" t="s">
        <v>85</v>
      </c>
      <c r="F598" s="2" t="s">
        <v>84</v>
      </c>
      <c r="G598" s="2" t="s">
        <v>111</v>
      </c>
      <c r="H598" s="2">
        <v>7.1</v>
      </c>
      <c r="I598" s="2">
        <v>3539</v>
      </c>
      <c r="J598" s="2">
        <v>7.1</v>
      </c>
      <c r="K598" s="2">
        <v>4.1111111111111098</v>
      </c>
      <c r="L598" s="2"/>
      <c r="M598" s="2">
        <v>0.63098981620003602</v>
      </c>
      <c r="N598" s="2">
        <v>308.27777777777698</v>
      </c>
      <c r="O598" s="2">
        <v>10.7823587057397</v>
      </c>
      <c r="P598" s="2">
        <v>0.55555555555555503</v>
      </c>
      <c r="Q598" s="2">
        <v>0.19245008972987501</v>
      </c>
      <c r="R598" s="2">
        <v>0.16666666666666599</v>
      </c>
      <c r="S598" s="2">
        <v>0.16666666666666599</v>
      </c>
      <c r="T598" s="2">
        <v>2.5</v>
      </c>
      <c r="U598" s="2">
        <v>0.88191710368819698</v>
      </c>
      <c r="V598" s="2">
        <v>0</v>
      </c>
      <c r="W598" s="2">
        <v>0</v>
      </c>
      <c r="X598" s="2">
        <v>0.83333333333333304</v>
      </c>
      <c r="Y598" s="2">
        <v>0.28867513459481198</v>
      </c>
      <c r="Z598" s="7">
        <v>118.587380456269</v>
      </c>
      <c r="AA598" s="2">
        <v>4.1477257403069796</v>
      </c>
      <c r="AB598" s="7">
        <v>93.968253968253904</v>
      </c>
      <c r="AC598" s="2">
        <v>14.422624370286499</v>
      </c>
      <c r="AD598" s="2">
        <v>68.181818181818102</v>
      </c>
      <c r="AE598" s="2">
        <v>24.052284646041699</v>
      </c>
      <c r="AF598" s="2">
        <v>63.492063492063401</v>
      </c>
      <c r="AG598" s="2">
        <v>21.994295969128601</v>
      </c>
      <c r="AH598" s="2">
        <v>199.99999999999901</v>
      </c>
      <c r="AI598" s="2">
        <v>200</v>
      </c>
      <c r="AJ598" s="2">
        <v>0</v>
      </c>
      <c r="AK598" s="2">
        <v>0</v>
      </c>
      <c r="AL598" s="2">
        <v>222.222222222222</v>
      </c>
      <c r="AM598" s="2">
        <v>76.980035891949996</v>
      </c>
      <c r="AN598"/>
      <c r="AO598"/>
    </row>
    <row r="599" spans="1:41" ht="15.75" hidden="1" customHeight="1" x14ac:dyDescent="0.45">
      <c r="A599" s="2" t="s">
        <v>149</v>
      </c>
      <c r="B599" s="2" t="s">
        <v>150</v>
      </c>
      <c r="C599" s="2">
        <v>3</v>
      </c>
      <c r="D599" s="2"/>
      <c r="E599" s="2" t="s">
        <v>85</v>
      </c>
      <c r="F599" s="2" t="s">
        <v>84</v>
      </c>
      <c r="G599" s="2" t="s">
        <v>111</v>
      </c>
      <c r="H599" s="2">
        <v>7.1</v>
      </c>
      <c r="I599" s="2">
        <v>3539</v>
      </c>
      <c r="J599" s="2">
        <v>7.1</v>
      </c>
      <c r="K599" s="2">
        <v>4.7777777777777697</v>
      </c>
      <c r="L599" s="2"/>
      <c r="M599" s="2">
        <v>1.1706281947614099</v>
      </c>
      <c r="N599" s="2">
        <v>199.388888888888</v>
      </c>
      <c r="O599" s="2">
        <v>96.486230067261801</v>
      </c>
      <c r="P599" s="2">
        <v>0.61111111111111105</v>
      </c>
      <c r="Q599" s="2">
        <v>0.19245008972987501</v>
      </c>
      <c r="R599" s="2">
        <v>0.61111111111111105</v>
      </c>
      <c r="S599" s="2">
        <v>0.19245008972987501</v>
      </c>
      <c r="T599" s="2">
        <v>7.9444444444444402</v>
      </c>
      <c r="U599" s="2">
        <v>2.8398617598071199</v>
      </c>
      <c r="V599" s="2">
        <v>0</v>
      </c>
      <c r="W599" s="2">
        <v>0</v>
      </c>
      <c r="X599" s="2">
        <v>3.1666666666666599</v>
      </c>
      <c r="Y599" s="2">
        <v>2.2422706745122798</v>
      </c>
      <c r="Z599" s="7">
        <v>76.700325906929507</v>
      </c>
      <c r="AA599" s="2">
        <v>37.116036570192101</v>
      </c>
      <c r="AB599" s="7">
        <v>109.206349206349</v>
      </c>
      <c r="AC599" s="2">
        <v>26.757215880260802</v>
      </c>
      <c r="AD599" s="2">
        <v>216.666666666666</v>
      </c>
      <c r="AE599" s="2">
        <v>77.450775267466994</v>
      </c>
      <c r="AF599" s="2">
        <v>69.841269841269806</v>
      </c>
      <c r="AG599" s="2">
        <v>21.994295969128601</v>
      </c>
      <c r="AH599" s="2">
        <v>733.33333333333303</v>
      </c>
      <c r="AI599" s="2">
        <v>230.94010767584999</v>
      </c>
      <c r="AJ599" s="2">
        <v>0</v>
      </c>
      <c r="AK599" s="2">
        <v>0</v>
      </c>
      <c r="AL599" s="2">
        <v>844.444444444444</v>
      </c>
      <c r="AM599" s="2">
        <v>597.93884653660905</v>
      </c>
      <c r="AN599"/>
      <c r="AO599"/>
    </row>
    <row r="600" spans="1:41" ht="15.75" hidden="1" customHeight="1" x14ac:dyDescent="0.45">
      <c r="A600" s="2" t="s">
        <v>149</v>
      </c>
      <c r="B600" s="2" t="s">
        <v>150</v>
      </c>
      <c r="C600" s="2">
        <v>10</v>
      </c>
      <c r="D600" s="2"/>
      <c r="E600" s="2" t="s">
        <v>85</v>
      </c>
      <c r="F600" s="2" t="s">
        <v>84</v>
      </c>
      <c r="G600" s="2" t="s">
        <v>111</v>
      </c>
      <c r="H600" s="2">
        <v>7.1</v>
      </c>
      <c r="I600" s="2">
        <v>3539</v>
      </c>
      <c r="J600" s="2">
        <v>7.1</v>
      </c>
      <c r="K600" s="2">
        <v>0</v>
      </c>
      <c r="L600" s="2"/>
      <c r="M600" s="2">
        <v>0</v>
      </c>
      <c r="N600" s="2">
        <v>98.6111111111111</v>
      </c>
      <c r="O600" s="2">
        <v>11.6623007703993</v>
      </c>
      <c r="P600" s="2">
        <v>0</v>
      </c>
      <c r="Q600" s="2">
        <v>0</v>
      </c>
      <c r="R600" s="2">
        <v>1.8333333333333299</v>
      </c>
      <c r="S600" s="2">
        <v>2.3629078131262999</v>
      </c>
      <c r="T600" s="2">
        <v>77.0555555555555</v>
      </c>
      <c r="U600" s="2">
        <v>0.58531409738110995</v>
      </c>
      <c r="V600" s="2">
        <v>0</v>
      </c>
      <c r="W600" s="2">
        <v>0</v>
      </c>
      <c r="X600" s="2">
        <v>1</v>
      </c>
      <c r="Y600" s="2">
        <v>0.499999999999999</v>
      </c>
      <c r="Z600" s="7">
        <v>37.933429502591203</v>
      </c>
      <c r="AA600" s="2">
        <v>4.4862192416987403</v>
      </c>
      <c r="AB600" s="7">
        <v>0</v>
      </c>
      <c r="AC600" s="2">
        <v>0</v>
      </c>
      <c r="AD600" s="2">
        <v>2101.5151515151501</v>
      </c>
      <c r="AE600" s="2">
        <v>15.9631117467575</v>
      </c>
      <c r="AF600" s="2">
        <v>0</v>
      </c>
      <c r="AG600" s="2">
        <v>0</v>
      </c>
      <c r="AH600" s="2">
        <v>2200</v>
      </c>
      <c r="AI600" s="2">
        <v>2835.4893757515601</v>
      </c>
      <c r="AJ600" s="2">
        <v>0</v>
      </c>
      <c r="AK600" s="2">
        <v>0</v>
      </c>
      <c r="AL600" s="2">
        <v>266.666666666666</v>
      </c>
      <c r="AM600" s="2">
        <v>133.333333333333</v>
      </c>
      <c r="AN600"/>
      <c r="AO600"/>
    </row>
    <row r="601" spans="1:41" ht="15.75" hidden="1" customHeight="1" x14ac:dyDescent="0.45">
      <c r="A601" s="2" t="s">
        <v>149</v>
      </c>
      <c r="B601" s="2" t="s">
        <v>150</v>
      </c>
      <c r="C601" s="2">
        <v>3.0000000000000001E-3</v>
      </c>
      <c r="D601" s="2"/>
      <c r="E601" s="2" t="s">
        <v>85</v>
      </c>
      <c r="F601" s="2" t="s">
        <v>84</v>
      </c>
      <c r="G601" s="2" t="s">
        <v>86</v>
      </c>
      <c r="H601" s="2">
        <v>9.8000000000000007</v>
      </c>
      <c r="I601" s="2">
        <v>3539</v>
      </c>
      <c r="J601" s="2">
        <v>9.8000000000000007</v>
      </c>
      <c r="K601" s="2">
        <v>4.3888888888888804</v>
      </c>
      <c r="L601" s="2"/>
      <c r="M601" s="2">
        <v>0.67357531405456506</v>
      </c>
      <c r="N601" s="2">
        <v>389.888888888888</v>
      </c>
      <c r="O601" s="2">
        <v>29.332544181303899</v>
      </c>
      <c r="P601" s="2">
        <v>0.66666666666666596</v>
      </c>
      <c r="Q601" s="2">
        <v>0.16666666666666699</v>
      </c>
      <c r="R601" s="2">
        <v>0.88888888888888795</v>
      </c>
      <c r="S601" s="2">
        <v>0.75154162547048198</v>
      </c>
      <c r="T601" s="2">
        <v>3.4444444444444402</v>
      </c>
      <c r="U601" s="2">
        <v>1.1824331474329299</v>
      </c>
      <c r="V601" s="2">
        <v>0</v>
      </c>
      <c r="W601" s="2">
        <v>0</v>
      </c>
      <c r="X601" s="2">
        <v>0.61111111111111105</v>
      </c>
      <c r="Y601" s="2">
        <v>0.50917507721731503</v>
      </c>
      <c r="Z601" s="7">
        <v>108.15225766682001</v>
      </c>
      <c r="AA601" s="2">
        <v>8.1366280669358897</v>
      </c>
      <c r="AB601" s="7">
        <v>75.7793764988009</v>
      </c>
      <c r="AC601" s="2">
        <v>11.6300773649709</v>
      </c>
      <c r="AD601" s="2">
        <v>85.223367697594497</v>
      </c>
      <c r="AE601" s="2">
        <v>29.256077874629199</v>
      </c>
      <c r="AF601" s="2">
        <v>66.6666666666666</v>
      </c>
      <c r="AG601" s="2">
        <v>16.6666666666667</v>
      </c>
      <c r="AH601" s="2">
        <v>68.817204301075193</v>
      </c>
      <c r="AI601" s="2">
        <v>58.183867778359897</v>
      </c>
      <c r="AJ601"/>
      <c r="AK601"/>
      <c r="AL601" s="2">
        <v>104.76190476190401</v>
      </c>
      <c r="AM601" s="2">
        <v>87.287156094396906</v>
      </c>
      <c r="AN601"/>
      <c r="AO601"/>
    </row>
    <row r="602" spans="1:41" ht="15.75" hidden="1" customHeight="1" x14ac:dyDescent="0.45">
      <c r="A602" s="2" t="s">
        <v>149</v>
      </c>
      <c r="B602" s="2" t="s">
        <v>150</v>
      </c>
      <c r="C602" s="2">
        <v>0.01</v>
      </c>
      <c r="D602" s="2"/>
      <c r="E602" s="2" t="s">
        <v>85</v>
      </c>
      <c r="F602" s="2" t="s">
        <v>84</v>
      </c>
      <c r="G602" s="2" t="s">
        <v>86</v>
      </c>
      <c r="H602" s="2">
        <v>9.8000000000000007</v>
      </c>
      <c r="I602" s="2">
        <v>3539</v>
      </c>
      <c r="J602" s="2">
        <v>9.8000000000000007</v>
      </c>
      <c r="K602" s="2">
        <v>4.7222222222222197</v>
      </c>
      <c r="L602" s="2"/>
      <c r="M602" s="2">
        <v>1.0715167512214401</v>
      </c>
      <c r="N602" s="2">
        <v>377.222222222222</v>
      </c>
      <c r="O602" s="2">
        <v>40.5056008930083</v>
      </c>
      <c r="P602" s="2">
        <v>0.66666666666666596</v>
      </c>
      <c r="Q602" s="2">
        <v>1.05367121277235E-8</v>
      </c>
      <c r="R602" s="2">
        <v>0.55555555555555503</v>
      </c>
      <c r="S602" s="2">
        <v>0.19245008972987501</v>
      </c>
      <c r="T602" s="2">
        <v>4.2777777777777697</v>
      </c>
      <c r="U602" s="2">
        <v>0.67357531405457005</v>
      </c>
      <c r="V602" s="2">
        <v>0</v>
      </c>
      <c r="W602" s="2">
        <v>0</v>
      </c>
      <c r="X602" s="2">
        <v>0.72222222222222199</v>
      </c>
      <c r="Y602" s="2">
        <v>0.19245008972987501</v>
      </c>
      <c r="Z602" s="7">
        <v>104.63861920172501</v>
      </c>
      <c r="AA602" s="2">
        <v>11.235950317061899</v>
      </c>
      <c r="AB602" s="7">
        <v>81.534772182254201</v>
      </c>
      <c r="AC602" s="2">
        <v>18.501008654183099</v>
      </c>
      <c r="AD602" s="2">
        <v>105.841924398625</v>
      </c>
      <c r="AE602" s="2">
        <v>16.665780966298598</v>
      </c>
      <c r="AF602" s="2">
        <v>66.6666666666666</v>
      </c>
      <c r="AG602" s="2">
        <v>1.05367121277235E-6</v>
      </c>
      <c r="AH602" s="2">
        <v>43.010752688171998</v>
      </c>
      <c r="AI602" s="2">
        <v>14.8993617855387</v>
      </c>
      <c r="AJ602"/>
      <c r="AK602"/>
      <c r="AL602" s="2">
        <v>123.809523809523</v>
      </c>
      <c r="AM602" s="2">
        <v>32.991443953692801</v>
      </c>
      <c r="AN602"/>
      <c r="AO602"/>
    </row>
    <row r="603" spans="1:41" ht="15.75" hidden="1" customHeight="1" x14ac:dyDescent="0.45">
      <c r="A603" s="2" t="s">
        <v>149</v>
      </c>
      <c r="B603" s="2" t="s">
        <v>150</v>
      </c>
      <c r="C603" s="2">
        <v>0.03</v>
      </c>
      <c r="D603" s="2"/>
      <c r="E603" s="2" t="s">
        <v>85</v>
      </c>
      <c r="F603" s="2" t="s">
        <v>84</v>
      </c>
      <c r="G603" s="2" t="s">
        <v>86</v>
      </c>
      <c r="H603" s="2">
        <v>9.8000000000000007</v>
      </c>
      <c r="I603" s="2">
        <v>3539</v>
      </c>
      <c r="J603" s="2">
        <v>9.8000000000000007</v>
      </c>
      <c r="K603" s="2">
        <v>5.05555555555555</v>
      </c>
      <c r="L603" s="2"/>
      <c r="M603" s="2">
        <v>0.34694433324434998</v>
      </c>
      <c r="N603" s="2">
        <v>376.388888888888</v>
      </c>
      <c r="O603" s="2">
        <v>25.025727502652501</v>
      </c>
      <c r="P603" s="2">
        <v>0.77777777777777701</v>
      </c>
      <c r="Q603" s="2">
        <v>0.34694433324435497</v>
      </c>
      <c r="R603" s="2">
        <v>0.88888888888888895</v>
      </c>
      <c r="S603" s="2">
        <v>0.53575837561072004</v>
      </c>
      <c r="T603" s="2">
        <v>3.55555555555555</v>
      </c>
      <c r="U603" s="2">
        <v>0.67357531405456506</v>
      </c>
      <c r="V603" s="2">
        <v>0</v>
      </c>
      <c r="W603" s="2">
        <v>0</v>
      </c>
      <c r="X603" s="2">
        <v>0.88888888888888895</v>
      </c>
      <c r="Y603" s="2">
        <v>0.25458753860865702</v>
      </c>
      <c r="Z603" s="7">
        <v>104.40745877639</v>
      </c>
      <c r="AA603" s="2">
        <v>6.9419493766026497</v>
      </c>
      <c r="AB603" s="7">
        <v>87.290167865707403</v>
      </c>
      <c r="AC603" s="2">
        <v>5.9904057538592799</v>
      </c>
      <c r="AD603" s="2">
        <v>87.972508591065306</v>
      </c>
      <c r="AE603" s="2">
        <v>16.665780966298499</v>
      </c>
      <c r="AF603" s="2">
        <v>77.7777777777777</v>
      </c>
      <c r="AG603" s="2">
        <v>34.694433324435501</v>
      </c>
      <c r="AH603" s="2">
        <v>68.817204301075193</v>
      </c>
      <c r="AI603" s="2">
        <v>41.478067789217</v>
      </c>
      <c r="AJ603"/>
      <c r="AK603"/>
      <c r="AL603" s="2">
        <v>152.38095238095201</v>
      </c>
      <c r="AM603" s="2">
        <v>43.643578047198403</v>
      </c>
      <c r="AN603"/>
      <c r="AO603"/>
    </row>
    <row r="604" spans="1:41" ht="15.75" hidden="1" customHeight="1" x14ac:dyDescent="0.45">
      <c r="A604" s="2" t="s">
        <v>149</v>
      </c>
      <c r="B604" s="2" t="s">
        <v>150</v>
      </c>
      <c r="C604" s="2">
        <v>0.1</v>
      </c>
      <c r="D604" s="2"/>
      <c r="E604" s="2" t="s">
        <v>85</v>
      </c>
      <c r="F604" s="2" t="s">
        <v>84</v>
      </c>
      <c r="G604" s="2" t="s">
        <v>86</v>
      </c>
      <c r="H604" s="2">
        <v>9.8000000000000007</v>
      </c>
      <c r="I604" s="2">
        <v>3539</v>
      </c>
      <c r="J604" s="2">
        <v>9.8000000000000007</v>
      </c>
      <c r="K604" s="2">
        <v>4.98888888888888</v>
      </c>
      <c r="L604" s="2"/>
      <c r="M604" s="2">
        <v>0.74560440310256504</v>
      </c>
      <c r="N604" s="2">
        <v>414.5</v>
      </c>
      <c r="O604" s="2">
        <v>42.597274299863798</v>
      </c>
      <c r="P604" s="2">
        <v>0.72222222222222199</v>
      </c>
      <c r="Q604" s="2">
        <v>0.25458753860865702</v>
      </c>
      <c r="R604" s="2">
        <v>0.73333333333333295</v>
      </c>
      <c r="S604" s="2">
        <v>0.4371625682868</v>
      </c>
      <c r="T604" s="2">
        <v>4.1555555555555497</v>
      </c>
      <c r="U604" s="2">
        <v>0.58245966320360198</v>
      </c>
      <c r="V604" s="2">
        <v>6.6666666666666596E-2</v>
      </c>
      <c r="W604" s="2">
        <v>0.115470053837925</v>
      </c>
      <c r="X604" s="2">
        <v>0.71111111111111103</v>
      </c>
      <c r="Y604" s="2">
        <v>7.6980035891949794E-2</v>
      </c>
      <c r="Z604" s="7">
        <v>114.979195561719</v>
      </c>
      <c r="AA604" s="2">
        <v>11.816164854331101</v>
      </c>
      <c r="AB604" s="7">
        <v>86.139088729016706</v>
      </c>
      <c r="AC604" s="2">
        <v>12.8737450895407</v>
      </c>
      <c r="AD604" s="2">
        <v>102.817869415807</v>
      </c>
      <c r="AE604" s="2">
        <v>14.4113731101922</v>
      </c>
      <c r="AF604" s="2">
        <v>72.2222222222222</v>
      </c>
      <c r="AG604" s="2">
        <v>25.458753860865698</v>
      </c>
      <c r="AH604" s="2">
        <v>56.774193548386997</v>
      </c>
      <c r="AI604" s="2">
        <v>33.844843996397401</v>
      </c>
      <c r="AJ604"/>
      <c r="AK604"/>
      <c r="AL604" s="2">
        <v>121.904761904761</v>
      </c>
      <c r="AM604" s="2">
        <v>13.196577581477101</v>
      </c>
      <c r="AN604"/>
      <c r="AO604"/>
    </row>
    <row r="605" spans="1:41" ht="15.75" hidden="1" customHeight="1" x14ac:dyDescent="0.45">
      <c r="A605" s="2" t="s">
        <v>149</v>
      </c>
      <c r="B605" s="2" t="s">
        <v>150</v>
      </c>
      <c r="C605" s="2">
        <v>0.3</v>
      </c>
      <c r="D605" s="2"/>
      <c r="E605" s="2" t="s">
        <v>85</v>
      </c>
      <c r="F605" s="2" t="s">
        <v>84</v>
      </c>
      <c r="G605" s="2" t="s">
        <v>86</v>
      </c>
      <c r="H605" s="2">
        <v>9.8000000000000007</v>
      </c>
      <c r="I605" s="2">
        <v>3539</v>
      </c>
      <c r="J605" s="2">
        <v>9.8000000000000007</v>
      </c>
      <c r="K605" s="2">
        <v>4.93333333333333</v>
      </c>
      <c r="L605" s="2"/>
      <c r="M605" s="2">
        <v>0.513160143944697</v>
      </c>
      <c r="N605" s="2">
        <v>391.48888888888803</v>
      </c>
      <c r="O605" s="2">
        <v>37.235740497141002</v>
      </c>
      <c r="P605" s="2">
        <v>0.64444444444444404</v>
      </c>
      <c r="Q605" s="2">
        <v>0.171053381314895</v>
      </c>
      <c r="R605" s="2">
        <v>1.31111111111111</v>
      </c>
      <c r="S605" s="2">
        <v>1.6214990777855101</v>
      </c>
      <c r="T605" s="2">
        <v>3.57777777777777</v>
      </c>
      <c r="U605" s="2">
        <v>1.1359447039228501</v>
      </c>
      <c r="V605" s="2">
        <v>0</v>
      </c>
      <c r="W605" s="2">
        <v>0</v>
      </c>
      <c r="X605" s="2">
        <v>0.83333333333333304</v>
      </c>
      <c r="Y605" s="2">
        <v>0.44095855184409799</v>
      </c>
      <c r="Z605" s="7">
        <v>108.596085683464</v>
      </c>
      <c r="AA605" s="2">
        <v>10.3289155331875</v>
      </c>
      <c r="AB605" s="7">
        <v>85.179856115107896</v>
      </c>
      <c r="AC605" s="2">
        <v>8.8603190321386496</v>
      </c>
      <c r="AD605" s="2">
        <v>88.522336769759406</v>
      </c>
      <c r="AE605" s="2">
        <v>28.105848344482801</v>
      </c>
      <c r="AF605" s="2">
        <v>64.4444444444444</v>
      </c>
      <c r="AG605" s="2">
        <v>17.1053381314895</v>
      </c>
      <c r="AH605" s="2">
        <v>101.505376344086</v>
      </c>
      <c r="AI605" s="2">
        <v>125.53541247371599</v>
      </c>
      <c r="AJ605"/>
      <c r="AK605"/>
      <c r="AL605" s="2">
        <v>142.85714285714201</v>
      </c>
      <c r="AM605" s="2">
        <v>75.592894601845401</v>
      </c>
      <c r="AN605"/>
      <c r="AO605"/>
    </row>
    <row r="606" spans="1:41" ht="15.75" hidden="1" customHeight="1" x14ac:dyDescent="0.45">
      <c r="A606" s="2" t="s">
        <v>149</v>
      </c>
      <c r="B606" s="2" t="s">
        <v>150</v>
      </c>
      <c r="C606" s="2">
        <v>1</v>
      </c>
      <c r="D606" s="2"/>
      <c r="E606" s="2" t="s">
        <v>85</v>
      </c>
      <c r="F606" s="2" t="s">
        <v>84</v>
      </c>
      <c r="G606" s="2" t="s">
        <v>86</v>
      </c>
      <c r="H606" s="2">
        <v>9.8000000000000007</v>
      </c>
      <c r="I606" s="2">
        <v>3539</v>
      </c>
      <c r="J606" s="2">
        <v>9.8000000000000007</v>
      </c>
      <c r="K606" s="2">
        <v>4.7777777777777697</v>
      </c>
      <c r="L606" s="2"/>
      <c r="M606" s="2">
        <v>0.34694433324433899</v>
      </c>
      <c r="N606" s="2">
        <v>364.722222222222</v>
      </c>
      <c r="O606" s="2">
        <v>33.871625839883301</v>
      </c>
      <c r="P606" s="2">
        <v>1.05555555555555</v>
      </c>
      <c r="Q606" s="2">
        <v>0.38490017945975002</v>
      </c>
      <c r="R606" s="2">
        <v>0.55555555555555503</v>
      </c>
      <c r="S606" s="2">
        <v>0.53575837561071904</v>
      </c>
      <c r="T606" s="2">
        <v>2.88888888888888</v>
      </c>
      <c r="U606" s="2">
        <v>1.1097213530798899</v>
      </c>
      <c r="V606" s="2">
        <v>0</v>
      </c>
      <c r="W606" s="2">
        <v>0</v>
      </c>
      <c r="X606" s="2">
        <v>0.72222222222222199</v>
      </c>
      <c r="Y606" s="2">
        <v>0.19245008972987501</v>
      </c>
      <c r="Z606" s="7">
        <v>101.17121282169801</v>
      </c>
      <c r="AA606" s="2">
        <v>9.3957353231298999</v>
      </c>
      <c r="AB606" s="7">
        <v>82.494004796162997</v>
      </c>
      <c r="AC606" s="2">
        <v>5.9904057538590996</v>
      </c>
      <c r="AD606" s="2">
        <v>71.477663230240495</v>
      </c>
      <c r="AE606" s="2">
        <v>27.457023168987099</v>
      </c>
      <c r="AF606" s="2">
        <v>105.555555555555</v>
      </c>
      <c r="AG606" s="2">
        <v>38.490017945974998</v>
      </c>
      <c r="AH606" s="2">
        <v>43.010752688171998</v>
      </c>
      <c r="AI606" s="2">
        <v>41.478067789217</v>
      </c>
      <c r="AJ606"/>
      <c r="AK606"/>
      <c r="AL606" s="2">
        <v>123.809523809523</v>
      </c>
      <c r="AM606" s="2">
        <v>32.991443953692901</v>
      </c>
      <c r="AN606"/>
      <c r="AO606"/>
    </row>
    <row r="607" spans="1:41" ht="15.75" hidden="1" customHeight="1" x14ac:dyDescent="0.45">
      <c r="A607" s="2" t="s">
        <v>149</v>
      </c>
      <c r="B607" s="2" t="s">
        <v>150</v>
      </c>
      <c r="C607" s="2">
        <v>3</v>
      </c>
      <c r="D607" s="2"/>
      <c r="E607" s="2" t="s">
        <v>85</v>
      </c>
      <c r="F607" s="2" t="s">
        <v>84</v>
      </c>
      <c r="G607" s="2" t="s">
        <v>86</v>
      </c>
      <c r="H607" s="2">
        <v>9.8000000000000007</v>
      </c>
      <c r="I607" s="2">
        <v>3539</v>
      </c>
      <c r="J607" s="2">
        <v>9.8000000000000007</v>
      </c>
      <c r="K607" s="2">
        <v>6.7777777777777697</v>
      </c>
      <c r="L607" s="2"/>
      <c r="M607" s="2">
        <v>1.1097213530798899</v>
      </c>
      <c r="N607" s="2">
        <v>369.05555555555497</v>
      </c>
      <c r="O607" s="2">
        <v>16.104117255925001</v>
      </c>
      <c r="P607" s="2">
        <v>0.61111111111111105</v>
      </c>
      <c r="Q607" s="2">
        <v>0.25458753860865702</v>
      </c>
      <c r="R607" s="2">
        <v>0.66666666666666596</v>
      </c>
      <c r="S607" s="2">
        <v>1.05367121277235E-8</v>
      </c>
      <c r="T607" s="2">
        <v>3.1111111111111098</v>
      </c>
      <c r="U607" s="2">
        <v>0.25458753860865702</v>
      </c>
      <c r="V607" s="2">
        <v>0</v>
      </c>
      <c r="W607" s="2">
        <v>0</v>
      </c>
      <c r="X607" s="2">
        <v>0.72222222222222199</v>
      </c>
      <c r="Y607" s="2">
        <v>9.6225044864937201E-2</v>
      </c>
      <c r="Z607" s="7">
        <v>102.373247033441</v>
      </c>
      <c r="AA607" s="2">
        <v>4.4671615134327496</v>
      </c>
      <c r="AB607" s="7">
        <v>117.02637889688199</v>
      </c>
      <c r="AC607" s="2">
        <v>19.160656456055801</v>
      </c>
      <c r="AD607" s="2">
        <v>76.975945017182099</v>
      </c>
      <c r="AE607" s="2">
        <v>6.2990731202142101</v>
      </c>
      <c r="AF607" s="2">
        <v>61.1111111111111</v>
      </c>
      <c r="AG607" s="2">
        <v>25.458753860865698</v>
      </c>
      <c r="AH607" s="2">
        <v>51.612903225806399</v>
      </c>
      <c r="AI607" s="2">
        <v>8.1574545504956097E-7</v>
      </c>
      <c r="AJ607"/>
      <c r="AK607"/>
      <c r="AL607" s="2">
        <v>123.809523809523</v>
      </c>
      <c r="AM607" s="2">
        <v>16.495721976846301</v>
      </c>
      <c r="AN607"/>
      <c r="AO607"/>
    </row>
    <row r="608" spans="1:41" ht="15.75" hidden="1" customHeight="1" x14ac:dyDescent="0.45">
      <c r="A608" s="2" t="s">
        <v>149</v>
      </c>
      <c r="B608" s="2" t="s">
        <v>150</v>
      </c>
      <c r="C608" s="2">
        <v>10</v>
      </c>
      <c r="D608" s="2"/>
      <c r="E608" s="2" t="s">
        <v>85</v>
      </c>
      <c r="F608" s="2" t="s">
        <v>84</v>
      </c>
      <c r="G608" s="2" t="s">
        <v>86</v>
      </c>
      <c r="H608" s="2">
        <v>9.8000000000000007</v>
      </c>
      <c r="I608" s="2">
        <v>3539</v>
      </c>
      <c r="J608" s="2">
        <v>9.8000000000000007</v>
      </c>
      <c r="K608" s="2">
        <v>2.1111111111111098</v>
      </c>
      <c r="L608" s="2"/>
      <c r="M608" s="2">
        <v>2.8349668493717899</v>
      </c>
      <c r="N608" s="2">
        <v>144.444444444444</v>
      </c>
      <c r="O608" s="2">
        <v>39.415991302647299</v>
      </c>
      <c r="P608" s="2">
        <v>0.11111111111111099</v>
      </c>
      <c r="Q608" s="2">
        <v>9.6225044864937603E-2</v>
      </c>
      <c r="R608" s="2">
        <v>0.33333333333333298</v>
      </c>
      <c r="S608" s="2">
        <v>0.16666666666666599</v>
      </c>
      <c r="T608" s="2">
        <v>56.7222222222222</v>
      </c>
      <c r="U608" s="2">
        <v>26.550441162548001</v>
      </c>
      <c r="V608" s="2">
        <v>0</v>
      </c>
      <c r="W608" s="2">
        <v>0</v>
      </c>
      <c r="X608" s="2">
        <v>2.3333333333333299</v>
      </c>
      <c r="Y608" s="2">
        <v>0.500000000000001</v>
      </c>
      <c r="Z608" s="7">
        <v>40.067807058098303</v>
      </c>
      <c r="AA608" s="2">
        <v>10.9337007774333</v>
      </c>
      <c r="AB608" s="7">
        <v>36.4508393285371</v>
      </c>
      <c r="AC608" s="2">
        <v>48.9490679028223</v>
      </c>
      <c r="AD608" s="2">
        <v>1403.43642611683</v>
      </c>
      <c r="AE608" s="2">
        <v>656.91813185685896</v>
      </c>
      <c r="AF608" s="2">
        <v>11.1111111111111</v>
      </c>
      <c r="AG608" s="2">
        <v>9.6225044864937601</v>
      </c>
      <c r="AH608" s="2">
        <v>25.806451612903199</v>
      </c>
      <c r="AI608" s="2">
        <v>12.9032258064516</v>
      </c>
      <c r="AJ608"/>
      <c r="AK608"/>
      <c r="AL608" s="2">
        <v>400</v>
      </c>
      <c r="AM608" s="2">
        <v>85.714285714286007</v>
      </c>
      <c r="AN608"/>
      <c r="AO608"/>
    </row>
    <row r="609" spans="1:41" ht="15.75" hidden="1" customHeight="1" x14ac:dyDescent="0.45">
      <c r="A609" s="2" t="s">
        <v>151</v>
      </c>
      <c r="B609" s="2" t="s">
        <v>152</v>
      </c>
      <c r="C609" s="2">
        <v>3.0000000000000001E-3</v>
      </c>
      <c r="D609" s="2"/>
      <c r="E609" s="2" t="s">
        <v>83</v>
      </c>
      <c r="F609" s="2" t="s">
        <v>84</v>
      </c>
      <c r="H609" s="2">
        <v>8.1</v>
      </c>
      <c r="J609" s="2">
        <v>8.1360565279999992</v>
      </c>
      <c r="K609" s="2">
        <v>40.153718711111097</v>
      </c>
      <c r="L609" s="2"/>
      <c r="M609" s="2">
        <v>2.5378289475112301</v>
      </c>
      <c r="N609" s="2">
        <v>269.5</v>
      </c>
      <c r="O609" s="2">
        <v>12.8484759148057</v>
      </c>
      <c r="P609" s="2">
        <v>31.356390388888801</v>
      </c>
      <c r="Q609" s="2">
        <v>0.97256928711402801</v>
      </c>
      <c r="R609" s="2">
        <v>3.4206710167777699</v>
      </c>
      <c r="S609" s="2">
        <v>0.74693070607951695</v>
      </c>
      <c r="T609" s="2">
        <v>3.9350835158333299</v>
      </c>
      <c r="U609" s="2">
        <v>0.78010331720622195</v>
      </c>
      <c r="V609" s="2">
        <v>0.38293918783333297</v>
      </c>
      <c r="W609" s="2">
        <v>1.5579586030849199E-2</v>
      </c>
      <c r="X609" s="2">
        <v>3.83213312572222</v>
      </c>
      <c r="Y609" s="2">
        <v>0.410287901105861</v>
      </c>
      <c r="Z609" s="7">
        <v>96.633466135458093</v>
      </c>
      <c r="AA609" s="2">
        <v>4.6070232363845198</v>
      </c>
      <c r="AB609" s="7">
        <v>100.584919763377</v>
      </c>
      <c r="AC609" s="2">
        <v>6.3572523106796801</v>
      </c>
      <c r="AD609" s="2">
        <v>88.880011672102299</v>
      </c>
      <c r="AE609" s="2">
        <v>17.6198527070019</v>
      </c>
      <c r="AF609" s="2">
        <v>92.726668003109793</v>
      </c>
      <c r="AG609" s="2">
        <v>2.8760679490774499</v>
      </c>
      <c r="AH609" s="2">
        <v>91.5767306703668</v>
      </c>
      <c r="AI609" s="2">
        <v>19.9965070492233</v>
      </c>
      <c r="AJ609" s="2">
        <v>81.4246718490555</v>
      </c>
      <c r="AK609" s="2">
        <v>3.31270008505409</v>
      </c>
      <c r="AL609" s="2">
        <v>113.815990884494</v>
      </c>
      <c r="AM609" s="2">
        <v>12.1857259339032</v>
      </c>
      <c r="AN609"/>
      <c r="AO609"/>
    </row>
    <row r="610" spans="1:41" ht="15.75" hidden="1" customHeight="1" x14ac:dyDescent="0.45">
      <c r="A610" s="2" t="s">
        <v>151</v>
      </c>
      <c r="B610" s="2" t="s">
        <v>152</v>
      </c>
      <c r="C610" s="2">
        <v>0.01</v>
      </c>
      <c r="D610" s="2"/>
      <c r="E610" s="2" t="s">
        <v>83</v>
      </c>
      <c r="F610" s="2" t="s">
        <v>84</v>
      </c>
      <c r="H610" s="2">
        <v>8.1</v>
      </c>
      <c r="J610" s="2">
        <v>8.1360565279999992</v>
      </c>
      <c r="K610" s="2">
        <v>42.316126056666597</v>
      </c>
      <c r="L610" s="2"/>
      <c r="M610" s="2">
        <v>1.5575542234373301</v>
      </c>
      <c r="N610" s="2">
        <v>307.55555555555497</v>
      </c>
      <c r="O610" s="2">
        <v>11.4677486569627</v>
      </c>
      <c r="P610" s="2">
        <v>30.2561040994444</v>
      </c>
      <c r="Q610" s="2">
        <v>0.51166503319819301</v>
      </c>
      <c r="R610" s="2">
        <v>2.66043319016666</v>
      </c>
      <c r="S610" s="2">
        <v>0.39165920637308999</v>
      </c>
      <c r="T610" s="2">
        <v>3.9135516487222199</v>
      </c>
      <c r="U610" s="2">
        <v>1.3010674518313301</v>
      </c>
      <c r="V610" s="2">
        <v>0.36974031355555498</v>
      </c>
      <c r="W610" s="2">
        <v>0.17302722019568201</v>
      </c>
      <c r="X610" s="2">
        <v>3.07398174005555</v>
      </c>
      <c r="Y610" s="2">
        <v>0.60213893160920395</v>
      </c>
      <c r="Z610" s="7">
        <v>110.278884462151</v>
      </c>
      <c r="AA610" s="2">
        <v>4.1119417495085404</v>
      </c>
      <c r="AB610" s="7">
        <v>106.00174232253499</v>
      </c>
      <c r="AC610" s="2">
        <v>3.9016676816088198</v>
      </c>
      <c r="AD610" s="2">
        <v>88.393680799464505</v>
      </c>
      <c r="AE610" s="2">
        <v>29.386641945380099</v>
      </c>
      <c r="AF610" s="2">
        <v>89.4729171662201</v>
      </c>
      <c r="AG610" s="2">
        <v>1.5130884988273701</v>
      </c>
      <c r="AH610" s="2">
        <v>71.223971123623897</v>
      </c>
      <c r="AI610" s="2">
        <v>10.485331527258101</v>
      </c>
      <c r="AJ610" s="2">
        <v>78.618184445857906</v>
      </c>
      <c r="AK610" s="2">
        <v>36.790918957919601</v>
      </c>
      <c r="AL610" s="2">
        <v>91.2985708551887</v>
      </c>
      <c r="AM610" s="2">
        <v>17.8837834967741</v>
      </c>
      <c r="AN610"/>
      <c r="AO610"/>
    </row>
    <row r="611" spans="1:41" ht="15.75" hidden="1" customHeight="1" x14ac:dyDescent="0.45">
      <c r="A611" s="2" t="s">
        <v>151</v>
      </c>
      <c r="B611" s="2" t="s">
        <v>152</v>
      </c>
      <c r="C611" s="2">
        <v>0.03</v>
      </c>
      <c r="D611" s="2"/>
      <c r="E611" s="2" t="s">
        <v>83</v>
      </c>
      <c r="F611" s="2" t="s">
        <v>84</v>
      </c>
      <c r="H611" s="2">
        <v>8.1</v>
      </c>
      <c r="J611" s="2">
        <v>8.1360565279999992</v>
      </c>
      <c r="K611" s="2">
        <v>40.566595152222199</v>
      </c>
      <c r="L611" s="2"/>
      <c r="M611" s="2">
        <v>2.6104601640390199</v>
      </c>
      <c r="N611" s="2">
        <v>261.888888888888</v>
      </c>
      <c r="O611" s="2">
        <v>35.537669112167599</v>
      </c>
      <c r="P611" s="2">
        <v>33.526673617222201</v>
      </c>
      <c r="Q611" s="2">
        <v>0.20808325424182</v>
      </c>
      <c r="R611" s="2">
        <v>2.8643064572777699</v>
      </c>
      <c r="S611" s="2">
        <v>0.424410939955427</v>
      </c>
      <c r="T611" s="2">
        <v>3.5366071369444398</v>
      </c>
      <c r="U611" s="2">
        <v>0.39512824874958902</v>
      </c>
      <c r="V611" s="2">
        <v>0.429003494166666</v>
      </c>
      <c r="W611" s="2">
        <v>0.124832213254905</v>
      </c>
      <c r="X611" s="2">
        <v>2.6318266103888801</v>
      </c>
      <c r="Y611" s="2">
        <v>0.17337471476227601</v>
      </c>
      <c r="Z611" s="7">
        <v>93.904382470119501</v>
      </c>
      <c r="AA611" s="2">
        <v>12.7425905183071</v>
      </c>
      <c r="AB611" s="7">
        <v>101.619173751161</v>
      </c>
      <c r="AC611" s="2">
        <v>6.5391932447018704</v>
      </c>
      <c r="AD611" s="2">
        <v>79.879799843255896</v>
      </c>
      <c r="AE611" s="2">
        <v>8.9245890765811993</v>
      </c>
      <c r="AF611" s="2">
        <v>99.144598443779799</v>
      </c>
      <c r="AG611" s="2">
        <v>0.61534081550168196</v>
      </c>
      <c r="AH611" s="2">
        <v>76.681978392241305</v>
      </c>
      <c r="AI611" s="2">
        <v>11.362146827690699</v>
      </c>
      <c r="AJ611" s="2">
        <v>91.219362876546995</v>
      </c>
      <c r="AK611" s="2">
        <v>26.543175322385299</v>
      </c>
      <c r="AL611" s="2">
        <v>78.166374619654903</v>
      </c>
      <c r="AM611" s="2">
        <v>5.1493030924561403</v>
      </c>
      <c r="AN611"/>
      <c r="AO611"/>
    </row>
    <row r="612" spans="1:41" ht="15.75" hidden="1" customHeight="1" x14ac:dyDescent="0.45">
      <c r="A612" s="2" t="s">
        <v>151</v>
      </c>
      <c r="B612" s="2" t="s">
        <v>152</v>
      </c>
      <c r="C612" s="2">
        <v>0.1</v>
      </c>
      <c r="D612" s="2"/>
      <c r="E612" s="2" t="s">
        <v>83</v>
      </c>
      <c r="F612" s="2" t="s">
        <v>84</v>
      </c>
      <c r="H612" s="2">
        <v>8.1</v>
      </c>
      <c r="J612" s="2">
        <v>8.1360565279999992</v>
      </c>
      <c r="K612" s="2">
        <v>39.976034387777702</v>
      </c>
      <c r="L612" s="2"/>
      <c r="M612" s="2">
        <v>1.61432723225855</v>
      </c>
      <c r="N612" s="2">
        <v>267.166666666666</v>
      </c>
      <c r="O612" s="2">
        <v>12.4977775802121</v>
      </c>
      <c r="P612" s="2">
        <v>32.602572617777703</v>
      </c>
      <c r="Q612" s="2">
        <v>3.3204606210174501</v>
      </c>
      <c r="R612" s="2">
        <v>2.9901038792222199</v>
      </c>
      <c r="S612" s="2">
        <v>0.33853755298602201</v>
      </c>
      <c r="T612" s="2">
        <v>3.8355181457222201</v>
      </c>
      <c r="U612" s="2">
        <v>0.94988325624874603</v>
      </c>
      <c r="V612" s="2">
        <v>0.25131042738888798</v>
      </c>
      <c r="W612" s="2">
        <v>0.119865480106254</v>
      </c>
      <c r="X612" s="2">
        <v>3.3337096313333299</v>
      </c>
      <c r="Y612" s="2">
        <v>0.57936856655419999</v>
      </c>
      <c r="Z612" s="7">
        <v>95.796812749004005</v>
      </c>
      <c r="AA612" s="2">
        <v>4.48127482955812</v>
      </c>
      <c r="AB612" s="7">
        <v>100.139821177757</v>
      </c>
      <c r="AC612" s="2">
        <v>4.0438838628320797</v>
      </c>
      <c r="AD612" s="2">
        <v>86.631172169203296</v>
      </c>
      <c r="AE612" s="2">
        <v>21.4545979933654</v>
      </c>
      <c r="AF612" s="2">
        <v>96.411860219957006</v>
      </c>
      <c r="AG612" s="2">
        <v>9.8192185326149009</v>
      </c>
      <c r="AH612" s="2">
        <v>80.049772772913599</v>
      </c>
      <c r="AI612" s="2">
        <v>9.0631815101616002</v>
      </c>
      <c r="AJ612" s="2">
        <v>53.436341154231002</v>
      </c>
      <c r="AK612" s="2">
        <v>25.487094801927402</v>
      </c>
      <c r="AL612" s="2">
        <v>99.0126001794047</v>
      </c>
      <c r="AM612" s="2">
        <v>17.207493927358701</v>
      </c>
      <c r="AN612"/>
      <c r="AO612"/>
    </row>
    <row r="613" spans="1:41" ht="15.75" hidden="1" customHeight="1" x14ac:dyDescent="0.45">
      <c r="A613" s="2" t="s">
        <v>151</v>
      </c>
      <c r="B613" s="2" t="s">
        <v>152</v>
      </c>
      <c r="C613" s="2">
        <v>0.3</v>
      </c>
      <c r="D613" s="2"/>
      <c r="E613" s="2" t="s">
        <v>83</v>
      </c>
      <c r="F613" s="2" t="s">
        <v>84</v>
      </c>
      <c r="H613" s="2">
        <v>8.1</v>
      </c>
      <c r="J613" s="2">
        <v>8.1360565279999992</v>
      </c>
      <c r="K613" s="2">
        <v>39.431664874444401</v>
      </c>
      <c r="L613" s="2"/>
      <c r="M613" s="2">
        <v>1.2579579638978799</v>
      </c>
      <c r="N613" s="2">
        <v>281.05555555555497</v>
      </c>
      <c r="O613" s="2">
        <v>8.9012067429913309</v>
      </c>
      <c r="P613" s="2">
        <v>30.075316436111098</v>
      </c>
      <c r="Q613" s="2">
        <v>2.6216498391952099</v>
      </c>
      <c r="R613" s="2">
        <v>3.392459557</v>
      </c>
      <c r="S613" s="2">
        <v>1.30602922480868</v>
      </c>
      <c r="T613" s="2">
        <v>3.7032023066111099</v>
      </c>
      <c r="U613" s="2">
        <v>0.50107577286382099</v>
      </c>
      <c r="V613" s="2">
        <v>0.23871119388888801</v>
      </c>
      <c r="W613" s="2">
        <v>0.17258959832766599</v>
      </c>
      <c r="X613" s="2">
        <v>3.3246473413333302</v>
      </c>
      <c r="Y613" s="2">
        <v>0.61828426559613403</v>
      </c>
      <c r="Z613" s="7">
        <v>100.776892430278</v>
      </c>
      <c r="AA613" s="2">
        <v>3.19166775645107</v>
      </c>
      <c r="AB613" s="7">
        <v>98.776177520884403</v>
      </c>
      <c r="AC613" s="2">
        <v>3.1511801378774198</v>
      </c>
      <c r="AD613" s="2">
        <v>83.642612135526605</v>
      </c>
      <c r="AE613" s="2">
        <v>11.3175795028362</v>
      </c>
      <c r="AF613" s="2">
        <v>88.938294480730505</v>
      </c>
      <c r="AG613" s="2">
        <v>7.7527053096520202</v>
      </c>
      <c r="AH613" s="2">
        <v>90.821465624059897</v>
      </c>
      <c r="AI613" s="2">
        <v>34.964451705910001</v>
      </c>
      <c r="AJ613" s="2">
        <v>50.757355858702503</v>
      </c>
      <c r="AK613" s="2">
        <v>36.697867063182002</v>
      </c>
      <c r="AL613" s="2">
        <v>98.743446295081299</v>
      </c>
      <c r="AM613" s="2">
        <v>18.363306813317902</v>
      </c>
      <c r="AN613"/>
      <c r="AO613"/>
    </row>
    <row r="614" spans="1:41" ht="15.75" hidden="1" customHeight="1" x14ac:dyDescent="0.45">
      <c r="A614" s="2" t="s">
        <v>151</v>
      </c>
      <c r="B614" s="2" t="s">
        <v>152</v>
      </c>
      <c r="C614" s="2">
        <v>1</v>
      </c>
      <c r="D614" s="2"/>
      <c r="E614" s="2" t="s">
        <v>83</v>
      </c>
      <c r="F614" s="2" t="s">
        <v>84</v>
      </c>
      <c r="H614" s="2">
        <v>8.1</v>
      </c>
      <c r="J614" s="2">
        <v>8.1360565279999992</v>
      </c>
      <c r="K614" s="2">
        <v>28.458864171111099</v>
      </c>
      <c r="L614" s="2"/>
      <c r="M614" s="2">
        <v>2.8824652938744402</v>
      </c>
      <c r="N614" s="2">
        <v>233.777777777777</v>
      </c>
      <c r="O614" s="2">
        <v>15.327293496436701</v>
      </c>
      <c r="P614" s="2">
        <v>28.207303674999999</v>
      </c>
      <c r="Q614" s="2">
        <v>3.5832703532553598</v>
      </c>
      <c r="R614" s="2">
        <v>3.6151494819444401</v>
      </c>
      <c r="S614" s="2">
        <v>0.40926983958128499</v>
      </c>
      <c r="T614" s="2">
        <v>4.6054656953888804</v>
      </c>
      <c r="U614" s="2">
        <v>1.7173232498373101</v>
      </c>
      <c r="V614" s="2">
        <v>0.30533792227777701</v>
      </c>
      <c r="W614" s="2">
        <v>0.15346619565143699</v>
      </c>
      <c r="X614" s="2">
        <v>3.46400632838888</v>
      </c>
      <c r="Y614" s="2">
        <v>0.65928678889428605</v>
      </c>
      <c r="Z614" s="7">
        <v>83.824701195219106</v>
      </c>
      <c r="AA614" s="2">
        <v>5.4958422895589898</v>
      </c>
      <c r="AB614" s="7">
        <v>71.2893515492988</v>
      </c>
      <c r="AC614" s="2">
        <v>7.2205651085774001</v>
      </c>
      <c r="AD614" s="2">
        <v>104.021640993036</v>
      </c>
      <c r="AE614" s="2">
        <v>38.788429743908303</v>
      </c>
      <c r="AF614" s="2">
        <v>83.414233931130298</v>
      </c>
      <c r="AG614" s="2">
        <v>10.596395704061401</v>
      </c>
      <c r="AH614" s="2">
        <v>96.783224349063502</v>
      </c>
      <c r="AI614" s="2">
        <v>10.9567958119938</v>
      </c>
      <c r="AJ614" s="2">
        <v>64.924251459375796</v>
      </c>
      <c r="AK614" s="2">
        <v>32.631642354346397</v>
      </c>
      <c r="AL614" s="2">
        <v>102.882467743454</v>
      </c>
      <c r="AM614" s="2">
        <v>19.581099271157999</v>
      </c>
      <c r="AN614"/>
      <c r="AO614"/>
    </row>
    <row r="615" spans="1:41" ht="15.75" hidden="1" customHeight="1" x14ac:dyDescent="0.45">
      <c r="A615" s="2" t="s">
        <v>151</v>
      </c>
      <c r="B615" s="2" t="s">
        <v>152</v>
      </c>
      <c r="C615" s="2">
        <v>3</v>
      </c>
      <c r="D615" s="2"/>
      <c r="E615" s="2" t="s">
        <v>83</v>
      </c>
      <c r="F615" s="2" t="s">
        <v>84</v>
      </c>
      <c r="H615" s="2">
        <v>8.1</v>
      </c>
      <c r="J615" s="2">
        <v>8.1360565279999992</v>
      </c>
      <c r="K615" s="2">
        <v>11.9621792680555</v>
      </c>
      <c r="L615" s="2"/>
      <c r="M615" s="2">
        <v>2.0592104094656798</v>
      </c>
      <c r="N615" s="2">
        <v>169.611111111111</v>
      </c>
      <c r="O615" s="2">
        <v>18.397866220882399</v>
      </c>
      <c r="P615" s="2">
        <v>22.949060843888802</v>
      </c>
      <c r="Q615" s="2">
        <v>1.6427385308495699</v>
      </c>
      <c r="R615" s="2">
        <v>5.0244253245000001</v>
      </c>
      <c r="S615" s="2">
        <v>6.8881762714548905E-2</v>
      </c>
      <c r="T615" s="2">
        <v>12.396146324111101</v>
      </c>
      <c r="U615" s="2">
        <v>3.4705532787197502</v>
      </c>
      <c r="V615" s="2">
        <v>0.55204224872222196</v>
      </c>
      <c r="W615" s="2">
        <v>0.17041643099802101</v>
      </c>
      <c r="X615" s="2">
        <v>3.9474266864999898</v>
      </c>
      <c r="Y615" s="2">
        <v>0.61855472614971996</v>
      </c>
      <c r="Z615" s="7">
        <v>60.816733067729103</v>
      </c>
      <c r="AA615" s="2">
        <v>6.5968444616710098</v>
      </c>
      <c r="AB615" s="7">
        <v>29.965215688467499</v>
      </c>
      <c r="AC615" s="2">
        <v>5.1583146084724003</v>
      </c>
      <c r="AD615" s="2">
        <v>279.986339690877</v>
      </c>
      <c r="AE615" s="2">
        <v>78.387870214221294</v>
      </c>
      <c r="AF615" s="2">
        <v>67.864633634887497</v>
      </c>
      <c r="AG615" s="2">
        <v>4.8578828263339</v>
      </c>
      <c r="AH615" s="2">
        <v>134.511750021647</v>
      </c>
      <c r="AI615" s="2">
        <v>1.84407287379315</v>
      </c>
      <c r="AJ615" s="2">
        <v>117.38119361287499</v>
      </c>
      <c r="AK615" s="2">
        <v>36.235784721359998</v>
      </c>
      <c r="AL615" s="2">
        <v>117.24025889189799</v>
      </c>
      <c r="AM615" s="2">
        <v>18.3713396072975</v>
      </c>
      <c r="AN615"/>
      <c r="AO615"/>
    </row>
    <row r="616" spans="1:41" ht="15.75" hidden="1" customHeight="1" x14ac:dyDescent="0.45">
      <c r="A616" s="2" t="s">
        <v>151</v>
      </c>
      <c r="B616" s="2" t="s">
        <v>152</v>
      </c>
      <c r="C616" s="2">
        <v>10</v>
      </c>
      <c r="D616" s="2"/>
      <c r="E616" s="2" t="s">
        <v>83</v>
      </c>
      <c r="F616" s="2" t="s">
        <v>84</v>
      </c>
      <c r="H616" s="2">
        <v>8.1</v>
      </c>
      <c r="J616" s="2">
        <v>8.1360565279999992</v>
      </c>
      <c r="K616" s="2">
        <v>9.0585395408444391</v>
      </c>
      <c r="L616" s="2"/>
      <c r="M616" s="2">
        <v>0.56494733447145695</v>
      </c>
      <c r="N616" s="2">
        <v>140.46666666666599</v>
      </c>
      <c r="O616" s="2">
        <v>9.51215596545366</v>
      </c>
      <c r="P616" s="2">
        <v>19.130128640111099</v>
      </c>
      <c r="Q616" s="2">
        <v>2.35596862446832</v>
      </c>
      <c r="R616" s="2">
        <v>45.851895076777701</v>
      </c>
      <c r="S616" s="2">
        <v>7.3653436438302498</v>
      </c>
      <c r="T616" s="2">
        <v>16.8485074863333</v>
      </c>
      <c r="U616" s="2">
        <v>2.72540391201334</v>
      </c>
      <c r="V616" s="2">
        <v>0.68938023695555495</v>
      </c>
      <c r="W616" s="2">
        <v>0.333970361272731</v>
      </c>
      <c r="X616" s="2">
        <v>5.0816268067333299</v>
      </c>
      <c r="Y616" s="2">
        <v>0.81104902185087402</v>
      </c>
      <c r="Z616" s="7">
        <v>50.3665338645418</v>
      </c>
      <c r="AA616" s="2">
        <v>3.4107332147045</v>
      </c>
      <c r="AB616" s="7">
        <v>22.691608701165901</v>
      </c>
      <c r="AC616" s="2">
        <v>1.41519102420322</v>
      </c>
      <c r="AD616" s="2">
        <v>380.54987550262501</v>
      </c>
      <c r="AE616" s="2">
        <v>61.557507111673502</v>
      </c>
      <c r="AF616" s="2">
        <v>56.571342085884197</v>
      </c>
      <c r="AG616" s="2">
        <v>6.9670366313664998</v>
      </c>
      <c r="AH616" s="2">
        <v>1227.5271797775399</v>
      </c>
      <c r="AI616" s="2">
        <v>197.181806685726</v>
      </c>
      <c r="AJ616" s="2">
        <v>146.58348206911799</v>
      </c>
      <c r="AK616" s="2">
        <v>71.012390316600602</v>
      </c>
      <c r="AL616" s="2">
        <v>150.92648698225</v>
      </c>
      <c r="AM616" s="2">
        <v>24.088502421340099</v>
      </c>
      <c r="AN616"/>
      <c r="AO616"/>
    </row>
    <row r="617" spans="1:41" ht="15.75" hidden="1" customHeight="1" x14ac:dyDescent="0.45">
      <c r="A617" s="2" t="s">
        <v>153</v>
      </c>
      <c r="B617" s="2" t="s">
        <v>104</v>
      </c>
      <c r="C617" s="2">
        <v>3.0000000000000001E-3</v>
      </c>
      <c r="D617" s="2"/>
      <c r="E617" s="2" t="s">
        <v>109</v>
      </c>
      <c r="F617" s="2" t="s">
        <v>84</v>
      </c>
      <c r="H617" s="2">
        <v>13.3</v>
      </c>
      <c r="J617" s="2">
        <v>13.3</v>
      </c>
      <c r="K617" s="2">
        <v>32.2777777777777</v>
      </c>
      <c r="L617" s="2"/>
      <c r="M617" s="2">
        <v>0.53575837561042805</v>
      </c>
      <c r="N617" s="2">
        <v>167.666666666666</v>
      </c>
      <c r="O617" s="2">
        <v>19.1970773238471</v>
      </c>
      <c r="P617" s="2">
        <v>18.3333333333333</v>
      </c>
      <c r="Q617" s="2">
        <v>3.6055512754639798</v>
      </c>
      <c r="R617" s="2">
        <v>1.7777777777777699</v>
      </c>
      <c r="S617" s="2">
        <v>0.34694433324435497</v>
      </c>
      <c r="T617" s="2">
        <v>5.7777777777777697</v>
      </c>
      <c r="U617" s="2">
        <v>4.9618918136503503</v>
      </c>
      <c r="V617" s="2">
        <v>0.61111111111111105</v>
      </c>
      <c r="W617" s="2">
        <v>9.6225044864938394E-2</v>
      </c>
      <c r="X617" s="2">
        <v>2.4444444444444402</v>
      </c>
      <c r="Y617" s="2">
        <v>0.78763593770876605</v>
      </c>
      <c r="Z617" s="7">
        <v>116.784366837573</v>
      </c>
      <c r="AA617" s="2">
        <v>13.3712834218534</v>
      </c>
      <c r="AB617" s="7">
        <v>90.78125</v>
      </c>
      <c r="AC617" s="2">
        <v>1.5068204314043301</v>
      </c>
      <c r="AD617" s="2">
        <v>118.181818181818</v>
      </c>
      <c r="AE617" s="2">
        <v>101.49324164284801</v>
      </c>
      <c r="AF617" s="2">
        <v>109.271523178807</v>
      </c>
      <c r="AG617" s="2">
        <v>21.4900407146859</v>
      </c>
      <c r="AH617" s="2">
        <v>76.190476190476105</v>
      </c>
      <c r="AI617" s="2">
        <v>14.8690428533295</v>
      </c>
      <c r="AJ617" s="2">
        <v>100</v>
      </c>
      <c r="AK617" s="2">
        <v>15.7459164324444</v>
      </c>
      <c r="AL617" s="2">
        <v>108.64197530864099</v>
      </c>
      <c r="AM617" s="2">
        <v>35.006041675945099</v>
      </c>
      <c r="AN617"/>
      <c r="AO617"/>
    </row>
    <row r="618" spans="1:41" ht="15.75" hidden="1" customHeight="1" x14ac:dyDescent="0.45">
      <c r="A618" s="2" t="s">
        <v>153</v>
      </c>
      <c r="B618" s="2" t="s">
        <v>104</v>
      </c>
      <c r="C618" s="2">
        <v>0.01</v>
      </c>
      <c r="D618" s="2"/>
      <c r="E618" s="2" t="s">
        <v>109</v>
      </c>
      <c r="F618" s="2" t="s">
        <v>84</v>
      </c>
      <c r="H618" s="2">
        <v>13.3</v>
      </c>
      <c r="J618" s="2">
        <v>13.3</v>
      </c>
      <c r="K618" s="2">
        <v>33.7222222222222</v>
      </c>
      <c r="L618" s="2"/>
      <c r="M618" s="2">
        <v>1.8733017000096099</v>
      </c>
      <c r="N618" s="2">
        <v>173.888888888888</v>
      </c>
      <c r="O618" s="2">
        <v>20.654790494468301</v>
      </c>
      <c r="P618" s="2">
        <v>14.2777777777777</v>
      </c>
      <c r="Q618" s="2">
        <v>3.1899727155456699</v>
      </c>
      <c r="R618" s="2">
        <v>2.5</v>
      </c>
      <c r="S618" s="2">
        <v>0.44095855184409599</v>
      </c>
      <c r="T618" s="2">
        <v>4.9444444444444402</v>
      </c>
      <c r="U618" s="2">
        <v>0.63098981620002204</v>
      </c>
      <c r="V618" s="2">
        <v>0.38888888888888801</v>
      </c>
      <c r="W618" s="2">
        <v>0.19245008972987501</v>
      </c>
      <c r="X618" s="2">
        <v>3.05555555555555</v>
      </c>
      <c r="Y618" s="2">
        <v>1.1097213530798899</v>
      </c>
      <c r="Z618" s="7">
        <v>121.118312856728</v>
      </c>
      <c r="AA618" s="2">
        <v>14.3866200599953</v>
      </c>
      <c r="AB618" s="7">
        <v>94.84375</v>
      </c>
      <c r="AC618" s="2">
        <v>5.2686610312770297</v>
      </c>
      <c r="AD618" s="2">
        <v>101.136363636363</v>
      </c>
      <c r="AE618" s="2">
        <v>12.9066098768186</v>
      </c>
      <c r="AF618" s="2">
        <v>85.099337748344297</v>
      </c>
      <c r="AG618" s="2">
        <v>19.013082410537098</v>
      </c>
      <c r="AH618" s="2">
        <v>107.142857142857</v>
      </c>
      <c r="AI618" s="2">
        <v>18.898223650461201</v>
      </c>
      <c r="AJ618" s="2">
        <v>63.636363636363598</v>
      </c>
      <c r="AK618" s="2">
        <v>31.4918328648886</v>
      </c>
      <c r="AL618" s="2">
        <v>135.802469135802</v>
      </c>
      <c r="AM618" s="2">
        <v>49.320949025773203</v>
      </c>
      <c r="AN618"/>
      <c r="AO618"/>
    </row>
    <row r="619" spans="1:41" ht="15.75" hidden="1" customHeight="1" x14ac:dyDescent="0.45">
      <c r="A619" s="2" t="s">
        <v>153</v>
      </c>
      <c r="B619" s="2" t="s">
        <v>104</v>
      </c>
      <c r="C619" s="2">
        <v>0.03</v>
      </c>
      <c r="D619" s="2"/>
      <c r="E619" s="2" t="s">
        <v>109</v>
      </c>
      <c r="F619" s="2" t="s">
        <v>84</v>
      </c>
      <c r="H619" s="2">
        <v>13.3</v>
      </c>
      <c r="J619" s="2">
        <v>13.3</v>
      </c>
      <c r="K619" s="2">
        <v>31.8888888888888</v>
      </c>
      <c r="L619" s="2"/>
      <c r="M619" s="2">
        <v>2.7954990278687202</v>
      </c>
      <c r="N619" s="2">
        <v>156.833333333333</v>
      </c>
      <c r="O619" s="2">
        <v>10.493384159132001</v>
      </c>
      <c r="P619" s="2">
        <v>15.9444444444444</v>
      </c>
      <c r="Q619" s="2">
        <v>1.6015039228221799</v>
      </c>
      <c r="R619" s="2">
        <v>1.7222222222222201</v>
      </c>
      <c r="S619" s="2">
        <v>0.58531409738070606</v>
      </c>
      <c r="T619" s="2">
        <v>3.7222222222222201</v>
      </c>
      <c r="U619" s="2">
        <v>9.6225044864938894E-2</v>
      </c>
      <c r="V619" s="2">
        <v>0.5</v>
      </c>
      <c r="W619" s="2">
        <v>0.16666666666666599</v>
      </c>
      <c r="X619" s="2">
        <v>2.2777777777777701</v>
      </c>
      <c r="Y619" s="2">
        <v>0.48112522432468702</v>
      </c>
      <c r="Z619" s="7">
        <v>109.238657250652</v>
      </c>
      <c r="AA619" s="2">
        <v>7.3089257952743498</v>
      </c>
      <c r="AB619" s="7">
        <v>89.6875</v>
      </c>
      <c r="AC619" s="2">
        <v>7.8623410158807996</v>
      </c>
      <c r="AD619" s="2">
        <v>76.136363636363598</v>
      </c>
      <c r="AE619" s="2">
        <v>1.9682395540555699</v>
      </c>
      <c r="AF619" s="2">
        <v>95.033112582781399</v>
      </c>
      <c r="AG619" s="2">
        <v>9.5453876194699596</v>
      </c>
      <c r="AH619" s="2">
        <v>73.809523809523796</v>
      </c>
      <c r="AI619" s="2">
        <v>25.084889887744499</v>
      </c>
      <c r="AJ619" s="2">
        <v>81.818181818181799</v>
      </c>
      <c r="AK619" s="2">
        <v>27.272727272727298</v>
      </c>
      <c r="AL619" s="2">
        <v>101.234567901234</v>
      </c>
      <c r="AM619" s="2">
        <v>21.3833433033194</v>
      </c>
      <c r="AN619"/>
      <c r="AO619"/>
    </row>
    <row r="620" spans="1:41" ht="15.75" hidden="1" customHeight="1" x14ac:dyDescent="0.45">
      <c r="A620" s="2" t="s">
        <v>153</v>
      </c>
      <c r="B620" s="2" t="s">
        <v>104</v>
      </c>
      <c r="C620" s="2">
        <v>0.1</v>
      </c>
      <c r="D620" s="2"/>
      <c r="E620" s="2" t="s">
        <v>109</v>
      </c>
      <c r="F620" s="2" t="s">
        <v>84</v>
      </c>
      <c r="H620" s="2">
        <v>13.3</v>
      </c>
      <c r="J620" s="2">
        <v>13.3</v>
      </c>
      <c r="K620" s="2">
        <v>32.8333333333333</v>
      </c>
      <c r="L620" s="2"/>
      <c r="M620" s="2">
        <v>2.5221243250702501</v>
      </c>
      <c r="N620" s="2">
        <v>165.555555555555</v>
      </c>
      <c r="O620" s="2">
        <v>19.9974535415923</v>
      </c>
      <c r="P620" s="2">
        <v>17.4444444444444</v>
      </c>
      <c r="Q620" s="2">
        <v>2.5239592648001099</v>
      </c>
      <c r="R620" s="2">
        <v>2.05555555555555</v>
      </c>
      <c r="S620" s="2">
        <v>0.25458753860865901</v>
      </c>
      <c r="T620" s="2">
        <v>4.2222222222222197</v>
      </c>
      <c r="U620" s="2">
        <v>0.25458753860865402</v>
      </c>
      <c r="V620" s="2">
        <v>0.55555555555555503</v>
      </c>
      <c r="W620" s="2">
        <v>9.6225044864937506E-2</v>
      </c>
      <c r="X620" s="2">
        <v>2.3333333333333299</v>
      </c>
      <c r="Y620" s="2">
        <v>0.72648315725677803</v>
      </c>
      <c r="Z620" s="7">
        <v>115.313920866789</v>
      </c>
      <c r="AA620" s="2">
        <v>13.9287670987196</v>
      </c>
      <c r="AB620" s="7">
        <v>92.34375</v>
      </c>
      <c r="AC620" s="2">
        <v>7.0934746642600901</v>
      </c>
      <c r="AD620" s="2">
        <v>86.363636363636303</v>
      </c>
      <c r="AE620" s="2">
        <v>5.2074723806315601</v>
      </c>
      <c r="AF620" s="2">
        <v>103.973509933774</v>
      </c>
      <c r="AG620" s="2">
        <v>15.0434658166894</v>
      </c>
      <c r="AH620" s="2">
        <v>88.095238095238003</v>
      </c>
      <c r="AI620" s="2">
        <v>10.910894511799601</v>
      </c>
      <c r="AJ620" s="2">
        <v>90.909090909090907</v>
      </c>
      <c r="AK620" s="2">
        <v>15.7459164324443</v>
      </c>
      <c r="AL620" s="2">
        <v>103.703703703703</v>
      </c>
      <c r="AM620" s="2">
        <v>32.288140322523397</v>
      </c>
      <c r="AN620"/>
      <c r="AO620"/>
    </row>
    <row r="621" spans="1:41" ht="15.75" hidden="1" customHeight="1" x14ac:dyDescent="0.45">
      <c r="A621" s="2" t="s">
        <v>153</v>
      </c>
      <c r="B621" s="2" t="s">
        <v>104</v>
      </c>
      <c r="C621" s="2">
        <v>0.3</v>
      </c>
      <c r="D621" s="2"/>
      <c r="E621" s="2" t="s">
        <v>109</v>
      </c>
      <c r="F621" s="2" t="s">
        <v>84</v>
      </c>
      <c r="H621" s="2">
        <v>13.3</v>
      </c>
      <c r="J621" s="2">
        <v>13.3</v>
      </c>
      <c r="K621" s="2">
        <v>31.1111111111111</v>
      </c>
      <c r="L621" s="2"/>
      <c r="M621" s="2">
        <v>1.6442942874386699</v>
      </c>
      <c r="N621" s="2">
        <v>136.444444444444</v>
      </c>
      <c r="O621" s="2">
        <v>6.63813338332473</v>
      </c>
      <c r="P621" s="2">
        <v>19.7222222222222</v>
      </c>
      <c r="Q621" s="2">
        <v>5.9285873653129402</v>
      </c>
      <c r="R621" s="2">
        <v>2.55555555555555</v>
      </c>
      <c r="S621" s="2">
        <v>0.25458753860865702</v>
      </c>
      <c r="T621" s="2">
        <v>5.3888888888888804</v>
      </c>
      <c r="U621" s="2">
        <v>0.50917507721732203</v>
      </c>
      <c r="V621" s="2">
        <v>0.66666666666666596</v>
      </c>
      <c r="W621" s="2">
        <v>1.05367121277235E-8</v>
      </c>
      <c r="X621" s="2">
        <v>2.1666666666666599</v>
      </c>
      <c r="Y621" s="2">
        <v>0.44095855184409799</v>
      </c>
      <c r="Z621" s="7">
        <v>95.0372448486021</v>
      </c>
      <c r="AA621" s="2">
        <v>4.6236393885980496</v>
      </c>
      <c r="AB621" s="7">
        <v>87.5</v>
      </c>
      <c r="AC621" s="2">
        <v>4.6245776834212799</v>
      </c>
      <c r="AD621" s="2">
        <v>110.22727272727199</v>
      </c>
      <c r="AE621" s="2">
        <v>10.414944761263399</v>
      </c>
      <c r="AF621" s="2">
        <v>117.549668874172</v>
      </c>
      <c r="AG621" s="2">
        <v>35.335951183984399</v>
      </c>
      <c r="AH621" s="2">
        <v>109.52380952380901</v>
      </c>
      <c r="AI621" s="2">
        <v>10.910894511799601</v>
      </c>
      <c r="AJ621" s="2">
        <v>109.09090909090899</v>
      </c>
      <c r="AK621" s="2">
        <v>1.72418925726384E-6</v>
      </c>
      <c r="AL621" s="2">
        <v>96.296296296296205</v>
      </c>
      <c r="AM621" s="2">
        <v>19.5981578597377</v>
      </c>
      <c r="AN621"/>
      <c r="AO621"/>
    </row>
    <row r="622" spans="1:41" ht="15.75" hidden="1" customHeight="1" x14ac:dyDescent="0.45">
      <c r="A622" s="2" t="s">
        <v>153</v>
      </c>
      <c r="B622" s="2" t="s">
        <v>104</v>
      </c>
      <c r="C622" s="2">
        <v>1</v>
      </c>
      <c r="D622" s="2"/>
      <c r="E622" s="2" t="s">
        <v>109</v>
      </c>
      <c r="F622" s="2" t="s">
        <v>84</v>
      </c>
      <c r="H622" s="2">
        <v>13.3</v>
      </c>
      <c r="J622" s="2">
        <v>13.3</v>
      </c>
      <c r="K622" s="2">
        <v>29.6666666666666</v>
      </c>
      <c r="L622" s="2"/>
      <c r="M622" s="2">
        <v>1.8027756377320501</v>
      </c>
      <c r="N622" s="2">
        <v>130.611111111111</v>
      </c>
      <c r="O622" s="2">
        <v>6.7542853337984603</v>
      </c>
      <c r="P622" s="2">
        <v>18.0555555555555</v>
      </c>
      <c r="Q622" s="2">
        <v>1.20569635634508</v>
      </c>
      <c r="R622" s="2">
        <v>1.88888888888888</v>
      </c>
      <c r="S622" s="2">
        <v>0.63098981620003003</v>
      </c>
      <c r="T622" s="2">
        <v>4.4444444444444402</v>
      </c>
      <c r="U622" s="2">
        <v>1.1824331474329299</v>
      </c>
      <c r="V622" s="2">
        <v>0.44444444444444398</v>
      </c>
      <c r="W622" s="2">
        <v>9.6225044864937798E-2</v>
      </c>
      <c r="X622" s="2">
        <v>2.4444444444444402</v>
      </c>
      <c r="Y622" s="2">
        <v>0.67357531405456195</v>
      </c>
      <c r="Z622" s="7">
        <v>90.974170455644696</v>
      </c>
      <c r="AA622" s="2">
        <v>4.7045423627115097</v>
      </c>
      <c r="AB622" s="7">
        <v>83.4375</v>
      </c>
      <c r="AC622" s="2">
        <v>5.0703064811214098</v>
      </c>
      <c r="AD622" s="2">
        <v>90.909090909090907</v>
      </c>
      <c r="AE622" s="2">
        <v>24.186132561128101</v>
      </c>
      <c r="AF622" s="2">
        <v>107.615894039735</v>
      </c>
      <c r="AG622" s="2">
        <v>7.18626967357996</v>
      </c>
      <c r="AH622" s="2">
        <v>80.952380952380906</v>
      </c>
      <c r="AI622" s="2">
        <v>27.042420694286999</v>
      </c>
      <c r="AJ622" s="2">
        <v>72.727272727272705</v>
      </c>
      <c r="AK622" s="2">
        <v>15.7459164324443</v>
      </c>
      <c r="AL622" s="2">
        <v>108.64197530864099</v>
      </c>
      <c r="AM622" s="2">
        <v>29.936680624647199</v>
      </c>
      <c r="AN622"/>
      <c r="AO622"/>
    </row>
    <row r="623" spans="1:41" ht="15.75" hidden="1" customHeight="1" x14ac:dyDescent="0.45">
      <c r="A623" s="2" t="s">
        <v>153</v>
      </c>
      <c r="B623" s="2" t="s">
        <v>104</v>
      </c>
      <c r="C623" s="2">
        <v>3</v>
      </c>
      <c r="D623" s="2"/>
      <c r="E623" s="2" t="s">
        <v>109</v>
      </c>
      <c r="F623" s="2" t="s">
        <v>84</v>
      </c>
      <c r="H623" s="2">
        <v>13.3</v>
      </c>
      <c r="J623" s="2">
        <v>13.3</v>
      </c>
      <c r="K623" s="2">
        <v>27.0555555555555</v>
      </c>
      <c r="L623" s="2"/>
      <c r="M623" s="2">
        <v>1.66944213347974</v>
      </c>
      <c r="N623" s="2">
        <v>115.277777777777</v>
      </c>
      <c r="O623" s="2">
        <v>4.6676586247321499</v>
      </c>
      <c r="P623" s="2">
        <v>20.1111111111111</v>
      </c>
      <c r="Q623" s="2">
        <v>4.0322771803608797</v>
      </c>
      <c r="R623" s="2">
        <v>1.1666666666666601</v>
      </c>
      <c r="S623" s="2">
        <v>0.57735026918962595</v>
      </c>
      <c r="T623" s="2">
        <v>4.2777777777777697</v>
      </c>
      <c r="U623" s="2">
        <v>1.85841429818641</v>
      </c>
      <c r="V623" s="2">
        <v>0.66666666666666596</v>
      </c>
      <c r="W623" s="2">
        <v>0.28867513459481198</v>
      </c>
      <c r="X623" s="2">
        <v>2.6666666666666599</v>
      </c>
      <c r="Y623" s="2">
        <v>0.44095855184409999</v>
      </c>
      <c r="Z623" s="7">
        <v>80.294089194156896</v>
      </c>
      <c r="AA623" s="2">
        <v>3.2511504399798299</v>
      </c>
      <c r="AB623" s="7">
        <v>76.09375</v>
      </c>
      <c r="AC623" s="2">
        <v>4.6953060004117804</v>
      </c>
      <c r="AD623" s="2">
        <v>87.5</v>
      </c>
      <c r="AE623" s="2">
        <v>38.013019735631197</v>
      </c>
      <c r="AF623" s="2">
        <v>119.86754966887401</v>
      </c>
      <c r="AG623" s="2">
        <v>24.033440147846299</v>
      </c>
      <c r="AH623" s="2">
        <v>50</v>
      </c>
      <c r="AI623" s="2">
        <v>24.743582965269699</v>
      </c>
      <c r="AJ623" s="2">
        <v>109.09090909090899</v>
      </c>
      <c r="AK623" s="2">
        <v>47.237749297333004</v>
      </c>
      <c r="AL623" s="2">
        <v>118.51851851851799</v>
      </c>
      <c r="AM623" s="2">
        <v>19.5981578597378</v>
      </c>
      <c r="AN623"/>
      <c r="AO623"/>
    </row>
    <row r="624" spans="1:41" ht="15.75" hidden="1" customHeight="1" x14ac:dyDescent="0.45">
      <c r="A624" s="2" t="s">
        <v>153</v>
      </c>
      <c r="B624" s="2" t="s">
        <v>104</v>
      </c>
      <c r="C624" s="2">
        <v>10</v>
      </c>
      <c r="D624" s="2"/>
      <c r="E624" s="2" t="s">
        <v>109</v>
      </c>
      <c r="F624" s="2" t="s">
        <v>84</v>
      </c>
      <c r="H624" s="2">
        <v>13.3</v>
      </c>
      <c r="J624" s="2">
        <v>13.3</v>
      </c>
      <c r="K624" s="2">
        <v>24.6111111111111</v>
      </c>
      <c r="L624" s="2"/>
      <c r="M624" s="2">
        <v>4.2957774271607203</v>
      </c>
      <c r="N624" s="2">
        <v>93.8333333333333</v>
      </c>
      <c r="O624" s="2">
        <v>3.67801274845226</v>
      </c>
      <c r="P624" s="2">
        <v>19.2777777777777</v>
      </c>
      <c r="Q624" s="2">
        <v>6.0238722626759804</v>
      </c>
      <c r="R624" s="2">
        <v>1.8333333333333299</v>
      </c>
      <c r="S624" s="2">
        <v>0.44095855184409899</v>
      </c>
      <c r="T624" s="2">
        <v>4.8888888888888804</v>
      </c>
      <c r="U624" s="2">
        <v>1.0183501544346201</v>
      </c>
      <c r="V624" s="2">
        <v>0.66666666666666596</v>
      </c>
      <c r="W624" s="2">
        <v>0.16666666666666699</v>
      </c>
      <c r="X624" s="2">
        <v>3.05555555555555</v>
      </c>
      <c r="Y624" s="2">
        <v>1.29457557752567</v>
      </c>
      <c r="Z624" s="7">
        <v>65.357453806713707</v>
      </c>
      <c r="AA624" s="2">
        <v>2.5618353283211999</v>
      </c>
      <c r="AB624" s="7">
        <v>69.21875</v>
      </c>
      <c r="AC624" s="2">
        <v>12.0818740138895</v>
      </c>
      <c r="AD624" s="2">
        <v>100</v>
      </c>
      <c r="AE624" s="2">
        <v>20.8298895225264</v>
      </c>
      <c r="AF624" s="2">
        <v>114.90066225165501</v>
      </c>
      <c r="AG624" s="2">
        <v>35.9038744133005</v>
      </c>
      <c r="AH624" s="2">
        <v>78.571428571428498</v>
      </c>
      <c r="AI624" s="2">
        <v>18.8982236504614</v>
      </c>
      <c r="AJ624" s="2">
        <v>109.09090909090899</v>
      </c>
      <c r="AK624" s="2">
        <v>27.272727272727298</v>
      </c>
      <c r="AL624" s="2">
        <v>135.802469135802</v>
      </c>
      <c r="AM624" s="2">
        <v>57.536692334474203</v>
      </c>
      <c r="AN624"/>
      <c r="AO624"/>
    </row>
    <row r="625" spans="1:41" ht="15.75" hidden="1" customHeight="1" x14ac:dyDescent="0.45">
      <c r="A625" s="2" t="s">
        <v>153</v>
      </c>
      <c r="B625" s="2" t="s">
        <v>104</v>
      </c>
      <c r="C625" s="2">
        <v>3.0000000000000001E-3</v>
      </c>
      <c r="D625" s="2"/>
      <c r="E625" s="2" t="s">
        <v>109</v>
      </c>
      <c r="F625" s="2" t="s">
        <v>84</v>
      </c>
      <c r="H625" s="2" t="s">
        <v>87</v>
      </c>
      <c r="K625" s="2">
        <v>29.8333333333333</v>
      </c>
      <c r="L625" s="2"/>
      <c r="M625" s="2">
        <v>2.4209731743890299</v>
      </c>
      <c r="N625" s="2">
        <v>239.833333333333</v>
      </c>
      <c r="O625" s="2">
        <v>43.321793335200098</v>
      </c>
      <c r="P625" s="2">
        <v>12.9444444444444</v>
      </c>
      <c r="Q625" s="2">
        <v>1.0183501544345801</v>
      </c>
      <c r="R625" s="2">
        <v>2.38888888888888</v>
      </c>
      <c r="S625" s="2">
        <v>0.69388866648871095</v>
      </c>
      <c r="T625" s="2">
        <v>7.6666666666666599</v>
      </c>
      <c r="U625" s="2">
        <v>0.600925212577334</v>
      </c>
      <c r="V625" s="2">
        <v>0.61111111111111105</v>
      </c>
      <c r="W625" s="2">
        <v>0.34694433324435497</v>
      </c>
      <c r="X625" s="2">
        <v>3.8333333333333299</v>
      </c>
      <c r="Y625" s="2">
        <v>1.0137937550497</v>
      </c>
      <c r="Z625" s="7">
        <v>101.201429994725</v>
      </c>
      <c r="AA625" s="2">
        <v>18.280308973418499</v>
      </c>
      <c r="AB625" s="7">
        <v>85.170499603489304</v>
      </c>
      <c r="AC625" s="2">
        <v>6.9115808309282398</v>
      </c>
      <c r="AD625" s="2">
        <v>96.167247386759598</v>
      </c>
      <c r="AE625" s="2">
        <v>7.5377378581128998</v>
      </c>
      <c r="AF625" s="2">
        <v>93.2</v>
      </c>
      <c r="AG625" s="2">
        <v>7.3321211119290401</v>
      </c>
      <c r="AH625" s="2">
        <v>131.297709923664</v>
      </c>
      <c r="AI625" s="2">
        <v>38.137392356631501</v>
      </c>
      <c r="AJ625" s="2">
        <v>93.617021276595693</v>
      </c>
      <c r="AK625" s="2">
        <v>53.148919135305498</v>
      </c>
      <c r="AL625" s="2">
        <v>100.363636363636</v>
      </c>
      <c r="AM625" s="2">
        <v>26.542963768574101</v>
      </c>
      <c r="AN625"/>
      <c r="AO625"/>
    </row>
    <row r="626" spans="1:41" ht="15.75" hidden="1" customHeight="1" x14ac:dyDescent="0.45">
      <c r="A626" s="2" t="s">
        <v>153</v>
      </c>
      <c r="B626" s="2" t="s">
        <v>104</v>
      </c>
      <c r="C626" s="2">
        <v>0.01</v>
      </c>
      <c r="D626" s="2"/>
      <c r="E626" s="2" t="s">
        <v>109</v>
      </c>
      <c r="F626" s="2" t="s">
        <v>84</v>
      </c>
      <c r="H626" s="2" t="s">
        <v>87</v>
      </c>
      <c r="K626" s="2">
        <v>35.3333333333333</v>
      </c>
      <c r="L626" s="2"/>
      <c r="M626" s="2">
        <v>0.60092521257768805</v>
      </c>
      <c r="N626" s="2">
        <v>276.722222222222</v>
      </c>
      <c r="O626" s="2">
        <v>21.295756836967598</v>
      </c>
      <c r="P626" s="2">
        <v>13.0555555555555</v>
      </c>
      <c r="Q626" s="2">
        <v>0.63098981620001104</v>
      </c>
      <c r="R626" s="2">
        <v>1.94444444444444</v>
      </c>
      <c r="S626" s="2">
        <v>0.34694433324435497</v>
      </c>
      <c r="T626" s="2">
        <v>8.8333333333333304</v>
      </c>
      <c r="U626" s="2">
        <v>2.1858128414340001</v>
      </c>
      <c r="V626" s="2">
        <v>0.66666666666666596</v>
      </c>
      <c r="W626" s="2">
        <v>0.16666666666666599</v>
      </c>
      <c r="X626" s="2">
        <v>3.5</v>
      </c>
      <c r="Y626" s="2">
        <v>0.16666666666666899</v>
      </c>
      <c r="Z626" s="7">
        <v>116.76727421907</v>
      </c>
      <c r="AA626" s="2">
        <v>8.9860780182949807</v>
      </c>
      <c r="AB626" s="7">
        <v>100.872323552735</v>
      </c>
      <c r="AC626" s="2">
        <v>1.7155676171924501</v>
      </c>
      <c r="AD626" s="2">
        <v>110.801393728222</v>
      </c>
      <c r="AE626" s="2">
        <v>27.417861425652902</v>
      </c>
      <c r="AF626" s="2">
        <v>94</v>
      </c>
      <c r="AG626" s="2">
        <v>4.54312667664008</v>
      </c>
      <c r="AH626" s="2">
        <v>106.870229007633</v>
      </c>
      <c r="AI626" s="2">
        <v>19.068696178315701</v>
      </c>
      <c r="AJ626" s="2">
        <v>102.127659574468</v>
      </c>
      <c r="AK626" s="2">
        <v>25.5319148936169</v>
      </c>
      <c r="AL626" s="2">
        <v>91.636363636363598</v>
      </c>
      <c r="AM626" s="2">
        <v>4.3636363636364202</v>
      </c>
      <c r="AN626"/>
      <c r="AO626"/>
    </row>
    <row r="627" spans="1:41" ht="15.75" hidden="1" customHeight="1" x14ac:dyDescent="0.45">
      <c r="A627" s="2" t="s">
        <v>153</v>
      </c>
      <c r="B627" s="2" t="s">
        <v>104</v>
      </c>
      <c r="C627" s="2">
        <v>0.03</v>
      </c>
      <c r="D627" s="2"/>
      <c r="E627" s="2" t="s">
        <v>109</v>
      </c>
      <c r="F627" s="2" t="s">
        <v>84</v>
      </c>
      <c r="H627" s="2" t="s">
        <v>87</v>
      </c>
      <c r="K627" s="2">
        <v>33.1111111111111</v>
      </c>
      <c r="L627" s="2"/>
      <c r="M627" s="2">
        <v>0.25458753860814498</v>
      </c>
      <c r="N627" s="2">
        <v>258.888888888888</v>
      </c>
      <c r="O627" s="2">
        <v>4.61378771044002</v>
      </c>
      <c r="P627" s="2">
        <v>13.5555555555555</v>
      </c>
      <c r="Q627" s="2">
        <v>0.82214714371937303</v>
      </c>
      <c r="R627" s="2">
        <v>2.2222222222222201</v>
      </c>
      <c r="S627" s="2">
        <v>0.41943524640392998</v>
      </c>
      <c r="T627" s="2">
        <v>7.5</v>
      </c>
      <c r="U627" s="2">
        <v>0.44095855184411198</v>
      </c>
      <c r="V627" s="2">
        <v>0.66666666666666596</v>
      </c>
      <c r="W627" s="2">
        <v>0.28867513459481198</v>
      </c>
      <c r="X627" s="2">
        <v>3.9444444444444402</v>
      </c>
      <c r="Y627" s="2">
        <v>0.34694433324435497</v>
      </c>
      <c r="Z627" s="7">
        <v>109.242220008204</v>
      </c>
      <c r="AA627" s="2">
        <v>1.9468599610366299</v>
      </c>
      <c r="AB627" s="7">
        <v>94.528152260111</v>
      </c>
      <c r="AC627" s="2">
        <v>0.72681612925402195</v>
      </c>
      <c r="AD627" s="2">
        <v>94.076655052264798</v>
      </c>
      <c r="AE627" s="2">
        <v>5.5311874098913103</v>
      </c>
      <c r="AF627" s="2">
        <v>97.6</v>
      </c>
      <c r="AG627" s="2">
        <v>5.9194594347794798</v>
      </c>
      <c r="AH627" s="2">
        <v>122.13740458015199</v>
      </c>
      <c r="AI627" s="2">
        <v>23.0529295733457</v>
      </c>
      <c r="AJ627" s="2">
        <v>102.127659574468</v>
      </c>
      <c r="AK627" s="2">
        <v>44.222573810269203</v>
      </c>
      <c r="AL627" s="2">
        <v>103.272727272727</v>
      </c>
      <c r="AM627" s="2">
        <v>9.0836334522158495</v>
      </c>
      <c r="AN627"/>
      <c r="AO627"/>
    </row>
    <row r="628" spans="1:41" ht="15.75" hidden="1" customHeight="1" x14ac:dyDescent="0.45">
      <c r="A628" s="2" t="s">
        <v>153</v>
      </c>
      <c r="B628" s="2" t="s">
        <v>104</v>
      </c>
      <c r="C628" s="2">
        <v>0.1</v>
      </c>
      <c r="D628" s="2"/>
      <c r="E628" s="2" t="s">
        <v>109</v>
      </c>
      <c r="F628" s="2" t="s">
        <v>84</v>
      </c>
      <c r="H628" s="2" t="s">
        <v>87</v>
      </c>
      <c r="K628" s="2">
        <v>32.3333333333333</v>
      </c>
      <c r="L628" s="2"/>
      <c r="M628" s="2">
        <v>2.4209731743889802</v>
      </c>
      <c r="N628" s="2">
        <v>241.722222222222</v>
      </c>
      <c r="O628" s="2">
        <v>13.168073061315599</v>
      </c>
      <c r="P628" s="2">
        <v>14.1666666666666</v>
      </c>
      <c r="Q628" s="2">
        <v>0.44095855184404797</v>
      </c>
      <c r="R628" s="2">
        <v>1.94444444444444</v>
      </c>
      <c r="S628" s="2">
        <v>0.75154162547048098</v>
      </c>
      <c r="T628" s="2">
        <v>7.6666666666666599</v>
      </c>
      <c r="U628" s="2">
        <v>2.8915585954829099</v>
      </c>
      <c r="V628" s="2">
        <v>0.61111111111111105</v>
      </c>
      <c r="W628" s="2">
        <v>0.25458753860865702</v>
      </c>
      <c r="X628" s="2">
        <v>4.2777777777777697</v>
      </c>
      <c r="Y628" s="2">
        <v>0.41943524640392299</v>
      </c>
      <c r="Z628" s="7">
        <v>101.998476235128</v>
      </c>
      <c r="AA628" s="2">
        <v>5.55647459658163</v>
      </c>
      <c r="AB628" s="7">
        <v>92.307692307692307</v>
      </c>
      <c r="AC628" s="2">
        <v>6.9115808309281102</v>
      </c>
      <c r="AD628" s="2">
        <v>96.167247386759499</v>
      </c>
      <c r="AE628" s="2">
        <v>36.270421406754302</v>
      </c>
      <c r="AF628" s="2">
        <v>102</v>
      </c>
      <c r="AG628" s="2">
        <v>3.1749015732771402</v>
      </c>
      <c r="AH628" s="2">
        <v>106.870229007633</v>
      </c>
      <c r="AI628" s="2">
        <v>41.306104606011097</v>
      </c>
      <c r="AJ628" s="2">
        <v>93.617021276595693</v>
      </c>
      <c r="AK628" s="2">
        <v>39.0006442123901</v>
      </c>
      <c r="AL628" s="2">
        <v>112</v>
      </c>
      <c r="AM628" s="2">
        <v>10.981577360393601</v>
      </c>
      <c r="AN628"/>
      <c r="AO628"/>
    </row>
    <row r="629" spans="1:41" ht="15.75" hidden="1" customHeight="1" x14ac:dyDescent="0.45">
      <c r="A629" s="2" t="s">
        <v>153</v>
      </c>
      <c r="B629" s="2" t="s">
        <v>104</v>
      </c>
      <c r="C629" s="2">
        <v>0.3</v>
      </c>
      <c r="D629" s="2"/>
      <c r="E629" s="2" t="s">
        <v>109</v>
      </c>
      <c r="F629" s="2" t="s">
        <v>84</v>
      </c>
      <c r="H629" s="2" t="s">
        <v>87</v>
      </c>
      <c r="K629" s="2">
        <v>31.3888888888888</v>
      </c>
      <c r="L629" s="2"/>
      <c r="M629" s="2">
        <v>4.99258709748025</v>
      </c>
      <c r="N629" s="2">
        <v>206.166666666666</v>
      </c>
      <c r="O629" s="2">
        <v>66.942761620158294</v>
      </c>
      <c r="P629" s="2">
        <v>13.6111111111111</v>
      </c>
      <c r="Q629" s="2">
        <v>1.71053381314896</v>
      </c>
      <c r="R629" s="2">
        <v>2.1666666666666599</v>
      </c>
      <c r="S629" s="2">
        <v>0.33333333333333398</v>
      </c>
      <c r="T629" s="2">
        <v>9.1666666666666607</v>
      </c>
      <c r="U629" s="2">
        <v>0.76376261582595995</v>
      </c>
      <c r="V629" s="2">
        <v>0.72222222222222199</v>
      </c>
      <c r="W629" s="2">
        <v>0.25458753860865702</v>
      </c>
      <c r="X629" s="2">
        <v>3.5</v>
      </c>
      <c r="Y629" s="2">
        <v>0.16666666666666899</v>
      </c>
      <c r="Z629" s="7">
        <v>86.995252886362294</v>
      </c>
      <c r="AA629" s="2">
        <v>28.247546367294099</v>
      </c>
      <c r="AB629" s="7">
        <v>89.611419508326705</v>
      </c>
      <c r="AC629" s="2">
        <v>14.2532224828936</v>
      </c>
      <c r="AD629" s="2">
        <v>114.982578397212</v>
      </c>
      <c r="AE629" s="2">
        <v>9.5802976201165801</v>
      </c>
      <c r="AF629" s="2">
        <v>98</v>
      </c>
      <c r="AG629" s="2">
        <v>12.3158434546725</v>
      </c>
      <c r="AH629" s="2">
        <v>119.083969465648</v>
      </c>
      <c r="AI629" s="2">
        <v>18.320610687022899</v>
      </c>
      <c r="AJ629" s="2">
        <v>110.63829787234</v>
      </c>
      <c r="AK629" s="2">
        <v>39.0006442123901</v>
      </c>
      <c r="AL629" s="2">
        <v>91.636363636363598</v>
      </c>
      <c r="AM629" s="2">
        <v>4.3636363636364202</v>
      </c>
      <c r="AN629"/>
      <c r="AO629"/>
    </row>
    <row r="630" spans="1:41" ht="15.75" hidden="1" customHeight="1" x14ac:dyDescent="0.45">
      <c r="A630" s="2" t="s">
        <v>153</v>
      </c>
      <c r="B630" s="2" t="s">
        <v>104</v>
      </c>
      <c r="C630" s="2">
        <v>1</v>
      </c>
      <c r="D630" s="2"/>
      <c r="E630" s="2" t="s">
        <v>109</v>
      </c>
      <c r="F630" s="2" t="s">
        <v>84</v>
      </c>
      <c r="H630" s="2" t="s">
        <v>87</v>
      </c>
      <c r="K630" s="2">
        <v>33.1666666666666</v>
      </c>
      <c r="L630" s="2"/>
      <c r="M630" s="2">
        <v>1.8929694486000701</v>
      </c>
      <c r="N630" s="2">
        <v>216.833333333333</v>
      </c>
      <c r="O630" s="2">
        <v>13.2612635563544</v>
      </c>
      <c r="P630" s="2">
        <v>12.6111111111111</v>
      </c>
      <c r="Q630" s="2">
        <v>0.96225044864937503</v>
      </c>
      <c r="R630" s="2">
        <v>2.1666666666666599</v>
      </c>
      <c r="S630" s="2">
        <v>0.33333333333333398</v>
      </c>
      <c r="T630" s="2">
        <v>7.2222222222222197</v>
      </c>
      <c r="U630" s="2">
        <v>1.97437284932409</v>
      </c>
      <c r="V630" s="2">
        <v>0.66666666666666596</v>
      </c>
      <c r="W630" s="2">
        <v>0.16666666666666699</v>
      </c>
      <c r="X630" s="2">
        <v>3.88888888888888</v>
      </c>
      <c r="Y630" s="2">
        <v>0.58531409738070606</v>
      </c>
      <c r="Z630" s="7">
        <v>91.496219890992194</v>
      </c>
      <c r="AA630" s="2">
        <v>5.5957977850174103</v>
      </c>
      <c r="AB630" s="7">
        <v>94.686756542426593</v>
      </c>
      <c r="AC630" s="2">
        <v>5.4041950951310502</v>
      </c>
      <c r="AD630" s="2">
        <v>90.592334494773496</v>
      </c>
      <c r="AE630" s="2">
        <v>24.765652465389302</v>
      </c>
      <c r="AF630" s="2">
        <v>90.8</v>
      </c>
      <c r="AG630" s="2">
        <v>6.9282032302754999</v>
      </c>
      <c r="AH630" s="2">
        <v>119.083969465648</v>
      </c>
      <c r="AI630" s="2">
        <v>18.320610687022899</v>
      </c>
      <c r="AJ630" s="2">
        <v>102.127659574468</v>
      </c>
      <c r="AK630" s="2">
        <v>25.531914893617</v>
      </c>
      <c r="AL630" s="2">
        <v>101.818181818181</v>
      </c>
      <c r="AM630" s="2">
        <v>15.324587276876599</v>
      </c>
      <c r="AN630"/>
      <c r="AO630"/>
    </row>
    <row r="631" spans="1:41" ht="15.75" hidden="1" customHeight="1" x14ac:dyDescent="0.45">
      <c r="A631" s="2" t="s">
        <v>153</v>
      </c>
      <c r="B631" s="2" t="s">
        <v>104</v>
      </c>
      <c r="C631" s="2">
        <v>3</v>
      </c>
      <c r="D631" s="2"/>
      <c r="E631" s="2" t="s">
        <v>109</v>
      </c>
      <c r="F631" s="2" t="s">
        <v>84</v>
      </c>
      <c r="H631" s="2" t="s">
        <v>87</v>
      </c>
      <c r="K631" s="2">
        <v>35.3333333333333</v>
      </c>
      <c r="L631" s="2"/>
      <c r="M631" s="2">
        <v>2.5166114784234699</v>
      </c>
      <c r="N631" s="2">
        <v>190</v>
      </c>
      <c r="O631" s="2">
        <v>27.1942600152639</v>
      </c>
      <c r="P631" s="2">
        <v>13.7777777777777</v>
      </c>
      <c r="Q631" s="2">
        <v>0.83887049280785597</v>
      </c>
      <c r="R631" s="2">
        <v>2.3333333333333299</v>
      </c>
      <c r="S631" s="2">
        <v>0.57735026918962395</v>
      </c>
      <c r="T631" s="2">
        <v>9.1111111111111107</v>
      </c>
      <c r="U631" s="2">
        <v>2.7097218662793798</v>
      </c>
      <c r="V631" s="2">
        <v>0.77777777777777701</v>
      </c>
      <c r="W631" s="2">
        <v>0.41943524640392998</v>
      </c>
      <c r="X631" s="2">
        <v>4.2777777777777697</v>
      </c>
      <c r="Y631" s="2">
        <v>0.91792842454768497</v>
      </c>
      <c r="Z631" s="7">
        <v>80.173474769970099</v>
      </c>
      <c r="AA631" s="2">
        <v>11.4750437853777</v>
      </c>
      <c r="AB631" s="7">
        <v>100.872323552735</v>
      </c>
      <c r="AC631" s="2">
        <v>7.1846164332470401</v>
      </c>
      <c r="AD631" s="2">
        <v>114.28571428571399</v>
      </c>
      <c r="AE631" s="2">
        <v>33.989542573539197</v>
      </c>
      <c r="AF631" s="2">
        <v>99.2</v>
      </c>
      <c r="AG631" s="2">
        <v>6.0398675482165602</v>
      </c>
      <c r="AH631" s="2">
        <v>128.24427480916</v>
      </c>
      <c r="AI631" s="2">
        <v>31.732228535612901</v>
      </c>
      <c r="AJ631" s="2">
        <v>119.148936170212</v>
      </c>
      <c r="AK631" s="2">
        <v>64.253910087410603</v>
      </c>
      <c r="AL631" s="2">
        <v>112</v>
      </c>
      <c r="AM631" s="2">
        <v>24.033035115430302</v>
      </c>
      <c r="AN631"/>
      <c r="AO631"/>
    </row>
    <row r="632" spans="1:41" ht="15.75" hidden="1" customHeight="1" x14ac:dyDescent="0.45">
      <c r="A632" s="2" t="s">
        <v>153</v>
      </c>
      <c r="B632" s="2" t="s">
        <v>104</v>
      </c>
      <c r="C632" s="2">
        <v>10</v>
      </c>
      <c r="D632" s="2"/>
      <c r="E632" s="2" t="s">
        <v>109</v>
      </c>
      <c r="F632" s="2" t="s">
        <v>84</v>
      </c>
      <c r="H632" s="2" t="s">
        <v>87</v>
      </c>
      <c r="K632" s="2">
        <v>38.8888888888888</v>
      </c>
      <c r="L632" s="2"/>
      <c r="M632" s="2">
        <v>0.76980035891951104</v>
      </c>
      <c r="N632" s="2">
        <v>192.888888888888</v>
      </c>
      <c r="O632" s="2">
        <v>30.3760383148248</v>
      </c>
      <c r="P632" s="2">
        <v>15.1666666666666</v>
      </c>
      <c r="Q632" s="2">
        <v>1.0929064207169701</v>
      </c>
      <c r="R632" s="2">
        <v>2.5</v>
      </c>
      <c r="S632" s="2">
        <v>1.25830573921179</v>
      </c>
      <c r="T632" s="2">
        <v>9.7777777777777697</v>
      </c>
      <c r="U632" s="2">
        <v>0.82214714371937303</v>
      </c>
      <c r="V632" s="2">
        <v>0.55555555555555503</v>
      </c>
      <c r="W632" s="2">
        <v>0.25458753860865702</v>
      </c>
      <c r="X632" s="2">
        <v>3.3333333333333299</v>
      </c>
      <c r="Y632" s="2">
        <v>0.86602540378443604</v>
      </c>
      <c r="Z632" s="7">
        <v>81.392486667057398</v>
      </c>
      <c r="AA632" s="2">
        <v>12.817644954975</v>
      </c>
      <c r="AB632" s="7">
        <v>111.022997620935</v>
      </c>
      <c r="AC632" s="2">
        <v>2.19768540214928</v>
      </c>
      <c r="AD632" s="2">
        <v>122.648083623693</v>
      </c>
      <c r="AE632" s="2">
        <v>10.3126470989189</v>
      </c>
      <c r="AF632" s="2">
        <v>109.19999999999899</v>
      </c>
      <c r="AG632" s="2">
        <v>7.8689262291622502</v>
      </c>
      <c r="AH632" s="2">
        <v>137.404580152671</v>
      </c>
      <c r="AI632" s="2">
        <v>69.158788720037407</v>
      </c>
      <c r="AJ632" s="2">
        <v>85.106382978723303</v>
      </c>
      <c r="AK632" s="2">
        <v>39.0006442123901</v>
      </c>
      <c r="AL632" s="2">
        <v>87.272727272727295</v>
      </c>
      <c r="AM632" s="2">
        <v>22.6741196627198</v>
      </c>
      <c r="AN632"/>
      <c r="AO632"/>
    </row>
    <row r="633" spans="1:41" ht="15.75" hidden="1" customHeight="1" x14ac:dyDescent="0.45">
      <c r="A633" s="2" t="s">
        <v>154</v>
      </c>
      <c r="B633" s="2" t="s">
        <v>155</v>
      </c>
      <c r="C633" s="2">
        <v>3.0000000000000001E-3</v>
      </c>
      <c r="D633" s="2"/>
      <c r="E633" s="2" t="s">
        <v>83</v>
      </c>
      <c r="F633" s="2" t="s">
        <v>84</v>
      </c>
      <c r="H633" s="2" t="s">
        <v>87</v>
      </c>
      <c r="K633" s="2">
        <v>39.833433828333298</v>
      </c>
      <c r="L633" s="2"/>
      <c r="M633" s="2">
        <v>3.0538527727382099</v>
      </c>
      <c r="N633" s="2">
        <v>261.722222222222</v>
      </c>
      <c r="O633" s="2">
        <v>8.5656506098682197</v>
      </c>
      <c r="P633" s="2">
        <v>33.645687248888798</v>
      </c>
      <c r="Q633" s="2">
        <v>1.5426369801539801</v>
      </c>
      <c r="R633" s="2">
        <v>3.8456879300555502</v>
      </c>
      <c r="S633" s="2">
        <v>0.48836996227694901</v>
      </c>
      <c r="T633" s="2">
        <v>4.4157521938888804</v>
      </c>
      <c r="U633" s="2">
        <v>1.87595845738595</v>
      </c>
      <c r="V633" s="2">
        <v>0.32181216333333301</v>
      </c>
      <c r="W633" s="2">
        <v>6.6690712916013806E-2</v>
      </c>
      <c r="X633" s="2">
        <v>3.06240028383333</v>
      </c>
      <c r="Y633" s="2">
        <v>0.61926798848556197</v>
      </c>
      <c r="Z633" s="7">
        <v>93.844621513944205</v>
      </c>
      <c r="AA633" s="2">
        <v>3.07134882425553</v>
      </c>
      <c r="AB633" s="7">
        <v>99.782607293455996</v>
      </c>
      <c r="AC633" s="2">
        <v>7.6498901216349999</v>
      </c>
      <c r="AD633" s="2">
        <v>99.736665042760094</v>
      </c>
      <c r="AE633" s="2">
        <v>42.371453850461201</v>
      </c>
      <c r="AF633" s="2">
        <v>99.4965438486728</v>
      </c>
      <c r="AG633" s="2">
        <v>4.5618639560867997</v>
      </c>
      <c r="AH633" s="2">
        <v>102.95510035476001</v>
      </c>
      <c r="AI633" s="2">
        <v>13.0744302166368</v>
      </c>
      <c r="AJ633" s="2">
        <v>68.427182772048496</v>
      </c>
      <c r="AK633" s="2">
        <v>14.180500682864</v>
      </c>
      <c r="AL633" s="2">
        <v>90.954596657901604</v>
      </c>
      <c r="AM633" s="2">
        <v>18.392523803370899</v>
      </c>
      <c r="AN633"/>
      <c r="AO633"/>
    </row>
    <row r="634" spans="1:41" ht="15.75" hidden="1" customHeight="1" x14ac:dyDescent="0.45">
      <c r="A634" s="2" t="s">
        <v>154</v>
      </c>
      <c r="B634" s="2" t="s">
        <v>155</v>
      </c>
      <c r="C634" s="2">
        <v>0.01</v>
      </c>
      <c r="D634" s="2"/>
      <c r="E634" s="2" t="s">
        <v>83</v>
      </c>
      <c r="F634" s="2" t="s">
        <v>84</v>
      </c>
      <c r="H634" s="2" t="s">
        <v>87</v>
      </c>
      <c r="K634" s="2">
        <v>37.801756196666602</v>
      </c>
      <c r="L634" s="2"/>
      <c r="M634" s="2">
        <v>3.3400685764911802</v>
      </c>
      <c r="N634" s="2">
        <v>283.27777777777698</v>
      </c>
      <c r="O634" s="2">
        <v>32.250897202563998</v>
      </c>
      <c r="P634" s="2">
        <v>32.318785893888801</v>
      </c>
      <c r="Q634" s="2">
        <v>2.0172550509468801</v>
      </c>
      <c r="R634" s="2">
        <v>2.85258729294444</v>
      </c>
      <c r="S634" s="2">
        <v>0.75189037145514004</v>
      </c>
      <c r="T634" s="2">
        <v>4.5628937713888797</v>
      </c>
      <c r="U634" s="2">
        <v>1.7638491005327499</v>
      </c>
      <c r="V634" s="2">
        <v>0.35850747988888798</v>
      </c>
      <c r="W634" s="2">
        <v>8.3171009106990407E-2</v>
      </c>
      <c r="X634" s="2">
        <v>3.0347256248333299</v>
      </c>
      <c r="Y634" s="2">
        <v>0.94536466640193495</v>
      </c>
      <c r="Z634" s="7">
        <v>101.573705179282</v>
      </c>
      <c r="AA634" s="2">
        <v>11.564066726018901</v>
      </c>
      <c r="AB634" s="7">
        <v>94.693262193528994</v>
      </c>
      <c r="AC634" s="2">
        <v>8.3668596721423398</v>
      </c>
      <c r="AD634" s="2">
        <v>103.06008755032001</v>
      </c>
      <c r="AE634" s="2">
        <v>39.839288800959302</v>
      </c>
      <c r="AF634" s="2">
        <v>95.5726501896131</v>
      </c>
      <c r="AG634" s="2">
        <v>5.9653977089477301</v>
      </c>
      <c r="AH634" s="2">
        <v>76.368237973893102</v>
      </c>
      <c r="AI634" s="2">
        <v>20.129285073795401</v>
      </c>
      <c r="AJ634" s="2">
        <v>76.229737861379704</v>
      </c>
      <c r="AK634" s="2">
        <v>17.684719503920199</v>
      </c>
      <c r="AL634" s="2">
        <v>90.132647463252496</v>
      </c>
      <c r="AM634" s="2">
        <v>28.077734442862699</v>
      </c>
      <c r="AN634"/>
      <c r="AO634"/>
    </row>
    <row r="635" spans="1:41" ht="15.75" hidden="1" customHeight="1" x14ac:dyDescent="0.45">
      <c r="A635" s="2" t="s">
        <v>154</v>
      </c>
      <c r="B635" s="2" t="s">
        <v>155</v>
      </c>
      <c r="C635" s="2">
        <v>0.03</v>
      </c>
      <c r="D635" s="2"/>
      <c r="E635" s="2" t="s">
        <v>83</v>
      </c>
      <c r="F635" s="2" t="s">
        <v>84</v>
      </c>
      <c r="H635" s="2" t="s">
        <v>87</v>
      </c>
      <c r="K635" s="2">
        <v>42.5612417322222</v>
      </c>
      <c r="L635" s="2"/>
      <c r="M635" s="2">
        <v>1.76537950182222</v>
      </c>
      <c r="N635" s="2">
        <v>272.166666666666</v>
      </c>
      <c r="O635" s="2">
        <v>13.980144650338699</v>
      </c>
      <c r="P635" s="2">
        <v>35.1382510811111</v>
      </c>
      <c r="Q635" s="2">
        <v>3.8176987033381602</v>
      </c>
      <c r="R635" s="2">
        <v>3.4312304411666599</v>
      </c>
      <c r="S635" s="2">
        <v>0.68788836545037502</v>
      </c>
      <c r="T635" s="2">
        <v>4.25351582444444</v>
      </c>
      <c r="U635" s="2">
        <v>0.60651721104732004</v>
      </c>
      <c r="V635" s="2">
        <v>0.34540012483333299</v>
      </c>
      <c r="W635" s="2">
        <v>0.114488688237803</v>
      </c>
      <c r="X635" s="2">
        <v>3.17370028527777</v>
      </c>
      <c r="Y635" s="2">
        <v>0.63788212689387902</v>
      </c>
      <c r="Z635" s="7">
        <v>97.589641434263001</v>
      </c>
      <c r="AA635" s="2">
        <v>5.0128008706393796</v>
      </c>
      <c r="AB635" s="7">
        <v>106.615756200948</v>
      </c>
      <c r="AC635" s="2">
        <v>4.4222692503337901</v>
      </c>
      <c r="AD635" s="2">
        <v>96.072303066237197</v>
      </c>
      <c r="AE635" s="2">
        <v>13.699139187342199</v>
      </c>
      <c r="AF635" s="2">
        <v>103.910332209751</v>
      </c>
      <c r="AG635" s="2">
        <v>11.2896438591918</v>
      </c>
      <c r="AH635" s="2">
        <v>91.859423030594499</v>
      </c>
      <c r="AI635" s="2">
        <v>18.415850944200901</v>
      </c>
      <c r="AJ635" s="2">
        <v>73.442710265049797</v>
      </c>
      <c r="AK635" s="2">
        <v>24.343823161418602</v>
      </c>
      <c r="AL635" s="2">
        <v>94.260254247095503</v>
      </c>
      <c r="AM635" s="2">
        <v>18.945371665879399</v>
      </c>
      <c r="AN635"/>
      <c r="AO635"/>
    </row>
    <row r="636" spans="1:41" ht="15.75" hidden="1" customHeight="1" x14ac:dyDescent="0.45">
      <c r="A636" s="2" t="s">
        <v>154</v>
      </c>
      <c r="B636" s="2" t="s">
        <v>155</v>
      </c>
      <c r="C636" s="2">
        <v>0.1</v>
      </c>
      <c r="D636" s="2"/>
      <c r="E636" s="2" t="s">
        <v>83</v>
      </c>
      <c r="F636" s="2" t="s">
        <v>84</v>
      </c>
      <c r="H636" s="2" t="s">
        <v>87</v>
      </c>
      <c r="K636" s="2">
        <v>41.583789156555497</v>
      </c>
      <c r="L636" s="2"/>
      <c r="M636" s="2">
        <v>2.1172424461047101</v>
      </c>
      <c r="N636" s="2">
        <v>288</v>
      </c>
      <c r="O636" s="2">
        <v>72.420262664840294</v>
      </c>
      <c r="P636" s="2">
        <v>33.275165039888797</v>
      </c>
      <c r="Q636" s="2">
        <v>3.6590787736224302</v>
      </c>
      <c r="R636" s="2">
        <v>3.8846404005666599</v>
      </c>
      <c r="S636" s="2">
        <v>1.14007468633549</v>
      </c>
      <c r="T636" s="2">
        <v>4.9931305489333297</v>
      </c>
      <c r="U636" s="2">
        <v>2.0382610347585102</v>
      </c>
      <c r="V636" s="2">
        <v>0.39074412125555502</v>
      </c>
      <c r="W636" s="2">
        <v>0.29132497504987298</v>
      </c>
      <c r="X636" s="2">
        <v>3.7579464465222201</v>
      </c>
      <c r="Y636" s="2">
        <v>0.973355587499937</v>
      </c>
      <c r="Z636" s="7">
        <v>103.266932270916</v>
      </c>
      <c r="AA636" s="2">
        <v>25.967424859902899</v>
      </c>
      <c r="AB636" s="7">
        <v>104.167241043403</v>
      </c>
      <c r="AC636" s="2">
        <v>5.3036846498137296</v>
      </c>
      <c r="AD636" s="2">
        <v>112.77765762375201</v>
      </c>
      <c r="AE636" s="2">
        <v>46.037311236522498</v>
      </c>
      <c r="AF636" s="2">
        <v>98.400840885557002</v>
      </c>
      <c r="AG636" s="2">
        <v>10.8205752776678</v>
      </c>
      <c r="AH636" s="2">
        <v>103.99791911267199</v>
      </c>
      <c r="AI636" s="2">
        <v>30.5215883031616</v>
      </c>
      <c r="AJ636" s="2">
        <v>83.084241208628995</v>
      </c>
      <c r="AK636" s="2">
        <v>61.944667060803098</v>
      </c>
      <c r="AL636" s="2">
        <v>111.612614820416</v>
      </c>
      <c r="AM636" s="2">
        <v>28.909076756926599</v>
      </c>
      <c r="AN636"/>
      <c r="AO636"/>
    </row>
    <row r="637" spans="1:41" ht="15.75" hidden="1" customHeight="1" x14ac:dyDescent="0.45">
      <c r="A637" s="2" t="s">
        <v>154</v>
      </c>
      <c r="B637" s="2" t="s">
        <v>155</v>
      </c>
      <c r="C637" s="2">
        <v>0.3</v>
      </c>
      <c r="D637" s="2"/>
      <c r="E637" s="2" t="s">
        <v>83</v>
      </c>
      <c r="F637" s="2" t="s">
        <v>84</v>
      </c>
      <c r="H637" s="2" t="s">
        <v>87</v>
      </c>
      <c r="K637" s="2">
        <v>40.415800008888802</v>
      </c>
      <c r="L637" s="2"/>
      <c r="M637" s="2">
        <v>1.2576695172525101</v>
      </c>
      <c r="N637" s="2">
        <v>317.5</v>
      </c>
      <c r="O637" s="2">
        <v>14.9731240709635</v>
      </c>
      <c r="P637" s="2">
        <v>32.830513228333302</v>
      </c>
      <c r="Q637" s="2">
        <v>1.43125371919094</v>
      </c>
      <c r="R637" s="2">
        <v>4.0462932346111096</v>
      </c>
      <c r="S637" s="2">
        <v>1.0247054366489401</v>
      </c>
      <c r="T637" s="2">
        <v>4.0745194420555499</v>
      </c>
      <c r="U637" s="2">
        <v>0.111507750427114</v>
      </c>
      <c r="V637" s="2">
        <v>0.37570181405555497</v>
      </c>
      <c r="W637" s="2">
        <v>0.18377793355705099</v>
      </c>
      <c r="X637" s="2">
        <v>3.2103650087222202</v>
      </c>
      <c r="Y637" s="2">
        <v>0.12651640709992901</v>
      </c>
      <c r="Z637" s="7">
        <v>113.84462151394401</v>
      </c>
      <c r="AA637" s="2">
        <v>5.3688492684729701</v>
      </c>
      <c r="AB637" s="7">
        <v>101.241432463934</v>
      </c>
      <c r="AC637" s="2">
        <v>3.15045758007673</v>
      </c>
      <c r="AD637" s="2">
        <v>92.029390001755601</v>
      </c>
      <c r="AE637" s="2">
        <v>2.5185768280684</v>
      </c>
      <c r="AF637" s="2">
        <v>97.085922924792499</v>
      </c>
      <c r="AG637" s="2">
        <v>4.2324829740180201</v>
      </c>
      <c r="AH637" s="2">
        <v>108.32561913783699</v>
      </c>
      <c r="AI637" s="2">
        <v>27.432972457215602</v>
      </c>
      <c r="AJ637" s="2">
        <v>79.885783159603903</v>
      </c>
      <c r="AK637" s="2">
        <v>39.076851908646297</v>
      </c>
      <c r="AL637" s="2">
        <v>95.349212196213998</v>
      </c>
      <c r="AM637" s="2">
        <v>3.7575913374644898</v>
      </c>
      <c r="AN637"/>
      <c r="AO637"/>
    </row>
    <row r="638" spans="1:41" ht="15.75" hidden="1" customHeight="1" x14ac:dyDescent="0.45">
      <c r="A638" s="2" t="s">
        <v>154</v>
      </c>
      <c r="B638" s="2" t="s">
        <v>155</v>
      </c>
      <c r="C638" s="2">
        <v>1</v>
      </c>
      <c r="D638" s="2"/>
      <c r="E638" s="2" t="s">
        <v>83</v>
      </c>
      <c r="F638" s="2" t="s">
        <v>84</v>
      </c>
      <c r="H638" s="2" t="s">
        <v>87</v>
      </c>
      <c r="K638" s="2">
        <v>42.513010359444401</v>
      </c>
      <c r="L638" s="2"/>
      <c r="M638" s="2">
        <v>3.0307016381541598</v>
      </c>
      <c r="N638" s="2">
        <v>278.77777777777698</v>
      </c>
      <c r="O638" s="2">
        <v>17.258116716274898</v>
      </c>
      <c r="P638" s="2">
        <v>34.327030057222203</v>
      </c>
      <c r="Q638" s="2">
        <v>1.99786341993179</v>
      </c>
      <c r="R638" s="2">
        <v>4.2005070135000002</v>
      </c>
      <c r="S638" s="2">
        <v>0.45313458888879299</v>
      </c>
      <c r="T638" s="2">
        <v>4.6058807835</v>
      </c>
      <c r="U638" s="2">
        <v>0.96226583165412705</v>
      </c>
      <c r="V638" s="2">
        <v>0.62028913900000004</v>
      </c>
      <c r="W638" s="2">
        <v>0.211468907645666</v>
      </c>
      <c r="X638" s="2">
        <v>3.5407153304444399</v>
      </c>
      <c r="Y638" s="2">
        <v>0.51950189870122698</v>
      </c>
      <c r="Z638" s="7">
        <v>99.960159362549803</v>
      </c>
      <c r="AA638" s="2">
        <v>6.1881693404969997</v>
      </c>
      <c r="AB638" s="7">
        <v>106.49493678703899</v>
      </c>
      <c r="AC638" s="2">
        <v>7.5918966134540797</v>
      </c>
      <c r="AD638" s="2">
        <v>104.031016406801</v>
      </c>
      <c r="AE638" s="2">
        <v>21.734277812645601</v>
      </c>
      <c r="AF638" s="2">
        <v>101.511401030927</v>
      </c>
      <c r="AG638" s="2">
        <v>5.90805305578853</v>
      </c>
      <c r="AH638" s="2">
        <v>112.454163983483</v>
      </c>
      <c r="AI638" s="2">
        <v>12.1311239813952</v>
      </c>
      <c r="AJ638" s="2">
        <v>131.892585557449</v>
      </c>
      <c r="AK638" s="2">
        <v>44.964806314940901</v>
      </c>
      <c r="AL638" s="2">
        <v>105.160757873855</v>
      </c>
      <c r="AM638" s="2">
        <v>15.429428317658701</v>
      </c>
      <c r="AN638"/>
      <c r="AO638"/>
    </row>
    <row r="639" spans="1:41" ht="15.75" hidden="1" customHeight="1" x14ac:dyDescent="0.45">
      <c r="A639" s="2" t="s">
        <v>154</v>
      </c>
      <c r="B639" s="2" t="s">
        <v>155</v>
      </c>
      <c r="C639" s="2">
        <v>3</v>
      </c>
      <c r="D639" s="2"/>
      <c r="E639" s="2" t="s">
        <v>83</v>
      </c>
      <c r="F639" s="2" t="s">
        <v>84</v>
      </c>
      <c r="H639" s="2" t="s">
        <v>87</v>
      </c>
      <c r="K639" s="2">
        <v>38.206204151666597</v>
      </c>
      <c r="L639" s="2"/>
      <c r="M639" s="2">
        <v>1.4815263126221301</v>
      </c>
      <c r="N639" s="2">
        <v>310.33333333333297</v>
      </c>
      <c r="O639" s="2">
        <v>54.311089516271601</v>
      </c>
      <c r="P639" s="2">
        <v>30.542111538333302</v>
      </c>
      <c r="Q639" s="2">
        <v>3.04187160568791</v>
      </c>
      <c r="R639" s="2">
        <v>7.1529349812777703</v>
      </c>
      <c r="S639" s="2">
        <v>5.6915280952393603</v>
      </c>
      <c r="T639" s="2">
        <v>4.8219477383333302</v>
      </c>
      <c r="U639" s="2">
        <v>1.70428433409834</v>
      </c>
      <c r="V639" s="2">
        <v>0.40550240650000002</v>
      </c>
      <c r="W639" s="2">
        <v>5.3513036280031498E-2</v>
      </c>
      <c r="X639" s="2">
        <v>3.5285243771666601</v>
      </c>
      <c r="Y639" s="2">
        <v>0.14389791059118401</v>
      </c>
      <c r="Z639" s="7">
        <v>111.274900398406</v>
      </c>
      <c r="AA639" s="2">
        <v>19.474095842487799</v>
      </c>
      <c r="AB639" s="7">
        <v>95.706402854169298</v>
      </c>
      <c r="AC639" s="2">
        <v>3.7112180407139501</v>
      </c>
      <c r="AD639" s="2">
        <v>108.9112262906</v>
      </c>
      <c r="AE639" s="2">
        <v>38.493925452345501</v>
      </c>
      <c r="AF639" s="2">
        <v>90.318694263116697</v>
      </c>
      <c r="AG639" s="2">
        <v>8.9953790914868303</v>
      </c>
      <c r="AH639" s="2">
        <v>191.495293487814</v>
      </c>
      <c r="AI639" s="2">
        <v>152.37113797968601</v>
      </c>
      <c r="AJ639" s="2">
        <v>86.222307437585101</v>
      </c>
      <c r="AK639" s="2">
        <v>11.378520551531</v>
      </c>
      <c r="AL639" s="2">
        <v>104.798681353647</v>
      </c>
      <c r="AM639" s="2">
        <v>4.2738294163664801</v>
      </c>
      <c r="AN639"/>
      <c r="AO639"/>
    </row>
    <row r="640" spans="1:41" ht="15.75" hidden="1" customHeight="1" x14ac:dyDescent="0.45">
      <c r="A640" s="2" t="s">
        <v>154</v>
      </c>
      <c r="B640" s="2" t="s">
        <v>155</v>
      </c>
      <c r="C640" s="2">
        <v>10</v>
      </c>
      <c r="D640" s="2"/>
      <c r="E640" s="2" t="s">
        <v>83</v>
      </c>
      <c r="F640" s="2" t="s">
        <v>84</v>
      </c>
      <c r="H640" s="2" t="s">
        <v>87</v>
      </c>
      <c r="K640" s="2">
        <v>37.757164336111103</v>
      </c>
      <c r="L640" s="2"/>
      <c r="M640" s="2">
        <v>3.0029120615974101</v>
      </c>
      <c r="N640" s="2">
        <v>242.388888888888</v>
      </c>
      <c r="O640" s="2">
        <v>52.6176811572915</v>
      </c>
      <c r="P640" s="2">
        <v>32.2596952011111</v>
      </c>
      <c r="Q640" s="2">
        <v>3.98296021584662</v>
      </c>
      <c r="R640" s="2">
        <v>2.6327950900000001</v>
      </c>
      <c r="S640" s="2">
        <v>0.662004040192268</v>
      </c>
      <c r="T640" s="2">
        <v>4.1877365519444396</v>
      </c>
      <c r="U640" s="2">
        <v>2.1315328184267899</v>
      </c>
      <c r="V640" s="2">
        <v>0.31628464583333299</v>
      </c>
      <c r="W640" s="2">
        <v>0.103835236275066</v>
      </c>
      <c r="X640" s="2">
        <v>2.64562241366666</v>
      </c>
      <c r="Y640" s="2">
        <v>0.217580423503657</v>
      </c>
      <c r="Z640" s="7">
        <v>86.912350597609503</v>
      </c>
      <c r="AA640" s="2">
        <v>18.866897626120402</v>
      </c>
      <c r="AB640" s="7">
        <v>94.581559744539206</v>
      </c>
      <c r="AC640" s="2">
        <v>7.5222838249517299</v>
      </c>
      <c r="AD640" s="2">
        <v>94.586575384967304</v>
      </c>
      <c r="AE640" s="2">
        <v>48.144000252844101</v>
      </c>
      <c r="AF640" s="2">
        <v>95.3979080402992</v>
      </c>
      <c r="AG640" s="2">
        <v>11.778352834109199</v>
      </c>
      <c r="AH640" s="2">
        <v>70.484055813794498</v>
      </c>
      <c r="AI640" s="2">
        <v>17.722886940612302</v>
      </c>
      <c r="AJ640" s="2">
        <v>67.2518622175659</v>
      </c>
      <c r="AK640" s="2">
        <v>22.078570981213399</v>
      </c>
      <c r="AL640" s="2">
        <v>78.576115870439807</v>
      </c>
      <c r="AM640" s="2">
        <v>6.4622315263302896</v>
      </c>
      <c r="AN640"/>
      <c r="AO640"/>
    </row>
    <row r="641" spans="1:41" ht="15.75" hidden="1" customHeight="1" x14ac:dyDescent="0.45">
      <c r="A641" s="2" t="s">
        <v>156</v>
      </c>
      <c r="B641" s="2" t="s">
        <v>157</v>
      </c>
      <c r="C641" s="2">
        <v>3.0000000000000001E-3</v>
      </c>
      <c r="D641" s="2"/>
      <c r="E641" s="2" t="s">
        <v>109</v>
      </c>
      <c r="F641" s="2" t="s">
        <v>84</v>
      </c>
      <c r="H641" s="2" t="s">
        <v>87</v>
      </c>
      <c r="K641" s="2">
        <v>33.8888888888888</v>
      </c>
      <c r="L641" s="2"/>
      <c r="M641" s="2">
        <v>0.855266906574771</v>
      </c>
      <c r="N641" s="2">
        <v>150.555555555555</v>
      </c>
      <c r="O641" s="2">
        <v>7.7823399318468098</v>
      </c>
      <c r="P641" s="2">
        <v>17.8888888888888</v>
      </c>
      <c r="Q641" s="2">
        <v>0.97657754618035197</v>
      </c>
      <c r="R641" s="2">
        <v>2.55555555555555</v>
      </c>
      <c r="S641" s="2">
        <v>0.34694433324435198</v>
      </c>
      <c r="T641" s="2">
        <v>4.7222222222222197</v>
      </c>
      <c r="U641" s="2">
        <v>1.83585684909536</v>
      </c>
      <c r="V641" s="2">
        <v>0.55555555555555503</v>
      </c>
      <c r="W641" s="2">
        <v>0.19245008972987501</v>
      </c>
      <c r="X641" s="2">
        <v>2.88888888888888</v>
      </c>
      <c r="Y641" s="2">
        <v>0.34694433324435497</v>
      </c>
      <c r="Z641" s="7">
        <v>104.866015284898</v>
      </c>
      <c r="AA641" s="2">
        <v>5.4206101876073296</v>
      </c>
      <c r="AB641" s="7">
        <v>95.3125</v>
      </c>
      <c r="AC641" s="2">
        <v>2.4054381747415401</v>
      </c>
      <c r="AD641" s="2">
        <v>96.590909090909093</v>
      </c>
      <c r="AE641" s="2">
        <v>37.551617367859699</v>
      </c>
      <c r="AF641" s="2">
        <v>106.622516556291</v>
      </c>
      <c r="AG641" s="2">
        <v>5.8206608712736196</v>
      </c>
      <c r="AH641" s="2">
        <v>109.52380952380901</v>
      </c>
      <c r="AI641" s="2">
        <v>14.8690428533294</v>
      </c>
      <c r="AJ641" s="2">
        <v>90.909090909090907</v>
      </c>
      <c r="AK641" s="2">
        <v>31.4918328648886</v>
      </c>
      <c r="AL641" s="2">
        <v>128.39506172839501</v>
      </c>
      <c r="AM641" s="2">
        <v>15.4197481441935</v>
      </c>
      <c r="AN641"/>
      <c r="AO641"/>
    </row>
    <row r="642" spans="1:41" ht="15.75" hidden="1" customHeight="1" x14ac:dyDescent="0.45">
      <c r="A642" s="2" t="s">
        <v>156</v>
      </c>
      <c r="B642" s="2" t="s">
        <v>157</v>
      </c>
      <c r="C642" s="2">
        <v>0.01</v>
      </c>
      <c r="D642" s="2"/>
      <c r="E642" s="2" t="s">
        <v>109</v>
      </c>
      <c r="F642" s="2" t="s">
        <v>84</v>
      </c>
      <c r="H642" s="2" t="s">
        <v>87</v>
      </c>
      <c r="K642" s="2">
        <v>36.1111111111111</v>
      </c>
      <c r="L642" s="2"/>
      <c r="M642" s="2">
        <v>4.8600792555646803</v>
      </c>
      <c r="N642" s="2">
        <v>167</v>
      </c>
      <c r="O642" s="2">
        <v>10.889597482613199</v>
      </c>
      <c r="P642" s="2">
        <v>17.9444444444444</v>
      </c>
      <c r="Q642" s="2">
        <v>3.6905785956094199</v>
      </c>
      <c r="R642" s="2">
        <v>2.38888888888888</v>
      </c>
      <c r="S642" s="2">
        <v>0.25458753860865402</v>
      </c>
      <c r="T642" s="2">
        <v>4.6111111111111098</v>
      </c>
      <c r="U642" s="2">
        <v>0.38490017945975502</v>
      </c>
      <c r="V642" s="2">
        <v>0.72222222222222199</v>
      </c>
      <c r="W642" s="2">
        <v>0.25458753860865702</v>
      </c>
      <c r="X642" s="2">
        <v>2.9444444444444402</v>
      </c>
      <c r="Y642" s="2">
        <v>0.25458753860866101</v>
      </c>
      <c r="Z642" s="7">
        <v>116.320015478378</v>
      </c>
      <c r="AA642" s="2">
        <v>7.5848990882088598</v>
      </c>
      <c r="AB642" s="7">
        <v>101.5625</v>
      </c>
      <c r="AC642" s="2">
        <v>13.6689729062756</v>
      </c>
      <c r="AD642" s="2">
        <v>94.318181818181799</v>
      </c>
      <c r="AE642" s="2">
        <v>7.8729582162222798</v>
      </c>
      <c r="AF642" s="2">
        <v>106.953642384105</v>
      </c>
      <c r="AG642" s="2">
        <v>21.996826066546198</v>
      </c>
      <c r="AH642" s="2">
        <v>102.380952380952</v>
      </c>
      <c r="AI642" s="2">
        <v>10.9108945117994</v>
      </c>
      <c r="AJ642" s="2">
        <v>118.181818181818</v>
      </c>
      <c r="AK642" s="2">
        <v>41.659779045053</v>
      </c>
      <c r="AL642" s="2">
        <v>130.864197530864</v>
      </c>
      <c r="AM642" s="2">
        <v>11.3150017159405</v>
      </c>
      <c r="AN642"/>
      <c r="AO642"/>
    </row>
    <row r="643" spans="1:41" ht="15.75" hidden="1" customHeight="1" x14ac:dyDescent="0.45">
      <c r="A643" s="2" t="s">
        <v>156</v>
      </c>
      <c r="B643" s="2" t="s">
        <v>157</v>
      </c>
      <c r="C643" s="2">
        <v>0.03</v>
      </c>
      <c r="D643" s="2"/>
      <c r="E643" s="2" t="s">
        <v>109</v>
      </c>
      <c r="F643" s="2" t="s">
        <v>84</v>
      </c>
      <c r="H643" s="2" t="s">
        <v>87</v>
      </c>
      <c r="K643" s="2">
        <v>34.5</v>
      </c>
      <c r="L643" s="2"/>
      <c r="M643" s="2">
        <v>3.1797973380563702</v>
      </c>
      <c r="N643" s="2">
        <v>147.722222222222</v>
      </c>
      <c r="O643" s="2">
        <v>3.1899727155452799</v>
      </c>
      <c r="P643" s="2">
        <v>18.6111111111111</v>
      </c>
      <c r="Q643" s="2">
        <v>1.4174834246858401</v>
      </c>
      <c r="R643" s="2">
        <v>2.38888888888888</v>
      </c>
      <c r="S643" s="2">
        <v>1.13447654759234</v>
      </c>
      <c r="T643" s="2">
        <v>4.7777777777777697</v>
      </c>
      <c r="U643" s="2">
        <v>0.25458753860866101</v>
      </c>
      <c r="V643" s="2">
        <v>0.33333333333333298</v>
      </c>
      <c r="W643" s="2">
        <v>0.16666666666666599</v>
      </c>
      <c r="X643" s="2">
        <v>2.8333333333333299</v>
      </c>
      <c r="Y643" s="2">
        <v>0.44095855184409999</v>
      </c>
      <c r="Z643" s="7">
        <v>102.89252200831901</v>
      </c>
      <c r="AA643" s="2">
        <v>2.2219022493882199</v>
      </c>
      <c r="AB643" s="7">
        <v>97.03125</v>
      </c>
      <c r="AC643" s="2">
        <v>8.9431800132835502</v>
      </c>
      <c r="AD643" s="2">
        <v>97.727272727272705</v>
      </c>
      <c r="AE643" s="2">
        <v>5.2074723806317103</v>
      </c>
      <c r="AF643" s="2">
        <v>110.92715231788</v>
      </c>
      <c r="AG643" s="2">
        <v>8.4485767034255908</v>
      </c>
      <c r="AH643" s="2">
        <v>102.380952380952</v>
      </c>
      <c r="AI643" s="2">
        <v>48.620423468243203</v>
      </c>
      <c r="AJ643" s="2">
        <v>54.545454545454497</v>
      </c>
      <c r="AK643" s="2">
        <v>27.272727272727199</v>
      </c>
      <c r="AL643" s="2">
        <v>125.925925925925</v>
      </c>
      <c r="AM643" s="2">
        <v>19.5981578597378</v>
      </c>
      <c r="AN643"/>
      <c r="AO643"/>
    </row>
    <row r="644" spans="1:41" ht="15.75" hidden="1" customHeight="1" x14ac:dyDescent="0.45">
      <c r="A644" s="2" t="s">
        <v>156</v>
      </c>
      <c r="B644" s="2" t="s">
        <v>157</v>
      </c>
      <c r="C644" s="2">
        <v>0.1</v>
      </c>
      <c r="D644" s="2"/>
      <c r="E644" s="2" t="s">
        <v>109</v>
      </c>
      <c r="F644" s="2" t="s">
        <v>84</v>
      </c>
      <c r="H644" s="2" t="s">
        <v>87</v>
      </c>
      <c r="K644" s="2">
        <v>36.7222222222222</v>
      </c>
      <c r="L644" s="2"/>
      <c r="M644" s="2">
        <v>1.08440118310802</v>
      </c>
      <c r="N644" s="2">
        <v>155.333333333333</v>
      </c>
      <c r="O644" s="2">
        <v>1.7559422921428101</v>
      </c>
      <c r="P644" s="2">
        <v>21.5555555555555</v>
      </c>
      <c r="Q644" s="2">
        <v>2.8349668493717899</v>
      </c>
      <c r="R644" s="2">
        <v>1.44444444444444</v>
      </c>
      <c r="S644" s="2">
        <v>1.1097213530798899</v>
      </c>
      <c r="T644" s="2">
        <v>18.1111111111111</v>
      </c>
      <c r="U644" s="2">
        <v>24.314109605863099</v>
      </c>
      <c r="V644" s="2">
        <v>1.94444444444444</v>
      </c>
      <c r="W644" s="2">
        <v>2.0838888148345598</v>
      </c>
      <c r="X644" s="2">
        <v>1.38888888888888</v>
      </c>
      <c r="Y644" s="2">
        <v>1.0584754935143099</v>
      </c>
      <c r="Z644" s="7">
        <v>108.193866692463</v>
      </c>
      <c r="AA644" s="2">
        <v>1.2230612850370699</v>
      </c>
      <c r="AB644" s="7">
        <v>103.28125</v>
      </c>
      <c r="AC644" s="2">
        <v>3.0498783274913301</v>
      </c>
      <c r="AD644" s="2">
        <v>370.45454545454498</v>
      </c>
      <c r="AE644" s="2">
        <v>497.33406011992702</v>
      </c>
      <c r="AF644" s="2">
        <v>128.476821192053</v>
      </c>
      <c r="AG644" s="2">
        <v>16.8971534068517</v>
      </c>
      <c r="AH644" s="2">
        <v>61.904761904761898</v>
      </c>
      <c r="AI644" s="2">
        <v>47.559486560567002</v>
      </c>
      <c r="AJ644" s="2">
        <v>318.18181818181802</v>
      </c>
      <c r="AK644" s="2">
        <v>340.99998788201901</v>
      </c>
      <c r="AL644" s="2">
        <v>61.7283950617283</v>
      </c>
      <c r="AM644" s="2">
        <v>47.0433552673028</v>
      </c>
      <c r="AN644"/>
      <c r="AO644"/>
    </row>
    <row r="645" spans="1:41" ht="15.75" hidden="1" customHeight="1" x14ac:dyDescent="0.45">
      <c r="A645" s="2" t="s">
        <v>156</v>
      </c>
      <c r="B645" s="2" t="s">
        <v>157</v>
      </c>
      <c r="C645" s="2">
        <v>0.3</v>
      </c>
      <c r="D645" s="2"/>
      <c r="E645" s="2" t="s">
        <v>109</v>
      </c>
      <c r="F645" s="2" t="s">
        <v>84</v>
      </c>
      <c r="H645" s="2" t="s">
        <v>87</v>
      </c>
      <c r="K645" s="2">
        <v>37.7777777777777</v>
      </c>
      <c r="L645" s="2"/>
      <c r="M645" s="2">
        <v>1.34715062810894</v>
      </c>
      <c r="N645" s="2">
        <v>179.277777777777</v>
      </c>
      <c r="O645" s="2">
        <v>18.522008930318801</v>
      </c>
      <c r="P645" s="2">
        <v>18.6666666666666</v>
      </c>
      <c r="Q645" s="2">
        <v>0.50000000000011302</v>
      </c>
      <c r="R645" s="2">
        <v>1.7777777777777699</v>
      </c>
      <c r="S645" s="2">
        <v>0.63098981620003003</v>
      </c>
      <c r="T645" s="2">
        <v>4.5</v>
      </c>
      <c r="U645" s="2">
        <v>0.927960727138334</v>
      </c>
      <c r="V645" s="2">
        <v>0.72222222222222199</v>
      </c>
      <c r="W645" s="2">
        <v>0.25458753860865702</v>
      </c>
      <c r="X645" s="2">
        <v>2.05555555555555</v>
      </c>
      <c r="Y645" s="2">
        <v>0.34694433324435697</v>
      </c>
      <c r="Z645" s="7">
        <v>124.87181967688799</v>
      </c>
      <c r="AA645" s="2">
        <v>12.9010800327266</v>
      </c>
      <c r="AB645" s="7">
        <v>106.25</v>
      </c>
      <c r="AC645" s="2">
        <v>3.78886114155641</v>
      </c>
      <c r="AD645" s="2">
        <v>92.045454545454504</v>
      </c>
      <c r="AE645" s="2">
        <v>18.981014873284099</v>
      </c>
      <c r="AF645" s="2">
        <v>111.258278145695</v>
      </c>
      <c r="AG645" s="2">
        <v>2.9801324503318001</v>
      </c>
      <c r="AH645" s="2">
        <v>76.190476190476105</v>
      </c>
      <c r="AI645" s="2">
        <v>27.042420694286999</v>
      </c>
      <c r="AJ645" s="2">
        <v>118.181818181818</v>
      </c>
      <c r="AK645" s="2">
        <v>41.659779045053</v>
      </c>
      <c r="AL645" s="2">
        <v>91.358024691357997</v>
      </c>
      <c r="AM645" s="2">
        <v>15.4197481441936</v>
      </c>
      <c r="AN645"/>
      <c r="AO645"/>
    </row>
    <row r="646" spans="1:41" ht="15.75" hidden="1" customHeight="1" x14ac:dyDescent="0.45">
      <c r="A646" s="2" t="s">
        <v>156</v>
      </c>
      <c r="B646" s="2" t="s">
        <v>157</v>
      </c>
      <c r="C646" s="2">
        <v>1</v>
      </c>
      <c r="D646" s="2"/>
      <c r="E646" s="2" t="s">
        <v>109</v>
      </c>
      <c r="F646" s="2" t="s">
        <v>84</v>
      </c>
      <c r="H646" s="2" t="s">
        <v>87</v>
      </c>
      <c r="K646" s="2">
        <v>35.8333333333333</v>
      </c>
      <c r="L646" s="2"/>
      <c r="M646" s="2">
        <v>1.96497102042525</v>
      </c>
      <c r="N646" s="2">
        <v>187.277777777777</v>
      </c>
      <c r="O646" s="2">
        <v>23.531499771189399</v>
      </c>
      <c r="P646" s="2">
        <v>16.6666666666666</v>
      </c>
      <c r="Q646" s="2">
        <v>1.32287565553231</v>
      </c>
      <c r="R646" s="2">
        <v>2.05555555555555</v>
      </c>
      <c r="S646" s="2">
        <v>0.34694433324435597</v>
      </c>
      <c r="T646" s="2">
        <v>3.7222222222222201</v>
      </c>
      <c r="U646" s="2">
        <v>1.0183501544346301</v>
      </c>
      <c r="V646" s="2">
        <v>0.44444444444444398</v>
      </c>
      <c r="W646" s="2">
        <v>9.6225044864937798E-2</v>
      </c>
      <c r="X646" s="2">
        <v>2</v>
      </c>
      <c r="Y646" s="2">
        <v>0.28867513459480998</v>
      </c>
      <c r="Z646" s="7">
        <v>130.44403598723</v>
      </c>
      <c r="AA646" s="2">
        <v>16.390325853977298</v>
      </c>
      <c r="AB646" s="7">
        <v>100.78125</v>
      </c>
      <c r="AC646" s="2">
        <v>5.5264809949460396</v>
      </c>
      <c r="AD646" s="2">
        <v>76.136363636363598</v>
      </c>
      <c r="AE646" s="2">
        <v>20.8298895225265</v>
      </c>
      <c r="AF646" s="2">
        <v>99.337748344370794</v>
      </c>
      <c r="AG646" s="2">
        <v>7.8846893376098297</v>
      </c>
      <c r="AH646" s="2">
        <v>88.095238095238003</v>
      </c>
      <c r="AI646" s="2">
        <v>14.8690428533295</v>
      </c>
      <c r="AJ646" s="2">
        <v>72.727272727272705</v>
      </c>
      <c r="AK646" s="2">
        <v>15.7459164324443</v>
      </c>
      <c r="AL646" s="2">
        <v>88.8888888888889</v>
      </c>
      <c r="AM646" s="2">
        <v>12.8300059819915</v>
      </c>
      <c r="AN646"/>
      <c r="AO646"/>
    </row>
    <row r="647" spans="1:41" ht="15.75" hidden="1" customHeight="1" x14ac:dyDescent="0.45">
      <c r="A647" s="2" t="s">
        <v>156</v>
      </c>
      <c r="B647" s="2" t="s">
        <v>157</v>
      </c>
      <c r="C647" s="2">
        <v>3</v>
      </c>
      <c r="D647" s="2"/>
      <c r="E647" s="2" t="s">
        <v>109</v>
      </c>
      <c r="F647" s="2" t="s">
        <v>84</v>
      </c>
      <c r="H647" s="2" t="s">
        <v>87</v>
      </c>
      <c r="K647" s="2">
        <v>31.7777777777777</v>
      </c>
      <c r="L647" s="2"/>
      <c r="M647" s="2">
        <v>0.96225044864934495</v>
      </c>
      <c r="N647" s="2">
        <v>172.944444444444</v>
      </c>
      <c r="O647" s="2">
        <v>16.193562964384601</v>
      </c>
      <c r="P647" s="2">
        <v>15.3333333333333</v>
      </c>
      <c r="Q647" s="2">
        <v>2.1278575558006101</v>
      </c>
      <c r="R647" s="2">
        <v>2.38888888888888</v>
      </c>
      <c r="S647" s="2">
        <v>0.41943524640392799</v>
      </c>
      <c r="T647" s="2">
        <v>3.7777777777777701</v>
      </c>
      <c r="U647" s="2">
        <v>1.1097213530798899</v>
      </c>
      <c r="V647" s="2">
        <v>0.55555555555555503</v>
      </c>
      <c r="W647" s="2">
        <v>0.19245008972987501</v>
      </c>
      <c r="X647" s="2">
        <v>1.6666666666666601</v>
      </c>
      <c r="Y647" s="2">
        <v>0.600925212577332</v>
      </c>
      <c r="Z647" s="7">
        <v>120.460481764535</v>
      </c>
      <c r="AA647" s="2">
        <v>11.279254459085699</v>
      </c>
      <c r="AB647" s="7">
        <v>89.375</v>
      </c>
      <c r="AC647" s="2">
        <v>2.7063293868262801</v>
      </c>
      <c r="AD647" s="2">
        <v>77.272727272727195</v>
      </c>
      <c r="AE647" s="2">
        <v>22.698845858452401</v>
      </c>
      <c r="AF647" s="2">
        <v>91.390728476821195</v>
      </c>
      <c r="AG647" s="2">
        <v>12.6825947034473</v>
      </c>
      <c r="AH647" s="2">
        <v>102.380952380952</v>
      </c>
      <c r="AI647" s="2">
        <v>17.975796274454002</v>
      </c>
      <c r="AJ647" s="2">
        <v>90.909090909090907</v>
      </c>
      <c r="AK647" s="2">
        <v>31.4918328648886</v>
      </c>
      <c r="AL647" s="2">
        <v>74.074074074074005</v>
      </c>
      <c r="AM647" s="2">
        <v>26.707787225659199</v>
      </c>
      <c r="AN647"/>
      <c r="AO647"/>
    </row>
    <row r="648" spans="1:41" ht="15.75" hidden="1" customHeight="1" x14ac:dyDescent="0.45">
      <c r="A648" s="2" t="s">
        <v>156</v>
      </c>
      <c r="B648" s="2" t="s">
        <v>157</v>
      </c>
      <c r="C648" s="2">
        <v>10</v>
      </c>
      <c r="D648" s="2"/>
      <c r="E648" s="2" t="s">
        <v>109</v>
      </c>
      <c r="F648" s="2" t="s">
        <v>84</v>
      </c>
      <c r="H648" s="2" t="s">
        <v>87</v>
      </c>
      <c r="K648" s="2">
        <v>29.8333333333333</v>
      </c>
      <c r="L648" s="2"/>
      <c r="M648" s="2">
        <v>4.5307590730226996</v>
      </c>
      <c r="N648" s="2">
        <v>134.055555555555</v>
      </c>
      <c r="O648" s="2">
        <v>10.344527986296001</v>
      </c>
      <c r="P648" s="2">
        <v>15.9444444444444</v>
      </c>
      <c r="Q648" s="2">
        <v>3.6603480911175801</v>
      </c>
      <c r="R648" s="2">
        <v>1.7777777777777699</v>
      </c>
      <c r="S648" s="2">
        <v>0.19245008972987501</v>
      </c>
      <c r="T648" s="2">
        <v>5.4444444444444402</v>
      </c>
      <c r="U648" s="2">
        <v>1.84340666922633</v>
      </c>
      <c r="V648" s="2">
        <v>0.61111111111111105</v>
      </c>
      <c r="W648" s="2">
        <v>0.48112522432468802</v>
      </c>
      <c r="X648" s="2">
        <v>2.55555555555555</v>
      </c>
      <c r="Y648" s="2">
        <v>0.97657754618038595</v>
      </c>
      <c r="Z648" s="7">
        <v>93.373319144819504</v>
      </c>
      <c r="AA648" s="2">
        <v>7.2052434460028696</v>
      </c>
      <c r="AB648" s="7">
        <v>83.90625</v>
      </c>
      <c r="AC648" s="2">
        <v>12.7427598928763</v>
      </c>
      <c r="AD648" s="2">
        <v>111.363636363636</v>
      </c>
      <c r="AE648" s="2">
        <v>37.706045506902399</v>
      </c>
      <c r="AF648" s="2">
        <v>95.033112582781399</v>
      </c>
      <c r="AG648" s="2">
        <v>21.8166442516942</v>
      </c>
      <c r="AH648" s="2">
        <v>76.190476190476105</v>
      </c>
      <c r="AI648" s="2">
        <v>8.2478609884232394</v>
      </c>
      <c r="AJ648" s="2">
        <v>100</v>
      </c>
      <c r="AK648" s="2">
        <v>78.729582162221703</v>
      </c>
      <c r="AL648" s="2">
        <v>113.58024691358</v>
      </c>
      <c r="AM648" s="2">
        <v>43.403446496906</v>
      </c>
      <c r="AN648"/>
      <c r="AO648"/>
    </row>
    <row r="649" spans="1:41" ht="15.75" hidden="1" customHeight="1" x14ac:dyDescent="0.45">
      <c r="A649" s="2" t="s">
        <v>156</v>
      </c>
      <c r="B649" s="2" t="s">
        <v>157</v>
      </c>
      <c r="C649" s="2">
        <v>3.0000000000000001E-3</v>
      </c>
      <c r="D649" s="2"/>
      <c r="E649" s="2" t="s">
        <v>109</v>
      </c>
      <c r="F649" s="2" t="s">
        <v>84</v>
      </c>
      <c r="H649" s="2" t="s">
        <v>87</v>
      </c>
      <c r="K649" s="2">
        <v>34.5555555555555</v>
      </c>
      <c r="L649" s="2"/>
      <c r="M649" s="2">
        <v>0.53575837561106499</v>
      </c>
      <c r="N649" s="2">
        <v>258.83333333333297</v>
      </c>
      <c r="O649" s="2">
        <v>21.660896667600099</v>
      </c>
      <c r="P649" s="2">
        <v>13.0555555555555</v>
      </c>
      <c r="Q649" s="2">
        <v>2.1495046802392399</v>
      </c>
      <c r="R649" s="2">
        <v>1.6111111111111101</v>
      </c>
      <c r="S649" s="2">
        <v>0.67357531405456395</v>
      </c>
      <c r="T649" s="2">
        <v>8.6666666666666607</v>
      </c>
      <c r="U649" s="2">
        <v>1.25830573921178</v>
      </c>
      <c r="V649" s="2">
        <v>0.55555555555555503</v>
      </c>
      <c r="W649" s="2">
        <v>9.6225044864937506E-2</v>
      </c>
      <c r="X649" s="2">
        <v>4.1111111111111098</v>
      </c>
      <c r="Y649" s="2">
        <v>0.58531409738071305</v>
      </c>
      <c r="Z649" s="7">
        <v>109.21877747172201</v>
      </c>
      <c r="AA649" s="2">
        <v>9.1401544867093296</v>
      </c>
      <c r="AB649" s="7">
        <v>98.651863600317199</v>
      </c>
      <c r="AC649" s="2">
        <v>1.5295243078507801</v>
      </c>
      <c r="AD649" s="2">
        <v>108.710801393728</v>
      </c>
      <c r="AE649" s="2">
        <v>15.7836259970816</v>
      </c>
      <c r="AF649" s="2">
        <v>94</v>
      </c>
      <c r="AG649" s="2">
        <v>15.4764336977225</v>
      </c>
      <c r="AH649" s="2">
        <v>88.549618320610705</v>
      </c>
      <c r="AI649" s="2">
        <v>37.020933291548502</v>
      </c>
      <c r="AJ649" s="2">
        <v>85.106382978723303</v>
      </c>
      <c r="AK649" s="2">
        <v>14.740857936756299</v>
      </c>
      <c r="AL649" s="2">
        <v>107.636363636363</v>
      </c>
      <c r="AM649" s="2">
        <v>15.3245872768768</v>
      </c>
      <c r="AN649"/>
      <c r="AO649"/>
    </row>
    <row r="650" spans="1:41" ht="15.75" hidden="1" customHeight="1" x14ac:dyDescent="0.45">
      <c r="A650" s="2" t="s">
        <v>156</v>
      </c>
      <c r="B650" s="2" t="s">
        <v>157</v>
      </c>
      <c r="C650" s="2">
        <v>0.01</v>
      </c>
      <c r="D650" s="2"/>
      <c r="E650" s="2" t="s">
        <v>109</v>
      </c>
      <c r="F650" s="2" t="s">
        <v>84</v>
      </c>
      <c r="H650" s="2" t="s">
        <v>87</v>
      </c>
      <c r="K650" s="2">
        <v>30.8333333333333</v>
      </c>
      <c r="L650" s="2"/>
      <c r="M650" s="2">
        <v>1.76383420737638</v>
      </c>
      <c r="N650" s="2">
        <v>234</v>
      </c>
      <c r="O650" s="2">
        <v>27.983626164836298</v>
      </c>
      <c r="P650" s="2">
        <v>14.3333333333333</v>
      </c>
      <c r="Q650" s="2">
        <v>0.60092521257735698</v>
      </c>
      <c r="R650" s="2">
        <v>2.05555555555555</v>
      </c>
      <c r="S650" s="2">
        <v>0.19245008972987299</v>
      </c>
      <c r="T650" s="2">
        <v>8.1111111111111107</v>
      </c>
      <c r="U650" s="2">
        <v>1.50308325094096</v>
      </c>
      <c r="V650" s="2">
        <v>0.72222222222222199</v>
      </c>
      <c r="W650" s="2">
        <v>0.25458753860865702</v>
      </c>
      <c r="X650" s="2">
        <v>4.1666666666666599</v>
      </c>
      <c r="Y650" s="2">
        <v>5.9604644775390599E-8</v>
      </c>
      <c r="Z650" s="7">
        <v>98.739963664068398</v>
      </c>
      <c r="AA650" s="2">
        <v>11.8081291910462</v>
      </c>
      <c r="AB650" s="7">
        <v>88.0253766851705</v>
      </c>
      <c r="AC650" s="2">
        <v>5.0355298545241798</v>
      </c>
      <c r="AD650" s="2">
        <v>101.742160278745</v>
      </c>
      <c r="AE650" s="2">
        <v>18.854005935147999</v>
      </c>
      <c r="AF650" s="2">
        <v>103.2</v>
      </c>
      <c r="AG650" s="2">
        <v>4.3266615305569696</v>
      </c>
      <c r="AH650" s="2">
        <v>112.977099236641</v>
      </c>
      <c r="AI650" s="2">
        <v>10.577409511870901</v>
      </c>
      <c r="AJ650" s="2">
        <v>110.63829787234</v>
      </c>
      <c r="AK650" s="2">
        <v>39.0006442123901</v>
      </c>
      <c r="AL650" s="2">
        <v>109.09090909090899</v>
      </c>
      <c r="AM650" s="2">
        <v>1.5605579723011299E-6</v>
      </c>
      <c r="AN650"/>
      <c r="AO650"/>
    </row>
    <row r="651" spans="1:41" ht="15.75" hidden="1" customHeight="1" x14ac:dyDescent="0.45">
      <c r="A651" s="2" t="s">
        <v>156</v>
      </c>
      <c r="B651" s="2" t="s">
        <v>157</v>
      </c>
      <c r="C651" s="2">
        <v>0.03</v>
      </c>
      <c r="D651" s="2"/>
      <c r="E651" s="2" t="s">
        <v>109</v>
      </c>
      <c r="F651" s="2" t="s">
        <v>84</v>
      </c>
      <c r="H651" s="2" t="s">
        <v>87</v>
      </c>
      <c r="K651" s="2">
        <v>34.1666666666666</v>
      </c>
      <c r="L651" s="2"/>
      <c r="M651" s="2">
        <v>2.3511226632777</v>
      </c>
      <c r="N651" s="2">
        <v>244.833333333333</v>
      </c>
      <c r="O651" s="2">
        <v>10.7509689485798</v>
      </c>
      <c r="P651" s="2">
        <v>12.8888888888888</v>
      </c>
      <c r="Q651" s="2">
        <v>1.1097213530799299</v>
      </c>
      <c r="R651" s="2">
        <v>1.94444444444444</v>
      </c>
      <c r="S651" s="2">
        <v>0.83887049280786097</v>
      </c>
      <c r="T651" s="2">
        <v>9.8333333333333304</v>
      </c>
      <c r="U651" s="2">
        <v>1.4240006242195899</v>
      </c>
      <c r="V651" s="2">
        <v>0.61111111111111105</v>
      </c>
      <c r="W651" s="2">
        <v>0.19245008972987501</v>
      </c>
      <c r="X651" s="2">
        <v>3.5</v>
      </c>
      <c r="Y651" s="2">
        <v>0.76376261582597404</v>
      </c>
      <c r="Z651" s="7">
        <v>103.311258278145</v>
      </c>
      <c r="AA651" s="2">
        <v>4.5365396723773603</v>
      </c>
      <c r="AB651" s="7">
        <v>97.541633624107803</v>
      </c>
      <c r="AC651" s="2">
        <v>6.7121662076127997</v>
      </c>
      <c r="AD651" s="2">
        <v>123.344947735191</v>
      </c>
      <c r="AE651" s="2">
        <v>17.8620287358555</v>
      </c>
      <c r="AF651" s="2">
        <v>92.799999999999898</v>
      </c>
      <c r="AG651" s="2">
        <v>7.9899937421754998</v>
      </c>
      <c r="AH651" s="2">
        <v>106.870229007633</v>
      </c>
      <c r="AI651" s="2">
        <v>46.1058591466916</v>
      </c>
      <c r="AJ651" s="2">
        <v>93.617021276595693</v>
      </c>
      <c r="AK651" s="2">
        <v>29.481715873512801</v>
      </c>
      <c r="AL651" s="2">
        <v>91.636363636363598</v>
      </c>
      <c r="AM651" s="2">
        <v>19.996693941625502</v>
      </c>
      <c r="AN651"/>
      <c r="AO651"/>
    </row>
    <row r="652" spans="1:41" ht="15.75" hidden="1" customHeight="1" x14ac:dyDescent="0.45">
      <c r="A652" s="2" t="s">
        <v>156</v>
      </c>
      <c r="B652" s="2" t="s">
        <v>157</v>
      </c>
      <c r="C652" s="2">
        <v>0.1</v>
      </c>
      <c r="D652" s="2"/>
      <c r="E652" s="2" t="s">
        <v>109</v>
      </c>
      <c r="F652" s="2" t="s">
        <v>84</v>
      </c>
      <c r="H652" s="2" t="s">
        <v>87</v>
      </c>
      <c r="K652" s="2">
        <v>21.1666666666666</v>
      </c>
      <c r="L652" s="2"/>
      <c r="M652" s="2">
        <v>16.1795481326821</v>
      </c>
      <c r="N652" s="2">
        <v>241.444444444444</v>
      </c>
      <c r="O652" s="2">
        <v>16.766644576968702</v>
      </c>
      <c r="P652" s="2">
        <v>14.6666666666666</v>
      </c>
      <c r="Q652" s="2">
        <v>0.927960727138323</v>
      </c>
      <c r="R652" s="2">
        <v>2.2222222222222201</v>
      </c>
      <c r="S652" s="2">
        <v>0.67357531405456395</v>
      </c>
      <c r="T652" s="2">
        <v>7.7777777777777697</v>
      </c>
      <c r="U652" s="2">
        <v>1.20569635634504</v>
      </c>
      <c r="V652" s="2">
        <v>0.5</v>
      </c>
      <c r="W652" s="2">
        <v>0.16666666666666599</v>
      </c>
      <c r="X652" s="2">
        <v>3.38888888888888</v>
      </c>
      <c r="Y652" s="2">
        <v>0.25458753860866101</v>
      </c>
      <c r="Z652" s="7">
        <v>101.88126355271601</v>
      </c>
      <c r="AA652" s="2">
        <v>7.0749481893087198</v>
      </c>
      <c r="AB652" s="7">
        <v>60.428231562252101</v>
      </c>
      <c r="AC652" s="2">
        <v>46.190621155952101</v>
      </c>
      <c r="AD652" s="2">
        <v>97.560975609756099</v>
      </c>
      <c r="AE652" s="2">
        <v>15.123717361819301</v>
      </c>
      <c r="AF652" s="2">
        <v>105.599999999999</v>
      </c>
      <c r="AG652" s="2">
        <v>6.6813172353959196</v>
      </c>
      <c r="AH652" s="2">
        <v>122.13740458015199</v>
      </c>
      <c r="AI652" s="2">
        <v>37.020933291548502</v>
      </c>
      <c r="AJ652" s="2">
        <v>76.595744680850999</v>
      </c>
      <c r="AK652" s="2">
        <v>25.531914893617</v>
      </c>
      <c r="AL652" s="2">
        <v>88.727272727272705</v>
      </c>
      <c r="AM652" s="2">
        <v>6.6655646472085897</v>
      </c>
      <c r="AN652"/>
      <c r="AO652"/>
    </row>
    <row r="653" spans="1:41" ht="15.75" hidden="1" customHeight="1" x14ac:dyDescent="0.45">
      <c r="A653" s="2" t="s">
        <v>156</v>
      </c>
      <c r="B653" s="2" t="s">
        <v>157</v>
      </c>
      <c r="C653" s="2">
        <v>0.3</v>
      </c>
      <c r="D653" s="2"/>
      <c r="E653" s="2" t="s">
        <v>109</v>
      </c>
      <c r="F653" s="2" t="s">
        <v>84</v>
      </c>
      <c r="H653" s="2" t="s">
        <v>87</v>
      </c>
      <c r="K653" s="2">
        <v>30.6666666666666</v>
      </c>
      <c r="L653" s="2"/>
      <c r="M653" s="2">
        <v>4.6933759467762401</v>
      </c>
      <c r="N653" s="2">
        <v>228.166666666666</v>
      </c>
      <c r="O653" s="2">
        <v>42.290989321340803</v>
      </c>
      <c r="P653" s="2">
        <v>13.3888888888888</v>
      </c>
      <c r="Q653" s="2">
        <v>0.25458753860847999</v>
      </c>
      <c r="R653" s="2">
        <v>1.6111111111111101</v>
      </c>
      <c r="S653" s="2">
        <v>0.78763593770876805</v>
      </c>
      <c r="T653" s="2">
        <v>8.2777777777777697</v>
      </c>
      <c r="U653" s="2">
        <v>0.41943524640394497</v>
      </c>
      <c r="V653" s="2">
        <v>0.61111111111111105</v>
      </c>
      <c r="W653" s="2">
        <v>0.25458753860865702</v>
      </c>
      <c r="X653" s="2">
        <v>3.5</v>
      </c>
      <c r="Y653" s="2">
        <v>0.57735026918962695</v>
      </c>
      <c r="Z653" s="7">
        <v>96.278497333411494</v>
      </c>
      <c r="AA653" s="2">
        <v>17.845345080797799</v>
      </c>
      <c r="AB653" s="7">
        <v>87.549563838223605</v>
      </c>
      <c r="AC653" s="2">
        <v>13.3990114261653</v>
      </c>
      <c r="AD653" s="2">
        <v>103.83275261324</v>
      </c>
      <c r="AE653" s="2">
        <v>5.2612086656940802</v>
      </c>
      <c r="AF653" s="2">
        <v>96.399999999999906</v>
      </c>
      <c r="AG653" s="2">
        <v>1.8330302779810499</v>
      </c>
      <c r="AH653" s="2">
        <v>88.549618320610705</v>
      </c>
      <c r="AI653" s="2">
        <v>43.289914133611703</v>
      </c>
      <c r="AJ653" s="2">
        <v>93.617021276595693</v>
      </c>
      <c r="AK653" s="2">
        <v>39.0006442123901</v>
      </c>
      <c r="AL653" s="2">
        <v>91.636363636363598</v>
      </c>
      <c r="AM653" s="2">
        <v>15.1160797751466</v>
      </c>
      <c r="AN653"/>
      <c r="AO653"/>
    </row>
    <row r="654" spans="1:41" ht="15.75" hidden="1" customHeight="1" x14ac:dyDescent="0.45">
      <c r="A654" s="2" t="s">
        <v>156</v>
      </c>
      <c r="B654" s="2" t="s">
        <v>157</v>
      </c>
      <c r="C654" s="2">
        <v>1</v>
      </c>
      <c r="D654" s="2"/>
      <c r="E654" s="2" t="s">
        <v>109</v>
      </c>
      <c r="F654" s="2" t="s">
        <v>84</v>
      </c>
      <c r="H654" s="2" t="s">
        <v>87</v>
      </c>
      <c r="K654" s="2">
        <v>31</v>
      </c>
      <c r="L654" s="2"/>
      <c r="M654" s="2">
        <v>3.7675515184858099</v>
      </c>
      <c r="N654" s="2">
        <v>261.83333333333297</v>
      </c>
      <c r="O654" s="2">
        <v>41.0754725407322</v>
      </c>
      <c r="P654" s="2">
        <v>13.2222222222222</v>
      </c>
      <c r="Q654" s="2">
        <v>1.84340666922632</v>
      </c>
      <c r="R654" s="2">
        <v>2.3333333333333299</v>
      </c>
      <c r="S654" s="2">
        <v>0.76376261582597305</v>
      </c>
      <c r="T654" s="2">
        <v>9.4444444444444393</v>
      </c>
      <c r="U654" s="2">
        <v>2.2381374531648501</v>
      </c>
      <c r="V654" s="2">
        <v>0.77777777777777701</v>
      </c>
      <c r="W654" s="2">
        <v>0.25458753860865702</v>
      </c>
      <c r="X654" s="2">
        <v>3.6111111111111098</v>
      </c>
      <c r="Y654" s="2">
        <v>1.0844011831079501</v>
      </c>
      <c r="Z654" s="7">
        <v>110.484674441774</v>
      </c>
      <c r="AA654" s="2">
        <v>17.3324387442579</v>
      </c>
      <c r="AB654" s="7">
        <v>88.501189532117294</v>
      </c>
      <c r="AC654" s="2">
        <v>10.755896484178299</v>
      </c>
      <c r="AD654" s="2">
        <v>118.466898954703</v>
      </c>
      <c r="AE654" s="2">
        <v>28.0741980187926</v>
      </c>
      <c r="AF654" s="2">
        <v>95.199999999999903</v>
      </c>
      <c r="AG654" s="2">
        <v>13.272528018429499</v>
      </c>
      <c r="AH654" s="2">
        <v>128.24427480916</v>
      </c>
      <c r="AI654" s="2">
        <v>41.977792625549696</v>
      </c>
      <c r="AJ654" s="2">
        <v>119.148936170212</v>
      </c>
      <c r="AK654" s="2">
        <v>39.0006442123901</v>
      </c>
      <c r="AL654" s="2">
        <v>94.545454545454504</v>
      </c>
      <c r="AM654" s="2">
        <v>28.391594612280901</v>
      </c>
      <c r="AN654"/>
      <c r="AO654"/>
    </row>
    <row r="655" spans="1:41" ht="15.75" hidden="1" customHeight="1" x14ac:dyDescent="0.45">
      <c r="A655" s="2" t="s">
        <v>156</v>
      </c>
      <c r="B655" s="2" t="s">
        <v>157</v>
      </c>
      <c r="C655" s="2">
        <v>3</v>
      </c>
      <c r="D655" s="2"/>
      <c r="E655" s="2" t="s">
        <v>109</v>
      </c>
      <c r="F655" s="2" t="s">
        <v>84</v>
      </c>
      <c r="H655" s="2" t="s">
        <v>87</v>
      </c>
      <c r="K655" s="2">
        <v>33.2777777777777</v>
      </c>
      <c r="L655" s="2"/>
      <c r="M655" s="2">
        <v>1.83585684909532</v>
      </c>
      <c r="N655" s="2">
        <v>204.222222222222</v>
      </c>
      <c r="O655" s="2">
        <v>27.475409881349101</v>
      </c>
      <c r="P655" s="2">
        <v>14.6111111111111</v>
      </c>
      <c r="Q655" s="2">
        <v>0.75154162547049697</v>
      </c>
      <c r="R655" s="2">
        <v>1.3333333333333299</v>
      </c>
      <c r="S655" s="2">
        <v>0.16666666666666699</v>
      </c>
      <c r="T655" s="2">
        <v>7.3888888888888804</v>
      </c>
      <c r="U655" s="2">
        <v>0.69388866648870995</v>
      </c>
      <c r="V655" s="2">
        <v>0.55555555555555503</v>
      </c>
      <c r="W655" s="2">
        <v>9.6225044864937506E-2</v>
      </c>
      <c r="X655" s="2">
        <v>4.05555555555555</v>
      </c>
      <c r="Y655" s="2">
        <v>0.34694433324435497</v>
      </c>
      <c r="Z655" s="7">
        <v>86.174764109476598</v>
      </c>
      <c r="AA655" s="2">
        <v>11.593679373246999</v>
      </c>
      <c r="AB655" s="7">
        <v>95.003965107057894</v>
      </c>
      <c r="AC655" s="2">
        <v>5.2411456437297099</v>
      </c>
      <c r="AD655" s="2">
        <v>92.682926829268297</v>
      </c>
      <c r="AE655" s="2">
        <v>8.7038299629245905</v>
      </c>
      <c r="AF655" s="2">
        <v>105.2</v>
      </c>
      <c r="AG655" s="2">
        <v>5.4110997033875803</v>
      </c>
      <c r="AH655" s="2">
        <v>73.282442748091597</v>
      </c>
      <c r="AI655" s="2">
        <v>9.16030534351151</v>
      </c>
      <c r="AJ655" s="2">
        <v>85.106382978723303</v>
      </c>
      <c r="AK655" s="2">
        <v>14.740857936756299</v>
      </c>
      <c r="AL655" s="2">
        <v>106.181818181818</v>
      </c>
      <c r="AM655" s="2">
        <v>9.0836334522158495</v>
      </c>
      <c r="AN655"/>
      <c r="AO655"/>
    </row>
    <row r="656" spans="1:41" ht="15.75" hidden="1" customHeight="1" x14ac:dyDescent="0.45">
      <c r="A656" s="2" t="s">
        <v>156</v>
      </c>
      <c r="B656" s="2" t="s">
        <v>157</v>
      </c>
      <c r="C656" s="2">
        <v>10</v>
      </c>
      <c r="D656" s="2"/>
      <c r="E656" s="2" t="s">
        <v>109</v>
      </c>
      <c r="F656" s="2" t="s">
        <v>84</v>
      </c>
      <c r="H656" s="2" t="s">
        <v>87</v>
      </c>
      <c r="K656" s="2">
        <v>26.1666666666666</v>
      </c>
      <c r="L656" s="2"/>
      <c r="M656" s="2">
        <v>2.7537852736430302</v>
      </c>
      <c r="N656" s="2">
        <v>216.666666666666</v>
      </c>
      <c r="O656" s="2">
        <v>21.890510374234101</v>
      </c>
      <c r="P656" s="2">
        <v>14.8888888888888</v>
      </c>
      <c r="Q656" s="2">
        <v>1.0584754935143399</v>
      </c>
      <c r="R656" s="2">
        <v>2.1111111111111098</v>
      </c>
      <c r="S656" s="2">
        <v>0.63098981620002803</v>
      </c>
      <c r="T656" s="2">
        <v>7.6111111111111098</v>
      </c>
      <c r="U656" s="2">
        <v>0.69388866648870995</v>
      </c>
      <c r="V656" s="2">
        <v>0.61111111111111105</v>
      </c>
      <c r="W656" s="2">
        <v>9.6225044864937798E-2</v>
      </c>
      <c r="X656" s="2">
        <v>3.2222222222222201</v>
      </c>
      <c r="Y656" s="2">
        <v>0.50917507721731403</v>
      </c>
      <c r="Z656" s="7">
        <v>91.425892281544805</v>
      </c>
      <c r="AA656" s="2">
        <v>9.2370435852127901</v>
      </c>
      <c r="AB656" s="7">
        <v>74.702616970658198</v>
      </c>
      <c r="AC656" s="2">
        <v>7.8617184655947101</v>
      </c>
      <c r="AD656" s="2">
        <v>95.470383275261298</v>
      </c>
      <c r="AE656" s="2">
        <v>8.7038299629245905</v>
      </c>
      <c r="AF656" s="2">
        <v>107.2</v>
      </c>
      <c r="AG656" s="2">
        <v>7.6210235533032797</v>
      </c>
      <c r="AH656" s="2">
        <v>116.03053435114499</v>
      </c>
      <c r="AI656" s="2">
        <v>34.6803563102306</v>
      </c>
      <c r="AJ656" s="2">
        <v>93.617021276595693</v>
      </c>
      <c r="AK656" s="2">
        <v>14.740857936756401</v>
      </c>
      <c r="AL656" s="2">
        <v>84.363636363636303</v>
      </c>
      <c r="AM656" s="2">
        <v>13.3311292944169</v>
      </c>
      <c r="AN656"/>
      <c r="AO656"/>
    </row>
    <row r="657" spans="1:41" ht="15.75" hidden="1" customHeight="1" x14ac:dyDescent="0.45">
      <c r="A657" s="2" t="s">
        <v>158</v>
      </c>
      <c r="B657" s="2" t="s">
        <v>96</v>
      </c>
      <c r="C657" s="2">
        <v>3.0000000000000001E-3</v>
      </c>
      <c r="D657" s="2"/>
      <c r="E657" s="2" t="s">
        <v>83</v>
      </c>
      <c r="F657" s="2" t="s">
        <v>84</v>
      </c>
      <c r="H657" s="2" t="s">
        <v>87</v>
      </c>
      <c r="K657" s="2">
        <v>7.5701677979111102</v>
      </c>
      <c r="L657" s="2"/>
      <c r="M657" s="2">
        <v>4.9104774239777296</v>
      </c>
      <c r="N657" s="2">
        <v>83.4444444444444</v>
      </c>
      <c r="O657" s="2">
        <v>14.0577117362414</v>
      </c>
      <c r="P657" s="2">
        <v>28.8339334687888</v>
      </c>
      <c r="Q657" s="2">
        <v>2.7272711285902198</v>
      </c>
      <c r="R657" s="2">
        <v>1.1942305341888799</v>
      </c>
      <c r="S657" s="2">
        <v>2.0684679611652701</v>
      </c>
      <c r="T657" s="2">
        <v>15.0741787349733</v>
      </c>
      <c r="U657" s="2">
        <v>2.5039334643212201</v>
      </c>
      <c r="V657" s="2">
        <v>1.5864921945666599</v>
      </c>
      <c r="W657" s="2">
        <v>0.37380594351391</v>
      </c>
      <c r="X657" s="2">
        <v>8.1612067916466593</v>
      </c>
      <c r="Y657" s="2">
        <v>2.4627497296404002</v>
      </c>
      <c r="Z657" s="7">
        <v>35.983472109908298</v>
      </c>
      <c r="AA657" s="2">
        <v>5.2441150752893204</v>
      </c>
      <c r="AB657" s="7">
        <v>22.474602828161402</v>
      </c>
      <c r="AC657" s="2">
        <v>14.1347261707283</v>
      </c>
      <c r="AD657" s="2">
        <v>341.518143667836</v>
      </c>
      <c r="AE657" s="2">
        <v>114.34036072662499</v>
      </c>
      <c r="AF657" s="2">
        <v>188.14449162041601</v>
      </c>
      <c r="AG657" s="2">
        <v>4.9188770065479703</v>
      </c>
      <c r="AH657" s="2">
        <v>43.7785142126775</v>
      </c>
      <c r="AI657" s="2">
        <v>75.826610896233703</v>
      </c>
      <c r="AJ657" s="2">
        <v>227.79063487237599</v>
      </c>
      <c r="AK657" s="2">
        <v>101.330579345942</v>
      </c>
      <c r="AL657" s="2">
        <v>244.221487638018</v>
      </c>
      <c r="AM657" s="2">
        <v>37.0018172438823</v>
      </c>
      <c r="AN657"/>
      <c r="AO657"/>
    </row>
    <row r="658" spans="1:41" ht="15.75" hidden="1" customHeight="1" x14ac:dyDescent="0.45">
      <c r="A658" s="2" t="s">
        <v>158</v>
      </c>
      <c r="B658" s="2" t="s">
        <v>96</v>
      </c>
      <c r="C658" s="2">
        <v>0.01</v>
      </c>
      <c r="D658" s="2"/>
      <c r="E658" s="2" t="s">
        <v>83</v>
      </c>
      <c r="F658" s="2" t="s">
        <v>84</v>
      </c>
      <c r="H658" s="2" t="s">
        <v>87</v>
      </c>
      <c r="K658" s="2">
        <v>0</v>
      </c>
      <c r="L658" s="2"/>
      <c r="M658" s="2">
        <v>0</v>
      </c>
      <c r="N658" s="2">
        <v>31.1666666666666</v>
      </c>
      <c r="O658" s="2">
        <v>5.4645321035849896</v>
      </c>
      <c r="P658" s="2">
        <v>6.9754794845277699</v>
      </c>
      <c r="Q658" s="2">
        <v>4.1688745100527198</v>
      </c>
      <c r="R658" s="2">
        <v>9.9206349205555502E-2</v>
      </c>
      <c r="S658" s="2">
        <v>0.17183043725744199</v>
      </c>
      <c r="T658" s="2">
        <v>11.407507344788799</v>
      </c>
      <c r="U658" s="2">
        <v>2.7953733920396799</v>
      </c>
      <c r="V658" s="2">
        <v>0.71431525463888801</v>
      </c>
      <c r="W658" s="2">
        <v>0.66218149276092597</v>
      </c>
      <c r="X658" s="2">
        <v>9.0627038697444409</v>
      </c>
      <c r="Y658" s="2">
        <v>1.7281376583749299</v>
      </c>
      <c r="Z658" s="7">
        <v>13.4266684239544</v>
      </c>
      <c r="AA658" s="2">
        <v>1.94568785929691</v>
      </c>
      <c r="AB658" s="7">
        <v>0</v>
      </c>
      <c r="AC658" s="2">
        <v>0</v>
      </c>
      <c r="AD658" s="2">
        <v>247.93913685398601</v>
      </c>
      <c r="AE658" s="2">
        <v>54.222605508432999</v>
      </c>
      <c r="AF658" s="2">
        <v>46.061532669775403</v>
      </c>
      <c r="AG658" s="2">
        <v>29.584051285451199</v>
      </c>
      <c r="AH658" s="2">
        <v>6.3126892632923797</v>
      </c>
      <c r="AI658" s="2">
        <v>10.933898536416899</v>
      </c>
      <c r="AJ658" s="2">
        <v>73.741418716655403</v>
      </c>
      <c r="AK658" s="2">
        <v>64.849091579224407</v>
      </c>
      <c r="AL658" s="2">
        <v>289.797254491378</v>
      </c>
      <c r="AM658" s="2">
        <v>120.10407240493601</v>
      </c>
      <c r="AN658"/>
      <c r="AO658"/>
    </row>
    <row r="659" spans="1:41" ht="15.75" hidden="1" customHeight="1" x14ac:dyDescent="0.45">
      <c r="A659" s="2" t="s">
        <v>158</v>
      </c>
      <c r="B659" s="2" t="s">
        <v>96</v>
      </c>
      <c r="C659" s="2">
        <v>0.03</v>
      </c>
      <c r="D659" s="2"/>
      <c r="E659" s="2" t="s">
        <v>83</v>
      </c>
      <c r="F659" s="2" t="s">
        <v>84</v>
      </c>
      <c r="H659" s="2" t="s">
        <v>87</v>
      </c>
      <c r="K659" s="2">
        <v>0</v>
      </c>
      <c r="L659" s="2"/>
      <c r="M659" s="2">
        <v>0</v>
      </c>
      <c r="N659" s="2">
        <v>25.855555555555501</v>
      </c>
      <c r="O659" s="2">
        <v>2.7901281000726699</v>
      </c>
      <c r="P659" s="2">
        <v>8.5306966802577708</v>
      </c>
      <c r="Q659" s="2">
        <v>4.76032632701755</v>
      </c>
      <c r="R659" s="2">
        <v>0.20576131687222199</v>
      </c>
      <c r="S659" s="2">
        <v>0.35638905505496798</v>
      </c>
      <c r="T659" s="2">
        <v>13.437902710617699</v>
      </c>
      <c r="U659" s="2">
        <v>4.17371047320455</v>
      </c>
      <c r="V659" s="2">
        <v>0.14619883041111101</v>
      </c>
      <c r="W659" s="2">
        <v>0.25322380227919</v>
      </c>
      <c r="X659" s="2">
        <v>6.4742364146033298</v>
      </c>
      <c r="Y659" s="2">
        <v>2.03717170527332</v>
      </c>
      <c r="Z659" s="7">
        <v>11.1550971174401</v>
      </c>
      <c r="AA659" s="2">
        <v>0.91049512692391998</v>
      </c>
      <c r="AB659" s="7">
        <v>0</v>
      </c>
      <c r="AC659" s="2">
        <v>0</v>
      </c>
      <c r="AD659" s="2">
        <v>295.07544908638801</v>
      </c>
      <c r="AE659" s="2">
        <v>106.32706200647399</v>
      </c>
      <c r="AF659" s="2">
        <v>54.326618047612399</v>
      </c>
      <c r="AG659" s="2">
        <v>26.0114114708106</v>
      </c>
      <c r="AH659" s="2">
        <v>7.5428692176489402</v>
      </c>
      <c r="AI659" s="2">
        <v>13.064632719815201</v>
      </c>
      <c r="AJ659" s="2">
        <v>32.611034729373699</v>
      </c>
      <c r="AK659" s="2">
        <v>56.483969038668498</v>
      </c>
      <c r="AL659" s="2">
        <v>213.77943387992701</v>
      </c>
      <c r="AM659" s="2">
        <v>127.727615432376</v>
      </c>
      <c r="AN659"/>
      <c r="AO659"/>
    </row>
    <row r="660" spans="1:41" ht="15.75" hidden="1" customHeight="1" x14ac:dyDescent="0.45">
      <c r="A660" s="2" t="s">
        <v>158</v>
      </c>
      <c r="B660" s="2" t="s">
        <v>96</v>
      </c>
      <c r="C660" s="2">
        <v>0.1</v>
      </c>
      <c r="D660" s="2"/>
      <c r="E660" s="2" t="s">
        <v>83</v>
      </c>
      <c r="F660" s="2" t="s">
        <v>84</v>
      </c>
      <c r="H660" s="2" t="s">
        <v>87</v>
      </c>
      <c r="K660" s="2">
        <v>0</v>
      </c>
      <c r="L660" s="2"/>
      <c r="M660" s="2">
        <v>0</v>
      </c>
      <c r="N660" s="2">
        <v>25.4777777777777</v>
      </c>
      <c r="O660" s="2">
        <v>3.4715243743176201</v>
      </c>
      <c r="P660" s="2">
        <v>7.0371281475999998</v>
      </c>
      <c r="Q660" s="2">
        <v>1.440088671089</v>
      </c>
      <c r="R660" s="2">
        <v>0.179211469533333</v>
      </c>
      <c r="S660" s="2">
        <v>0.31040337053081501</v>
      </c>
      <c r="T660" s="2">
        <v>12.247797966622199</v>
      </c>
      <c r="U660" s="2">
        <v>7.7091175561406597</v>
      </c>
      <c r="V660" s="2">
        <v>0</v>
      </c>
      <c r="W660" s="2">
        <v>0</v>
      </c>
      <c r="X660" s="2">
        <v>6.18800364475333</v>
      </c>
      <c r="Y660" s="2">
        <v>2.4078719255326599</v>
      </c>
      <c r="Z660" s="7">
        <v>10.984347626944601</v>
      </c>
      <c r="AA660" s="2">
        <v>1.1572816151496901</v>
      </c>
      <c r="AB660" s="7">
        <v>0</v>
      </c>
      <c r="AC660" s="2">
        <v>0</v>
      </c>
      <c r="AD660" s="2">
        <v>263.729718595701</v>
      </c>
      <c r="AE660" s="2">
        <v>175.642993911296</v>
      </c>
      <c r="AF660" s="2">
        <v>45.648659378917202</v>
      </c>
      <c r="AG660" s="2">
        <v>5.5641630887326903</v>
      </c>
      <c r="AH660" s="2">
        <v>11.403567701477</v>
      </c>
      <c r="AI660" s="2">
        <v>19.751558646509601</v>
      </c>
      <c r="AJ660" s="2">
        <v>0</v>
      </c>
      <c r="AK660" s="2">
        <v>0</v>
      </c>
      <c r="AL660" s="2">
        <v>206.942174916959</v>
      </c>
      <c r="AM660" s="2">
        <v>138.81511044844501</v>
      </c>
      <c r="AN660"/>
      <c r="AO660"/>
    </row>
    <row r="661" spans="1:41" ht="15.75" hidden="1" customHeight="1" x14ac:dyDescent="0.45">
      <c r="A661" s="2" t="s">
        <v>158</v>
      </c>
      <c r="B661" s="2" t="s">
        <v>96</v>
      </c>
      <c r="C661" s="2">
        <v>0.3</v>
      </c>
      <c r="D661" s="2"/>
      <c r="E661" s="2" t="s">
        <v>83</v>
      </c>
      <c r="F661" s="2" t="s">
        <v>84</v>
      </c>
      <c r="H661" s="2" t="s">
        <v>87</v>
      </c>
      <c r="K661" s="2">
        <v>0</v>
      </c>
      <c r="L661" s="2"/>
      <c r="M661" s="2">
        <v>0</v>
      </c>
      <c r="N661" s="2">
        <v>23.2</v>
      </c>
      <c r="O661" s="2">
        <v>4.9112116631234999</v>
      </c>
      <c r="P661" s="2">
        <v>7.7481539857911104</v>
      </c>
      <c r="Q661" s="2">
        <v>3.7567017755907601</v>
      </c>
      <c r="R661" s="2">
        <v>0.16666666666666599</v>
      </c>
      <c r="S661" s="2">
        <v>0.28867513459481198</v>
      </c>
      <c r="T661" s="2">
        <v>12.656950230586601</v>
      </c>
      <c r="U661" s="2">
        <v>6.6456700288220301</v>
      </c>
      <c r="V661" s="2">
        <v>0</v>
      </c>
      <c r="W661" s="2">
        <v>0</v>
      </c>
      <c r="X661" s="2">
        <v>6.3658974770311101</v>
      </c>
      <c r="Y661" s="2">
        <v>1.5668371233088301</v>
      </c>
      <c r="Z661" s="7">
        <v>9.9954360975351495</v>
      </c>
      <c r="AA661" s="2">
        <v>1.8573027337752701</v>
      </c>
      <c r="AB661" s="7">
        <v>0</v>
      </c>
      <c r="AC661" s="2">
        <v>0</v>
      </c>
      <c r="AD661" s="2">
        <v>288.35955236903499</v>
      </c>
      <c r="AE661" s="2">
        <v>186.93678566165701</v>
      </c>
      <c r="AF661" s="2">
        <v>49.545366697858498</v>
      </c>
      <c r="AG661" s="2">
        <v>20.217278339242501</v>
      </c>
      <c r="AH661" s="2">
        <v>6.1097240663017498</v>
      </c>
      <c r="AI661" s="2">
        <v>10.5823525030609</v>
      </c>
      <c r="AJ661" s="2">
        <v>0</v>
      </c>
      <c r="AK661" s="2">
        <v>0</v>
      </c>
      <c r="AL661" s="2">
        <v>207.529663863812</v>
      </c>
      <c r="AM661" s="2">
        <v>109.02241405589299</v>
      </c>
      <c r="AN661"/>
      <c r="AO661"/>
    </row>
    <row r="662" spans="1:41" ht="15.75" hidden="1" customHeight="1" x14ac:dyDescent="0.45">
      <c r="A662" s="2" t="s">
        <v>158</v>
      </c>
      <c r="B662" s="2" t="s">
        <v>96</v>
      </c>
      <c r="C662" s="2">
        <v>1</v>
      </c>
      <c r="D662" s="2"/>
      <c r="E662" s="2" t="s">
        <v>83</v>
      </c>
      <c r="F662" s="2" t="s">
        <v>84</v>
      </c>
      <c r="H662" s="2" t="s">
        <v>87</v>
      </c>
      <c r="K662" s="2">
        <v>0</v>
      </c>
      <c r="L662" s="2"/>
      <c r="M662" s="2">
        <v>0</v>
      </c>
      <c r="N662" s="2">
        <v>21.3333333333333</v>
      </c>
      <c r="O662" s="2">
        <v>4.47524052736585</v>
      </c>
      <c r="P662" s="2">
        <v>5.3707517844944404</v>
      </c>
      <c r="Q662" s="2">
        <v>1.5051432033198799</v>
      </c>
      <c r="R662" s="2">
        <v>0</v>
      </c>
      <c r="S662" s="2">
        <v>0</v>
      </c>
      <c r="T662" s="2">
        <v>20.605271677661101</v>
      </c>
      <c r="U662" s="2">
        <v>7.3391010832470602</v>
      </c>
      <c r="V662" s="2">
        <v>0</v>
      </c>
      <c r="W662" s="2">
        <v>0</v>
      </c>
      <c r="X662" s="2">
        <v>2.9725566289944401</v>
      </c>
      <c r="Y662" s="2">
        <v>1.5559113496014401</v>
      </c>
      <c r="Z662" s="7">
        <v>9.1932544482283305</v>
      </c>
      <c r="AA662" s="2">
        <v>1.76169213994235</v>
      </c>
      <c r="AB662" s="7">
        <v>0</v>
      </c>
      <c r="AC662" s="2">
        <v>0</v>
      </c>
      <c r="AD662" s="2">
        <v>456.38221419008698</v>
      </c>
      <c r="AE662" s="2">
        <v>200.49532332258599</v>
      </c>
      <c r="AF662" s="2">
        <v>34.726482072997896</v>
      </c>
      <c r="AG662" s="2">
        <v>7.26878095838254</v>
      </c>
      <c r="AH662" s="2">
        <v>0</v>
      </c>
      <c r="AI662" s="2">
        <v>0</v>
      </c>
      <c r="AJ662" s="2">
        <v>0</v>
      </c>
      <c r="AK662" s="2">
        <v>0</v>
      </c>
      <c r="AL662" s="2">
        <v>99.584665575696505</v>
      </c>
      <c r="AM662" s="2">
        <v>74.326254315436202</v>
      </c>
      <c r="AN662"/>
      <c r="AO662"/>
    </row>
    <row r="663" spans="1:41" ht="15.75" hidden="1" customHeight="1" x14ac:dyDescent="0.45">
      <c r="A663" s="2" t="s">
        <v>158</v>
      </c>
      <c r="B663" s="2" t="s">
        <v>96</v>
      </c>
      <c r="C663" s="2">
        <v>3</v>
      </c>
      <c r="D663" s="2"/>
      <c r="E663" s="2" t="s">
        <v>83</v>
      </c>
      <c r="F663" s="2" t="s">
        <v>84</v>
      </c>
      <c r="H663" s="2" t="s">
        <v>87</v>
      </c>
      <c r="K663" s="2">
        <v>0</v>
      </c>
      <c r="L663" s="2"/>
      <c r="M663" s="2">
        <v>0</v>
      </c>
      <c r="N663" s="2">
        <v>20.3888888888888</v>
      </c>
      <c r="O663" s="2">
        <v>3.3096380019125302</v>
      </c>
      <c r="P663" s="2">
        <v>3.1716955787694401</v>
      </c>
      <c r="Q663" s="2">
        <v>3.6759913364767001</v>
      </c>
      <c r="R663" s="2">
        <v>0</v>
      </c>
      <c r="S663" s="2">
        <v>0</v>
      </c>
      <c r="T663" s="2">
        <v>18.007728107461102</v>
      </c>
      <c r="U663" s="2">
        <v>7.1580461306580698</v>
      </c>
      <c r="V663" s="2">
        <v>0</v>
      </c>
      <c r="W663" s="2">
        <v>0</v>
      </c>
      <c r="X663" s="2">
        <v>5.6869151819277697</v>
      </c>
      <c r="Y663" s="2">
        <v>3.3659822272683599</v>
      </c>
      <c r="Z663" s="7">
        <v>8.7857780882864098</v>
      </c>
      <c r="AA663" s="2">
        <v>1.1555807970527301</v>
      </c>
      <c r="AB663" s="7">
        <v>0</v>
      </c>
      <c r="AC663" s="2">
        <v>0</v>
      </c>
      <c r="AD663" s="2">
        <v>406.36024794039798</v>
      </c>
      <c r="AE663" s="2">
        <v>210.68971220602299</v>
      </c>
      <c r="AF663" s="2">
        <v>19.6076554706449</v>
      </c>
      <c r="AG663" s="2">
        <v>21.499122500805001</v>
      </c>
      <c r="AH663" s="2">
        <v>0</v>
      </c>
      <c r="AI663" s="2">
        <v>0</v>
      </c>
      <c r="AJ663" s="2">
        <v>0</v>
      </c>
      <c r="AK663" s="2">
        <v>0</v>
      </c>
      <c r="AL663" s="2">
        <v>196.47448242296801</v>
      </c>
      <c r="AM663" s="2">
        <v>168.99161653564801</v>
      </c>
      <c r="AN663"/>
      <c r="AO663"/>
    </row>
    <row r="664" spans="1:41" ht="15.75" hidden="1" customHeight="1" x14ac:dyDescent="0.45">
      <c r="A664" s="2" t="s">
        <v>158</v>
      </c>
      <c r="B664" s="2" t="s">
        <v>96</v>
      </c>
      <c r="C664" s="2">
        <v>10</v>
      </c>
      <c r="D664" s="2"/>
      <c r="E664" s="2" t="s">
        <v>83</v>
      </c>
      <c r="F664" s="2" t="s">
        <v>84</v>
      </c>
      <c r="H664" s="2" t="s">
        <v>87</v>
      </c>
      <c r="K664" s="2">
        <v>0</v>
      </c>
      <c r="L664" s="2"/>
      <c r="M664" s="2">
        <v>0</v>
      </c>
      <c r="N664" s="2">
        <v>20.6666666666666</v>
      </c>
      <c r="O664" s="2">
        <v>2.8480012484391501</v>
      </c>
      <c r="P664" s="2">
        <v>3.67206596734888</v>
      </c>
      <c r="Q664" s="2">
        <v>0.63614271599913996</v>
      </c>
      <c r="R664" s="2">
        <v>0</v>
      </c>
      <c r="S664" s="2">
        <v>0</v>
      </c>
      <c r="T664" s="2">
        <v>17.165462884091099</v>
      </c>
      <c r="U664" s="2">
        <v>5.7648876673725198</v>
      </c>
      <c r="V664" s="2">
        <v>0</v>
      </c>
      <c r="W664" s="2">
        <v>0</v>
      </c>
      <c r="X664" s="2">
        <v>3.2986541525922202</v>
      </c>
      <c r="Y664" s="2">
        <v>3.0899826456714798</v>
      </c>
      <c r="Z664" s="7">
        <v>8.9109260102207806</v>
      </c>
      <c r="AA664" s="2">
        <v>0.98296214583567398</v>
      </c>
      <c r="AB664" s="7">
        <v>0</v>
      </c>
      <c r="AC664" s="2">
        <v>0</v>
      </c>
      <c r="AD664" s="2">
        <v>390.70573941265502</v>
      </c>
      <c r="AE664" s="2">
        <v>184.75278979760799</v>
      </c>
      <c r="AF664" s="2">
        <v>24.086638303965</v>
      </c>
      <c r="AG664" s="2">
        <v>4.7391068090160697</v>
      </c>
      <c r="AH664" s="2">
        <v>0</v>
      </c>
      <c r="AI664" s="2">
        <v>0</v>
      </c>
      <c r="AJ664" s="2">
        <v>0</v>
      </c>
      <c r="AK664" s="2">
        <v>0</v>
      </c>
      <c r="AL664" s="2">
        <v>120.07549690444201</v>
      </c>
      <c r="AM664" s="2">
        <v>136.13448102243399</v>
      </c>
      <c r="AN664"/>
      <c r="AO664"/>
    </row>
    <row r="665" spans="1:41" ht="15.75" hidden="1" customHeight="1" x14ac:dyDescent="0.45">
      <c r="A665" s="2" t="s">
        <v>158</v>
      </c>
      <c r="B665" s="2" t="s">
        <v>96</v>
      </c>
      <c r="C665" s="2">
        <v>3.0000000000000001E-3</v>
      </c>
      <c r="D665" s="2"/>
      <c r="E665" s="2" t="s">
        <v>83</v>
      </c>
      <c r="F665" s="2" t="s">
        <v>84</v>
      </c>
      <c r="H665" s="2" t="s">
        <v>87</v>
      </c>
      <c r="K665" s="2">
        <v>37.762944636111101</v>
      </c>
      <c r="L665" s="2"/>
      <c r="M665" s="2">
        <v>4.1119833863145701</v>
      </c>
      <c r="N665" s="2">
        <v>270.888888888888</v>
      </c>
      <c r="O665" s="2">
        <v>17.958542793313001</v>
      </c>
      <c r="P665" s="2">
        <v>34.563027500222198</v>
      </c>
      <c r="Q665" s="2">
        <v>1.0444150463730799</v>
      </c>
      <c r="R665" s="2">
        <v>2.98294987661111</v>
      </c>
      <c r="S665" s="2">
        <v>0.43821938511904701</v>
      </c>
      <c r="T665" s="2">
        <v>4.1086074269333297</v>
      </c>
      <c r="U665" s="2">
        <v>0.38648814001208898</v>
      </c>
      <c r="V665" s="2">
        <v>0.200574853755555</v>
      </c>
      <c r="W665" s="2">
        <v>6.7730525165226096E-2</v>
      </c>
      <c r="X665" s="2">
        <v>2.91714023302222</v>
      </c>
      <c r="Y665" s="2">
        <v>0.364295867029443</v>
      </c>
      <c r="Z665" s="7">
        <v>97.131474103585603</v>
      </c>
      <c r="AA665" s="2">
        <v>6.4393181330604499</v>
      </c>
      <c r="AB665" s="7">
        <v>94.596039375078306</v>
      </c>
      <c r="AC665" s="2">
        <v>10.3005034715835</v>
      </c>
      <c r="AD665" s="2">
        <v>92.799320419146895</v>
      </c>
      <c r="AE665" s="2">
        <v>8.7294387164052694</v>
      </c>
      <c r="AF665" s="2">
        <v>102.20928928513101</v>
      </c>
      <c r="AG665" s="2">
        <v>3.0885291980803702</v>
      </c>
      <c r="AH665" s="2">
        <v>79.858248897299902</v>
      </c>
      <c r="AI665" s="2">
        <v>11.731820572264001</v>
      </c>
      <c r="AJ665" s="2">
        <v>42.648394750673702</v>
      </c>
      <c r="AK665" s="2">
        <v>14.4015968095252</v>
      </c>
      <c r="AL665" s="2">
        <v>86.640311095110107</v>
      </c>
      <c r="AM665" s="2">
        <v>10.8197428744775</v>
      </c>
      <c r="AN665"/>
      <c r="AO665"/>
    </row>
    <row r="666" spans="1:41" ht="15.75" hidden="1" customHeight="1" x14ac:dyDescent="0.45">
      <c r="A666" s="2" t="s">
        <v>158</v>
      </c>
      <c r="B666" s="2" t="s">
        <v>96</v>
      </c>
      <c r="C666" s="2">
        <v>0.01</v>
      </c>
      <c r="D666" s="2"/>
      <c r="E666" s="2" t="s">
        <v>83</v>
      </c>
      <c r="F666" s="2" t="s">
        <v>84</v>
      </c>
      <c r="H666" s="2" t="s">
        <v>87</v>
      </c>
      <c r="K666" s="2">
        <v>40.865226094999997</v>
      </c>
      <c r="L666" s="2"/>
      <c r="M666" s="2">
        <v>3.91823145315472</v>
      </c>
      <c r="N666" s="2">
        <v>300.33333333333297</v>
      </c>
      <c r="O666" s="2">
        <v>45.233652664066</v>
      </c>
      <c r="P666" s="2">
        <v>30.994088201111101</v>
      </c>
      <c r="Q666" s="2">
        <v>3.8019504560573898</v>
      </c>
      <c r="R666" s="2">
        <v>3.6376870674999902</v>
      </c>
      <c r="S666" s="2">
        <v>0.74424864645685496</v>
      </c>
      <c r="T666" s="2">
        <v>4.6635074781666601</v>
      </c>
      <c r="U666" s="2">
        <v>1.5043854037131501</v>
      </c>
      <c r="V666" s="2">
        <v>0.35348484455555501</v>
      </c>
      <c r="W666" s="2">
        <v>0.162216361907012</v>
      </c>
      <c r="X666" s="2">
        <v>2.7442959068333299</v>
      </c>
      <c r="Y666" s="2">
        <v>0.18050388683571</v>
      </c>
      <c r="Z666" s="7">
        <v>107.689243027888</v>
      </c>
      <c r="AA666" s="2">
        <v>16.219238007035599</v>
      </c>
      <c r="AB666" s="7">
        <v>102.367243179905</v>
      </c>
      <c r="AC666" s="2">
        <v>9.8151555816136895</v>
      </c>
      <c r="AD666" s="2">
        <v>105.332605375368</v>
      </c>
      <c r="AE666" s="2">
        <v>33.978895671048903</v>
      </c>
      <c r="AF666" s="2">
        <v>91.655273168876107</v>
      </c>
      <c r="AG666" s="2">
        <v>11.243073368165099</v>
      </c>
      <c r="AH666" s="2">
        <v>97.386590879272902</v>
      </c>
      <c r="AI666" s="2">
        <v>19.924704104566601</v>
      </c>
      <c r="AJ666" s="2">
        <v>75.161770813796906</v>
      </c>
      <c r="AK666" s="2">
        <v>34.492197342244303</v>
      </c>
      <c r="AL666" s="2">
        <v>81.506760769860406</v>
      </c>
      <c r="AM666" s="2">
        <v>5.3610425485511302</v>
      </c>
      <c r="AN666"/>
      <c r="AO666"/>
    </row>
    <row r="667" spans="1:41" ht="15.75" hidden="1" customHeight="1" x14ac:dyDescent="0.45">
      <c r="A667" s="2" t="s">
        <v>158</v>
      </c>
      <c r="B667" s="2" t="s">
        <v>96</v>
      </c>
      <c r="C667" s="2">
        <v>0.03</v>
      </c>
      <c r="D667" s="2"/>
      <c r="E667" s="2" t="s">
        <v>83</v>
      </c>
      <c r="F667" s="2" t="s">
        <v>84</v>
      </c>
      <c r="H667" s="2" t="s">
        <v>87</v>
      </c>
      <c r="K667" s="2">
        <v>23.868740757999898</v>
      </c>
      <c r="L667" s="2"/>
      <c r="M667" s="2">
        <v>5.3362076936848402</v>
      </c>
      <c r="N667" s="2">
        <v>128.57777777777699</v>
      </c>
      <c r="O667" s="2">
        <v>52.3373813013364</v>
      </c>
      <c r="P667" s="2">
        <v>47.587371858444399</v>
      </c>
      <c r="Q667" s="2">
        <v>7.9977853997697501</v>
      </c>
      <c r="R667" s="2">
        <v>1.6939615695333301</v>
      </c>
      <c r="S667" s="2">
        <v>8.7254368843902502E-2</v>
      </c>
      <c r="T667" s="2">
        <v>11.130372102888799</v>
      </c>
      <c r="U667" s="2">
        <v>5.5869773677036001</v>
      </c>
      <c r="V667" s="2">
        <v>2.2430161774999999</v>
      </c>
      <c r="W667" s="2">
        <v>0.78669698444243596</v>
      </c>
      <c r="X667" s="2">
        <v>5.1591913161111096</v>
      </c>
      <c r="Y667" s="2">
        <v>1.03371424177335</v>
      </c>
      <c r="Z667" s="7">
        <v>46.103585657370502</v>
      </c>
      <c r="AA667" s="2">
        <v>18.766391701674401</v>
      </c>
      <c r="AB667" s="7">
        <v>59.791109044451503</v>
      </c>
      <c r="AC667" s="2">
        <v>13.3671809221864</v>
      </c>
      <c r="AD667" s="2">
        <v>251.39685052150901</v>
      </c>
      <c r="AE667" s="2">
        <v>126.19061619791501</v>
      </c>
      <c r="AF667" s="2">
        <v>140.724693650392</v>
      </c>
      <c r="AG667" s="2">
        <v>23.650936294866298</v>
      </c>
      <c r="AH667" s="2">
        <v>45.350009298828603</v>
      </c>
      <c r="AI667" s="2">
        <v>2.3359363692793198</v>
      </c>
      <c r="AJ667" s="2">
        <v>476.93435931281402</v>
      </c>
      <c r="AK667" s="2">
        <v>167.276021462567</v>
      </c>
      <c r="AL667" s="2">
        <v>153.23018604558499</v>
      </c>
      <c r="AM667" s="2">
        <v>30.701754573485601</v>
      </c>
      <c r="AN667"/>
      <c r="AO667"/>
    </row>
    <row r="668" spans="1:41" ht="15.75" hidden="1" customHeight="1" x14ac:dyDescent="0.45">
      <c r="A668" s="2" t="s">
        <v>158</v>
      </c>
      <c r="B668" s="2" t="s">
        <v>96</v>
      </c>
      <c r="C668" s="2">
        <v>0.1</v>
      </c>
      <c r="D668" s="2"/>
      <c r="E668" s="2" t="s">
        <v>83</v>
      </c>
      <c r="F668" s="2" t="s">
        <v>84</v>
      </c>
      <c r="H668" s="2" t="s">
        <v>87</v>
      </c>
      <c r="K668" s="2">
        <v>0</v>
      </c>
      <c r="L668" s="2"/>
      <c r="M668" s="2">
        <v>0</v>
      </c>
      <c r="N668" s="2">
        <v>18.7777777777777</v>
      </c>
      <c r="O668" s="2">
        <v>2.71484260508235</v>
      </c>
      <c r="P668" s="2">
        <v>28.916617094444401</v>
      </c>
      <c r="Q668" s="2">
        <v>3.1524991274298602</v>
      </c>
      <c r="R668" s="2">
        <v>0.46296296300000001</v>
      </c>
      <c r="S668" s="2">
        <v>0.40093768696931498</v>
      </c>
      <c r="T668" s="2">
        <v>8.4023965450000002</v>
      </c>
      <c r="U668" s="2">
        <v>6.5950112663564298</v>
      </c>
      <c r="V668" s="2">
        <v>0.96980150088888895</v>
      </c>
      <c r="W668" s="2">
        <v>0.34734333608006401</v>
      </c>
      <c r="X668" s="2">
        <v>7.7648284727222201</v>
      </c>
      <c r="Y668" s="2">
        <v>4.7928137365563099</v>
      </c>
      <c r="Z668" s="7">
        <v>6.7330677290836602</v>
      </c>
      <c r="AA668" s="2">
        <v>0.97344953967096204</v>
      </c>
      <c r="AB668" s="7">
        <v>0</v>
      </c>
      <c r="AC668" s="2">
        <v>0</v>
      </c>
      <c r="AD668" s="2">
        <v>189.78125876829799</v>
      </c>
      <c r="AE668" s="2">
        <v>148.95863733841799</v>
      </c>
      <c r="AF668" s="2">
        <v>85.511805403460301</v>
      </c>
      <c r="AG668" s="2">
        <v>9.3225252123684008</v>
      </c>
      <c r="AH668" s="2">
        <v>12.3942449785606</v>
      </c>
      <c r="AI668" s="2">
        <v>10.733731012161201</v>
      </c>
      <c r="AJ668" s="2">
        <v>206.20968414172199</v>
      </c>
      <c r="AK668" s="2">
        <v>73.855896857400793</v>
      </c>
      <c r="AL668" s="2">
        <v>230.61872270015601</v>
      </c>
      <c r="AM668" s="2">
        <v>142.34861541981701</v>
      </c>
      <c r="AN668"/>
      <c r="AO668"/>
    </row>
    <row r="669" spans="1:41" ht="15.75" hidden="1" customHeight="1" x14ac:dyDescent="0.45">
      <c r="A669" s="2" t="s">
        <v>158</v>
      </c>
      <c r="B669" s="2" t="s">
        <v>96</v>
      </c>
      <c r="C669" s="2">
        <v>0.3</v>
      </c>
      <c r="D669" s="2"/>
      <c r="E669" s="2" t="s">
        <v>83</v>
      </c>
      <c r="F669" s="2" t="s">
        <v>84</v>
      </c>
      <c r="H669" s="2" t="s">
        <v>87</v>
      </c>
      <c r="K669" s="2">
        <v>0</v>
      </c>
      <c r="L669" s="2"/>
      <c r="M669" s="2">
        <v>0</v>
      </c>
      <c r="N669" s="2">
        <v>20.4444444444444</v>
      </c>
      <c r="O669" s="2">
        <v>2.63698761917906</v>
      </c>
      <c r="P669" s="2">
        <v>21.8970597341111</v>
      </c>
      <c r="Q669" s="2">
        <v>0.53588851749489497</v>
      </c>
      <c r="R669" s="2">
        <v>3.20312013716666</v>
      </c>
      <c r="S669" s="2">
        <v>2.3847607596341698</v>
      </c>
      <c r="T669" s="2">
        <v>10.5542250691111</v>
      </c>
      <c r="U669" s="2">
        <v>6.1939296856409802</v>
      </c>
      <c r="V669" s="2">
        <v>0.82326185838888899</v>
      </c>
      <c r="W669" s="2">
        <v>0.91170224859898596</v>
      </c>
      <c r="X669" s="2">
        <v>7.3256220613888798</v>
      </c>
      <c r="Y669" s="2">
        <v>0.72324468537786402</v>
      </c>
      <c r="Z669" s="7">
        <v>7.3306772908366504</v>
      </c>
      <c r="AA669" s="2">
        <v>0.94553340926739504</v>
      </c>
      <c r="AB669" s="7">
        <v>0</v>
      </c>
      <c r="AC669" s="2">
        <v>0</v>
      </c>
      <c r="AD669" s="2">
        <v>238.383669255857</v>
      </c>
      <c r="AE669" s="2">
        <v>139.89958295443401</v>
      </c>
      <c r="AF669" s="2">
        <v>64.753671038891994</v>
      </c>
      <c r="AG669" s="2">
        <v>1.5847218392215101</v>
      </c>
      <c r="AH669" s="2">
        <v>85.752552252877607</v>
      </c>
      <c r="AI669" s="2">
        <v>63.843787586447498</v>
      </c>
      <c r="AJ669" s="2">
        <v>175.05084043353099</v>
      </c>
      <c r="AK669" s="2">
        <v>193.85599273931601</v>
      </c>
      <c r="AL669" s="2">
        <v>217.57410465878601</v>
      </c>
      <c r="AM669" s="2">
        <v>21.480676118920599</v>
      </c>
      <c r="AN669"/>
      <c r="AO669"/>
    </row>
    <row r="670" spans="1:41" ht="15.75" hidden="1" customHeight="1" x14ac:dyDescent="0.45">
      <c r="A670" s="2" t="s">
        <v>158</v>
      </c>
      <c r="B670" s="2" t="s">
        <v>96</v>
      </c>
      <c r="C670" s="2">
        <v>1</v>
      </c>
      <c r="D670" s="2"/>
      <c r="E670" s="2" t="s">
        <v>83</v>
      </c>
      <c r="F670" s="2" t="s">
        <v>84</v>
      </c>
      <c r="H670" s="2" t="s">
        <v>87</v>
      </c>
      <c r="K670" s="2">
        <v>0</v>
      </c>
      <c r="L670" s="2"/>
      <c r="M670" s="2">
        <v>0</v>
      </c>
      <c r="N670" s="2">
        <v>15.3888888888888</v>
      </c>
      <c r="O670" s="2">
        <v>1.64429428743876</v>
      </c>
      <c r="P670" s="2">
        <v>21.469137539944398</v>
      </c>
      <c r="Q670" s="2">
        <v>4.5038243531884001</v>
      </c>
      <c r="R670" s="2">
        <v>2.3932131774444398</v>
      </c>
      <c r="S670" s="2">
        <v>0.79729355523695</v>
      </c>
      <c r="T670" s="2">
        <v>9.07916826122222</v>
      </c>
      <c r="U670" s="2">
        <v>6.0788422224191603</v>
      </c>
      <c r="V670" s="2">
        <v>0.67901234572222202</v>
      </c>
      <c r="W670" s="2">
        <v>0.59528708404743602</v>
      </c>
      <c r="X670" s="2">
        <v>8.8900951129999992</v>
      </c>
      <c r="Y670" s="2">
        <v>4.39034222474457</v>
      </c>
      <c r="Z670" s="7">
        <v>5.5179282868525901</v>
      </c>
      <c r="AA670" s="2">
        <v>0.58958759310553299</v>
      </c>
      <c r="AB670" s="7">
        <v>0</v>
      </c>
      <c r="AC670" s="2">
        <v>0</v>
      </c>
      <c r="AD670" s="2">
        <v>205.06720576158401</v>
      </c>
      <c r="AE670" s="2">
        <v>137.300152717868</v>
      </c>
      <c r="AF670" s="2">
        <v>63.488225662764897</v>
      </c>
      <c r="AG670" s="2">
        <v>13.3186447917936</v>
      </c>
      <c r="AH670" s="2">
        <v>64.070072074353007</v>
      </c>
      <c r="AI670" s="2">
        <v>21.344799548110601</v>
      </c>
      <c r="AJ670" s="2">
        <v>144.37894889972</v>
      </c>
      <c r="AK670" s="2">
        <v>126.57637822024</v>
      </c>
      <c r="AL670" s="2">
        <v>264.03962261953001</v>
      </c>
      <c r="AM670" s="2">
        <v>130.395039587035</v>
      </c>
      <c r="AN670"/>
      <c r="AO670"/>
    </row>
    <row r="671" spans="1:41" ht="15.75" hidden="1" customHeight="1" x14ac:dyDescent="0.45">
      <c r="A671" s="2" t="s">
        <v>158</v>
      </c>
      <c r="B671" s="2" t="s">
        <v>96</v>
      </c>
      <c r="C671" s="2">
        <v>3</v>
      </c>
      <c r="D671" s="2"/>
      <c r="E671" s="2" t="s">
        <v>83</v>
      </c>
      <c r="F671" s="2" t="s">
        <v>84</v>
      </c>
      <c r="H671" s="2" t="s">
        <v>87</v>
      </c>
      <c r="K671" s="2">
        <v>0</v>
      </c>
      <c r="L671" s="2"/>
      <c r="M671" s="2">
        <v>0</v>
      </c>
      <c r="N671" s="2">
        <v>13.6666666666666</v>
      </c>
      <c r="O671" s="2">
        <v>1.4529663145135601</v>
      </c>
      <c r="P671" s="2">
        <v>22.254768624422201</v>
      </c>
      <c r="Q671" s="2">
        <v>6.9188150949610296</v>
      </c>
      <c r="R671" s="2">
        <v>7.7722645950000002</v>
      </c>
      <c r="S671" s="2">
        <v>4.6061566248116401</v>
      </c>
      <c r="T671" s="2">
        <v>13.073427193055499</v>
      </c>
      <c r="U671" s="2">
        <v>2.7976717679438998</v>
      </c>
      <c r="V671" s="2">
        <v>0</v>
      </c>
      <c r="W671" s="2">
        <v>0</v>
      </c>
      <c r="X671" s="2">
        <v>7.7560253876111096</v>
      </c>
      <c r="Y671" s="2">
        <v>1.9319956701487699</v>
      </c>
      <c r="Z671" s="7">
        <v>4.9003984063745003</v>
      </c>
      <c r="AA671" s="2">
        <v>0.52098393747498495</v>
      </c>
      <c r="AB671" s="7">
        <v>0</v>
      </c>
      <c r="AC671" s="2">
        <v>0</v>
      </c>
      <c r="AD671" s="2">
        <v>295.28378669419101</v>
      </c>
      <c r="AE671" s="2">
        <v>63.189789591265502</v>
      </c>
      <c r="AF671" s="2">
        <v>65.811482639725696</v>
      </c>
      <c r="AG671" s="2">
        <v>20.4602207820671</v>
      </c>
      <c r="AH671" s="2">
        <v>208.07571906918099</v>
      </c>
      <c r="AI671" s="2">
        <v>123.314040604011</v>
      </c>
      <c r="AJ671" s="2">
        <v>0</v>
      </c>
      <c r="AK671" s="2">
        <v>0</v>
      </c>
      <c r="AL671" s="2">
        <v>230.357267311762</v>
      </c>
      <c r="AM671" s="2">
        <v>57.381096733452999</v>
      </c>
      <c r="AN671"/>
      <c r="AO671"/>
    </row>
    <row r="672" spans="1:41" ht="15.75" hidden="1" customHeight="1" x14ac:dyDescent="0.45">
      <c r="A672" s="2" t="s">
        <v>158</v>
      </c>
      <c r="B672" s="2" t="s">
        <v>96</v>
      </c>
      <c r="C672" s="2">
        <v>10</v>
      </c>
      <c r="D672" s="2"/>
      <c r="E672" s="2" t="s">
        <v>83</v>
      </c>
      <c r="F672" s="2" t="s">
        <v>84</v>
      </c>
      <c r="H672" s="2" t="s">
        <v>87</v>
      </c>
      <c r="K672" s="2">
        <v>0</v>
      </c>
      <c r="L672" s="2"/>
      <c r="M672" s="2">
        <v>0</v>
      </c>
      <c r="N672" s="2">
        <v>11.811111111111099</v>
      </c>
      <c r="O672" s="2">
        <v>1.2894156011901701</v>
      </c>
      <c r="P672" s="2">
        <v>12.910536993888799</v>
      </c>
      <c r="Q672" s="2">
        <v>1.2371077290096399</v>
      </c>
      <c r="R672" s="2">
        <v>4.8552404385000001</v>
      </c>
      <c r="S672" s="2">
        <v>5.3707866220421501</v>
      </c>
      <c r="T672" s="2">
        <v>15.179854096166601</v>
      </c>
      <c r="U672" s="2">
        <v>9.3566931412449694</v>
      </c>
      <c r="V672" s="2">
        <v>0.50505050505555504</v>
      </c>
      <c r="W672" s="2">
        <v>0.87477313514454402</v>
      </c>
      <c r="X672" s="2">
        <v>5.9455883622777703</v>
      </c>
      <c r="Y672" s="2">
        <v>1.93942361666291</v>
      </c>
      <c r="Z672" s="7">
        <v>4.2350597609561698</v>
      </c>
      <c r="AA672" s="2">
        <v>0.46234025540683699</v>
      </c>
      <c r="AB672" s="7">
        <v>0</v>
      </c>
      <c r="AC672" s="2">
        <v>0</v>
      </c>
      <c r="AD672" s="2">
        <v>342.86073060952202</v>
      </c>
      <c r="AE672" s="2">
        <v>211.33553894345201</v>
      </c>
      <c r="AF672" s="2">
        <v>38.178854859467897</v>
      </c>
      <c r="AG672" s="2">
        <v>3.6583572359338401</v>
      </c>
      <c r="AH672" s="2">
        <v>129.98240514670101</v>
      </c>
      <c r="AI672" s="2">
        <v>143.784385450217</v>
      </c>
      <c r="AJ672" s="2">
        <v>107.389300828743</v>
      </c>
      <c r="AK672" s="2">
        <v>186.00372522468101</v>
      </c>
      <c r="AL672" s="2">
        <v>176.586514258016</v>
      </c>
      <c r="AM672" s="2">
        <v>57.601709918070398</v>
      </c>
      <c r="AN672"/>
      <c r="AO672"/>
    </row>
    <row r="673" spans="1:41" ht="15.75" hidden="1" customHeight="1" x14ac:dyDescent="0.45">
      <c r="A673" s="2" t="s">
        <v>158</v>
      </c>
      <c r="B673" s="2" t="s">
        <v>96</v>
      </c>
      <c r="C673" s="2">
        <v>3.0000000000000001E-3</v>
      </c>
      <c r="D673" s="2"/>
      <c r="E673" s="2" t="s">
        <v>85</v>
      </c>
      <c r="F673" s="2" t="s">
        <v>84</v>
      </c>
      <c r="G673" s="2" t="s">
        <v>86</v>
      </c>
      <c r="H673" s="2" t="s">
        <v>87</v>
      </c>
      <c r="I673" s="2">
        <v>3539</v>
      </c>
      <c r="J673" s="2">
        <v>4.0000000000000001E-3</v>
      </c>
      <c r="K673" s="2">
        <v>0</v>
      </c>
      <c r="L673" s="2"/>
      <c r="M673" s="2">
        <v>0</v>
      </c>
      <c r="N673" s="2">
        <v>62.5</v>
      </c>
      <c r="O673" s="2">
        <v>3.0000000000001501</v>
      </c>
      <c r="P673" s="2">
        <v>0.16360640301111101</v>
      </c>
      <c r="Q673" s="2">
        <v>0.146457984468364</v>
      </c>
      <c r="R673" s="2">
        <v>0</v>
      </c>
      <c r="S673" s="2">
        <v>0</v>
      </c>
      <c r="T673" s="2">
        <v>23.257232739555501</v>
      </c>
      <c r="U673" s="2">
        <v>4.5177540464559902</v>
      </c>
      <c r="V673" s="2">
        <v>0.245855734766666</v>
      </c>
      <c r="W673" s="2">
        <v>0.26660470832598498</v>
      </c>
      <c r="X673" s="2">
        <v>1.6108372521499901</v>
      </c>
      <c r="Y673" s="2">
        <v>0.82795800475222903</v>
      </c>
      <c r="Z673" s="7">
        <v>40.510831258668198</v>
      </c>
      <c r="AA673" s="2">
        <v>3.06709784196179</v>
      </c>
      <c r="AB673" s="7">
        <v>0</v>
      </c>
      <c r="AC673" s="2">
        <v>0</v>
      </c>
      <c r="AD673" s="2">
        <v>318.82658650989799</v>
      </c>
      <c r="AE673" s="2">
        <v>141.93430708428201</v>
      </c>
      <c r="AF673" s="2">
        <v>79.322271277454206</v>
      </c>
      <c r="AG673" s="2">
        <v>77.901343449539496</v>
      </c>
      <c r="AH673" s="2">
        <v>0</v>
      </c>
      <c r="AI673" s="2">
        <v>0</v>
      </c>
      <c r="AJ673" s="2">
        <v>6630.2419355068596</v>
      </c>
      <c r="AK673" s="2">
        <v>0</v>
      </c>
      <c r="AL673" s="2">
        <v>432.46072107602998</v>
      </c>
      <c r="AM673" s="2">
        <v>277.93714528486998</v>
      </c>
      <c r="AN673"/>
      <c r="AO673"/>
    </row>
    <row r="674" spans="1:41" ht="15.75" hidden="1" customHeight="1" x14ac:dyDescent="0.45">
      <c r="A674" s="2" t="s">
        <v>158</v>
      </c>
      <c r="B674" s="2" t="s">
        <v>96</v>
      </c>
      <c r="C674" s="2">
        <v>0.01</v>
      </c>
      <c r="D674" s="2"/>
      <c r="E674" s="2" t="s">
        <v>85</v>
      </c>
      <c r="F674" s="2" t="s">
        <v>84</v>
      </c>
      <c r="G674" s="2" t="s">
        <v>86</v>
      </c>
      <c r="H674" s="2" t="s">
        <v>87</v>
      </c>
      <c r="I674" s="2">
        <v>3539</v>
      </c>
      <c r="J674" s="2">
        <v>4.0000000000000001E-3</v>
      </c>
      <c r="K674" s="2">
        <v>0</v>
      </c>
      <c r="L674" s="2"/>
      <c r="M674" s="2">
        <v>0</v>
      </c>
      <c r="N674" s="2">
        <v>62.2777777777777</v>
      </c>
      <c r="O674" s="2">
        <v>10.521582756586801</v>
      </c>
      <c r="P674" s="2">
        <v>0</v>
      </c>
      <c r="Q674" s="2">
        <v>0</v>
      </c>
      <c r="R674" s="2">
        <v>0</v>
      </c>
      <c r="S674" s="2">
        <v>0</v>
      </c>
      <c r="T674" s="2">
        <v>26.390310690388802</v>
      </c>
      <c r="U674" s="2">
        <v>3.37242830833384</v>
      </c>
      <c r="V674" s="2">
        <v>0</v>
      </c>
      <c r="W674" s="2">
        <v>0</v>
      </c>
      <c r="X674" s="2">
        <v>1.87682461113333</v>
      </c>
      <c r="Y674" s="2">
        <v>0.79180625119049897</v>
      </c>
      <c r="Z674" s="7">
        <v>40.484538163829498</v>
      </c>
      <c r="AA674" s="2">
        <v>8.3268468177852704</v>
      </c>
      <c r="AB674" s="7">
        <v>0</v>
      </c>
      <c r="AC674" s="2">
        <v>0</v>
      </c>
      <c r="AD674" s="2">
        <v>360.10138030443699</v>
      </c>
      <c r="AE674" s="2">
        <v>132.47112967303599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465.28566994269198</v>
      </c>
      <c r="AM674" s="2">
        <v>141.242755514377</v>
      </c>
      <c r="AN674"/>
      <c r="AO674"/>
    </row>
    <row r="675" spans="1:41" ht="15.75" hidden="1" customHeight="1" x14ac:dyDescent="0.45">
      <c r="A675" s="2" t="s">
        <v>158</v>
      </c>
      <c r="B675" s="2" t="s">
        <v>96</v>
      </c>
      <c r="C675" s="2">
        <v>0.03</v>
      </c>
      <c r="D675" s="2"/>
      <c r="E675" s="2" t="s">
        <v>85</v>
      </c>
      <c r="F675" s="2" t="s">
        <v>84</v>
      </c>
      <c r="G675" s="2" t="s">
        <v>86</v>
      </c>
      <c r="H675" s="2" t="s">
        <v>87</v>
      </c>
      <c r="I675" s="2">
        <v>3539</v>
      </c>
      <c r="J675" s="2">
        <v>4.0000000000000001E-3</v>
      </c>
      <c r="K675" s="2">
        <v>0</v>
      </c>
      <c r="L675" s="2"/>
      <c r="M675" s="2">
        <v>0</v>
      </c>
      <c r="N675" s="2">
        <v>70.5555555555555</v>
      </c>
      <c r="O675" s="2">
        <v>14.9817790566975</v>
      </c>
      <c r="P675" s="2">
        <v>0</v>
      </c>
      <c r="Q675" s="2">
        <v>0</v>
      </c>
      <c r="R675" s="2">
        <v>0.104821802933333</v>
      </c>
      <c r="S675" s="2">
        <v>0.18155668842150499</v>
      </c>
      <c r="T675" s="2">
        <v>35.2532027071111</v>
      </c>
      <c r="U675" s="2">
        <v>2.3540687222197398</v>
      </c>
      <c r="V675" s="2">
        <v>0</v>
      </c>
      <c r="W675" s="2">
        <v>0</v>
      </c>
      <c r="X675" s="2">
        <v>1.2005370125833299</v>
      </c>
      <c r="Y675" s="2">
        <v>0.38380560805459002</v>
      </c>
      <c r="Z675" s="7">
        <v>45.471072490771903</v>
      </c>
      <c r="AA675" s="2">
        <v>7.9173282457788297</v>
      </c>
      <c r="AB675" s="7">
        <v>0</v>
      </c>
      <c r="AC675" s="2">
        <v>0</v>
      </c>
      <c r="AD675" s="2">
        <v>470.66923392370302</v>
      </c>
      <c r="AE675" s="2">
        <v>131.66606285487501</v>
      </c>
      <c r="AF675" s="2">
        <v>0</v>
      </c>
      <c r="AG675" s="2">
        <v>0</v>
      </c>
      <c r="AH675" s="2">
        <v>50.080335906830001</v>
      </c>
      <c r="AI675" s="2">
        <v>86.741686250745502</v>
      </c>
      <c r="AJ675" s="2">
        <v>0</v>
      </c>
      <c r="AK675" s="2">
        <v>0</v>
      </c>
      <c r="AL675" s="2">
        <v>298.67667470612002</v>
      </c>
      <c r="AM675" s="2">
        <v>20.800048945559301</v>
      </c>
      <c r="AN675"/>
      <c r="AO675"/>
    </row>
    <row r="676" spans="1:41" ht="15.75" hidden="1" customHeight="1" x14ac:dyDescent="0.45">
      <c r="A676" s="2" t="s">
        <v>158</v>
      </c>
      <c r="B676" s="2" t="s">
        <v>96</v>
      </c>
      <c r="C676" s="2">
        <v>0.1</v>
      </c>
      <c r="D676" s="2"/>
      <c r="E676" s="2" t="s">
        <v>85</v>
      </c>
      <c r="F676" s="2" t="s">
        <v>84</v>
      </c>
      <c r="G676" s="2" t="s">
        <v>86</v>
      </c>
      <c r="H676" s="2" t="s">
        <v>87</v>
      </c>
      <c r="I676" s="2">
        <v>3539</v>
      </c>
      <c r="J676" s="2">
        <v>4.0000000000000001E-3</v>
      </c>
      <c r="K676" s="2">
        <v>6.6137566138888895E-2</v>
      </c>
      <c r="L676" s="2"/>
      <c r="M676" s="2">
        <v>0.114553624841502</v>
      </c>
      <c r="N676" s="2">
        <v>75.6111111111111</v>
      </c>
      <c r="O676" s="2">
        <v>6.5007122116932097</v>
      </c>
      <c r="P676" s="2">
        <v>0.15751383567222199</v>
      </c>
      <c r="Q676" s="2">
        <v>0.14566293836189101</v>
      </c>
      <c r="R676" s="2">
        <v>0.21124886509999999</v>
      </c>
      <c r="S676" s="2">
        <v>0.21795062703568599</v>
      </c>
      <c r="T676" s="2">
        <v>37.534626750333302</v>
      </c>
      <c r="U676" s="2">
        <v>5.1356314045464</v>
      </c>
      <c r="V676" s="2">
        <v>0</v>
      </c>
      <c r="W676" s="2">
        <v>0</v>
      </c>
      <c r="X676" s="2">
        <v>1.00482383116388</v>
      </c>
      <c r="Y676" s="2">
        <v>0.34420163332930798</v>
      </c>
      <c r="Z676" s="7">
        <v>49.109316309912998</v>
      </c>
      <c r="AA676" s="2">
        <v>6.4410018351629796</v>
      </c>
      <c r="AB676" s="7">
        <v>1.5931813468817999</v>
      </c>
      <c r="AC676" s="2">
        <v>2.7594710384702901</v>
      </c>
      <c r="AD676" s="2">
        <v>514.06987346852895</v>
      </c>
      <c r="AE676" s="2">
        <v>208.79044755997799</v>
      </c>
      <c r="AF676" s="2">
        <v>97.072105480759703</v>
      </c>
      <c r="AG676" s="2">
        <v>108.871082464472</v>
      </c>
      <c r="AH676" s="2">
        <v>92.973044926747505</v>
      </c>
      <c r="AI676" s="2">
        <v>105.731377313138</v>
      </c>
      <c r="AJ676" s="2">
        <v>0</v>
      </c>
      <c r="AK676" s="2">
        <v>0</v>
      </c>
      <c r="AL676" s="2">
        <v>267.38047072027302</v>
      </c>
      <c r="AM676" s="2">
        <v>128.033212886348</v>
      </c>
      <c r="AN676"/>
      <c r="AO676"/>
    </row>
    <row r="677" spans="1:41" ht="15.75" hidden="1" customHeight="1" x14ac:dyDescent="0.45">
      <c r="A677" s="2" t="s">
        <v>158</v>
      </c>
      <c r="B677" s="2" t="s">
        <v>96</v>
      </c>
      <c r="C677" s="2">
        <v>0.3</v>
      </c>
      <c r="D677" s="2"/>
      <c r="E677" s="2" t="s">
        <v>85</v>
      </c>
      <c r="F677" s="2" t="s">
        <v>84</v>
      </c>
      <c r="G677" s="2" t="s">
        <v>86</v>
      </c>
      <c r="H677" s="2" t="s">
        <v>87</v>
      </c>
      <c r="I677" s="2">
        <v>3539</v>
      </c>
      <c r="J677" s="2">
        <v>4.0000000000000001E-3</v>
      </c>
      <c r="K677" s="2">
        <v>0</v>
      </c>
      <c r="L677" s="2"/>
      <c r="M677" s="2">
        <v>0</v>
      </c>
      <c r="N677" s="2">
        <v>61.5555555555555</v>
      </c>
      <c r="O677" s="2">
        <v>14.126741125072501</v>
      </c>
      <c r="P677" s="2">
        <v>0.31773243004999902</v>
      </c>
      <c r="Q677" s="2">
        <v>0.55032871205892397</v>
      </c>
      <c r="R677" s="2">
        <v>0.25404291147222202</v>
      </c>
      <c r="S677" s="2">
        <v>0.22010457656850799</v>
      </c>
      <c r="T677" s="2">
        <v>34.852377436577697</v>
      </c>
      <c r="U677" s="2">
        <v>6.9699083448834998</v>
      </c>
      <c r="V677" s="2">
        <v>0</v>
      </c>
      <c r="W677" s="2">
        <v>0</v>
      </c>
      <c r="X677" s="2">
        <v>1.0315107342366601</v>
      </c>
      <c r="Y677" s="2">
        <v>0.53253265665019101</v>
      </c>
      <c r="Z677" s="7">
        <v>39.6741812952598</v>
      </c>
      <c r="AA677" s="2">
        <v>7.6952113336284498</v>
      </c>
      <c r="AB677" s="7">
        <v>0</v>
      </c>
      <c r="AC677" s="2">
        <v>0</v>
      </c>
      <c r="AD677" s="2">
        <v>463.28844554557401</v>
      </c>
      <c r="AE677" s="2">
        <v>164.329837063524</v>
      </c>
      <c r="AF677" s="2">
        <v>92.508596578755203</v>
      </c>
      <c r="AG677" s="2">
        <v>160.22958941129599</v>
      </c>
      <c r="AH677" s="2">
        <v>88.701453999333197</v>
      </c>
      <c r="AI677" s="2">
        <v>92.835076736853907</v>
      </c>
      <c r="AJ677" s="2">
        <v>0</v>
      </c>
      <c r="AK677" s="2">
        <v>0</v>
      </c>
      <c r="AL677" s="2">
        <v>278.85046803786702</v>
      </c>
      <c r="AM677" s="2">
        <v>180.11159711650299</v>
      </c>
      <c r="AN677"/>
      <c r="AO677"/>
    </row>
    <row r="678" spans="1:41" ht="15.75" hidden="1" customHeight="1" x14ac:dyDescent="0.45">
      <c r="A678" s="2" t="s">
        <v>158</v>
      </c>
      <c r="B678" s="2" t="s">
        <v>96</v>
      </c>
      <c r="C678" s="2">
        <v>1</v>
      </c>
      <c r="D678" s="2"/>
      <c r="E678" s="2" t="s">
        <v>85</v>
      </c>
      <c r="F678" s="2" t="s">
        <v>84</v>
      </c>
      <c r="G678" s="2" t="s">
        <v>86</v>
      </c>
      <c r="H678" s="2" t="s">
        <v>87</v>
      </c>
      <c r="I678" s="2">
        <v>3539</v>
      </c>
      <c r="J678" s="2">
        <v>4.0000000000000001E-3</v>
      </c>
      <c r="K678" s="2">
        <v>0</v>
      </c>
      <c r="L678" s="2"/>
      <c r="M678" s="2">
        <v>0</v>
      </c>
      <c r="N678" s="2">
        <v>50.344444444444399</v>
      </c>
      <c r="O678" s="2">
        <v>6.49789139587552</v>
      </c>
      <c r="P678" s="2">
        <v>0</v>
      </c>
      <c r="Q678" s="2">
        <v>0</v>
      </c>
      <c r="R678" s="2">
        <v>0.106837606838888</v>
      </c>
      <c r="S678" s="2">
        <v>0.18504816320402301</v>
      </c>
      <c r="T678" s="2">
        <v>37.897463859666601</v>
      </c>
      <c r="U678" s="2">
        <v>2.7605505277601998</v>
      </c>
      <c r="V678" s="2">
        <v>0</v>
      </c>
      <c r="W678" s="2">
        <v>0</v>
      </c>
      <c r="X678" s="2">
        <v>1.09911016838555</v>
      </c>
      <c r="Y678" s="2">
        <v>0.97307821547075302</v>
      </c>
      <c r="Z678" s="7">
        <v>32.5111030767481</v>
      </c>
      <c r="AA678" s="2">
        <v>3.0278552152270701</v>
      </c>
      <c r="AB678" s="7">
        <v>0</v>
      </c>
      <c r="AC678" s="2">
        <v>0</v>
      </c>
      <c r="AD678" s="2">
        <v>511.33762300433398</v>
      </c>
      <c r="AE678" s="2">
        <v>164.08136805414</v>
      </c>
      <c r="AF678" s="2">
        <v>0</v>
      </c>
      <c r="AG678" s="2">
        <v>0</v>
      </c>
      <c r="AH678" s="2">
        <v>38.193736044774397</v>
      </c>
      <c r="AI678" s="2">
        <v>66.153491360424098</v>
      </c>
      <c r="AJ678" s="2">
        <v>0</v>
      </c>
      <c r="AK678" s="2">
        <v>0</v>
      </c>
      <c r="AL678" s="2">
        <v>309.539151136442</v>
      </c>
      <c r="AM678" s="2">
        <v>300.23291479690897</v>
      </c>
      <c r="AN678"/>
      <c r="AO678"/>
    </row>
    <row r="679" spans="1:41" ht="15.75" hidden="1" customHeight="1" x14ac:dyDescent="0.45">
      <c r="A679" s="2" t="s">
        <v>158</v>
      </c>
      <c r="B679" s="2" t="s">
        <v>96</v>
      </c>
      <c r="C679" s="2">
        <v>3</v>
      </c>
      <c r="D679" s="2"/>
      <c r="E679" s="2" t="s">
        <v>85</v>
      </c>
      <c r="F679" s="2" t="s">
        <v>84</v>
      </c>
      <c r="G679" s="2" t="s">
        <v>86</v>
      </c>
      <c r="H679" s="2" t="s">
        <v>87</v>
      </c>
      <c r="I679" s="2">
        <v>3539</v>
      </c>
      <c r="J679" s="2">
        <v>4.0000000000000001E-3</v>
      </c>
      <c r="K679" s="2">
        <v>0</v>
      </c>
      <c r="L679" s="2"/>
      <c r="M679" s="2">
        <v>0</v>
      </c>
      <c r="N679" s="2">
        <v>52.0555555555555</v>
      </c>
      <c r="O679" s="2">
        <v>15.6713940858046</v>
      </c>
      <c r="P679" s="2">
        <v>0</v>
      </c>
      <c r="Q679" s="2">
        <v>0</v>
      </c>
      <c r="R679" s="2">
        <v>0</v>
      </c>
      <c r="S679" s="2">
        <v>0</v>
      </c>
      <c r="T679" s="2">
        <v>32.510911569666597</v>
      </c>
      <c r="U679" s="2">
        <v>3.1570466775469899</v>
      </c>
      <c r="V679" s="2">
        <v>0.115740740738888</v>
      </c>
      <c r="W679" s="2">
        <v>0.20046884346541199</v>
      </c>
      <c r="X679" s="2">
        <v>1.3390379425338801</v>
      </c>
      <c r="Y679" s="2">
        <v>0.43853951983209699</v>
      </c>
      <c r="Z679" s="7">
        <v>33.544174918815798</v>
      </c>
      <c r="AA679" s="2">
        <v>9.0768128568837199</v>
      </c>
      <c r="AB679" s="7">
        <v>0</v>
      </c>
      <c r="AC679" s="2">
        <v>0</v>
      </c>
      <c r="AD679" s="2">
        <v>428.84870199319403</v>
      </c>
      <c r="AE679" s="2">
        <v>98.847447102659601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362.55208377648</v>
      </c>
      <c r="AM679" s="2">
        <v>174.24131302524</v>
      </c>
      <c r="AN679"/>
      <c r="AO679"/>
    </row>
    <row r="680" spans="1:41" ht="15.75" hidden="1" customHeight="1" x14ac:dyDescent="0.45">
      <c r="A680" s="2" t="s">
        <v>158</v>
      </c>
      <c r="B680" s="2" t="s">
        <v>96</v>
      </c>
      <c r="C680" s="2">
        <v>10</v>
      </c>
      <c r="D680" s="2"/>
      <c r="E680" s="2" t="s">
        <v>85</v>
      </c>
      <c r="F680" s="2" t="s">
        <v>84</v>
      </c>
      <c r="G680" s="2" t="s">
        <v>86</v>
      </c>
      <c r="H680" s="2" t="s">
        <v>87</v>
      </c>
      <c r="I680" s="2">
        <v>3539</v>
      </c>
      <c r="J680" s="2">
        <v>4.0000000000000001E-3</v>
      </c>
      <c r="K680" s="2">
        <v>0</v>
      </c>
      <c r="L680" s="2"/>
      <c r="M680" s="2">
        <v>0</v>
      </c>
      <c r="N680" s="2">
        <v>42.8888888888888</v>
      </c>
      <c r="O680" s="2">
        <v>3.80910215920485</v>
      </c>
      <c r="P680" s="2">
        <v>0</v>
      </c>
      <c r="Q680" s="2">
        <v>0</v>
      </c>
      <c r="R680" s="2">
        <v>0</v>
      </c>
      <c r="S680" s="2">
        <v>0</v>
      </c>
      <c r="T680" s="2">
        <v>32.892499456411102</v>
      </c>
      <c r="U680" s="2">
        <v>1.7052340822835901</v>
      </c>
      <c r="V680" s="2">
        <v>0</v>
      </c>
      <c r="W680" s="2">
        <v>0</v>
      </c>
      <c r="X680" s="2">
        <v>1.9842215671444401</v>
      </c>
      <c r="Y680" s="2">
        <v>0.153746271091738</v>
      </c>
      <c r="Z680" s="7">
        <v>27.713822952296301</v>
      </c>
      <c r="AA680" s="2">
        <v>1.3856653088259601</v>
      </c>
      <c r="AB680" s="7">
        <v>0</v>
      </c>
      <c r="AC680" s="2">
        <v>0</v>
      </c>
      <c r="AD680" s="2">
        <v>440.51397752234698</v>
      </c>
      <c r="AE680" s="2">
        <v>127.760217329714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517.98875854894902</v>
      </c>
      <c r="AM680" s="2">
        <v>123.25604000904301</v>
      </c>
      <c r="AN680"/>
      <c r="AO680"/>
    </row>
    <row r="681" spans="1:41" ht="15.75" hidden="1" customHeight="1" x14ac:dyDescent="0.45">
      <c r="A681" s="2" t="s">
        <v>159</v>
      </c>
      <c r="B681" s="2" t="s">
        <v>98</v>
      </c>
      <c r="C681" s="2">
        <v>3.0000000000000001E-3</v>
      </c>
      <c r="D681" s="2"/>
      <c r="E681" s="2" t="s">
        <v>83</v>
      </c>
      <c r="F681" s="2" t="s">
        <v>84</v>
      </c>
      <c r="H681" s="2">
        <v>15.3</v>
      </c>
      <c r="J681" s="2">
        <v>15.32679783</v>
      </c>
      <c r="K681" s="2">
        <v>42.595312187777701</v>
      </c>
      <c r="L681" s="2"/>
      <c r="M681" s="2">
        <v>2.01939706635723</v>
      </c>
      <c r="N681" s="2">
        <v>292.11111111111097</v>
      </c>
      <c r="O681" s="2">
        <v>43.275709549781602</v>
      </c>
      <c r="P681" s="2">
        <v>32.992464647777702</v>
      </c>
      <c r="Q681" s="2">
        <v>5.4377140075780099</v>
      </c>
      <c r="R681" s="2">
        <v>3.5072619335555499</v>
      </c>
      <c r="S681" s="2">
        <v>0.13078721423244299</v>
      </c>
      <c r="T681" s="2">
        <v>3.5768914254444399</v>
      </c>
      <c r="U681" s="2">
        <v>1.07129591315943</v>
      </c>
      <c r="V681" s="2">
        <v>0.31994510322222203</v>
      </c>
      <c r="W681" s="2">
        <v>2.87652620913884E-2</v>
      </c>
      <c r="X681" s="2">
        <v>3.3492235646666599</v>
      </c>
      <c r="Y681" s="2">
        <v>0.82103672558718299</v>
      </c>
      <c r="Z681" s="7">
        <v>104.74103585657301</v>
      </c>
      <c r="AA681" s="2">
        <v>15.5171866911567</v>
      </c>
      <c r="AB681" s="7">
        <v>106.701102568566</v>
      </c>
      <c r="AC681" s="2">
        <v>5.0585823283594102</v>
      </c>
      <c r="AD681" s="2">
        <v>80.789683462669799</v>
      </c>
      <c r="AE681" s="2">
        <v>24.196892615561602</v>
      </c>
      <c r="AF681" s="2">
        <v>97.564843339968206</v>
      </c>
      <c r="AG681" s="2">
        <v>16.080329885649601</v>
      </c>
      <c r="AH681" s="2">
        <v>93.8949053867792</v>
      </c>
      <c r="AI681" s="2">
        <v>3.50137894996235</v>
      </c>
      <c r="AJ681" s="2">
        <v>68.030188257776302</v>
      </c>
      <c r="AK681" s="2">
        <v>6.1163811405553297</v>
      </c>
      <c r="AL681" s="2">
        <v>99.473370626808304</v>
      </c>
      <c r="AM681" s="2">
        <v>24.3851414889598</v>
      </c>
      <c r="AN681"/>
      <c r="AO681"/>
    </row>
    <row r="682" spans="1:41" ht="15.75" hidden="1" customHeight="1" x14ac:dyDescent="0.45">
      <c r="A682" s="2" t="s">
        <v>159</v>
      </c>
      <c r="B682" s="2" t="s">
        <v>98</v>
      </c>
      <c r="C682" s="2">
        <v>0.01</v>
      </c>
      <c r="D682" s="2"/>
      <c r="E682" s="2" t="s">
        <v>83</v>
      </c>
      <c r="F682" s="2" t="s">
        <v>84</v>
      </c>
      <c r="H682" s="2">
        <v>15.3</v>
      </c>
      <c r="J682" s="2">
        <v>15.32679783</v>
      </c>
      <c r="K682" s="2">
        <v>39.857898485555502</v>
      </c>
      <c r="L682" s="2"/>
      <c r="M682" s="2">
        <v>3.3385531624581102</v>
      </c>
      <c r="N682" s="2">
        <v>277.11111111111097</v>
      </c>
      <c r="O682" s="2">
        <v>23.3704070552036</v>
      </c>
      <c r="P682" s="2">
        <v>34.443453428333299</v>
      </c>
      <c r="Q682" s="2">
        <v>1.94454947204119</v>
      </c>
      <c r="R682" s="2">
        <v>4.4655169778888801</v>
      </c>
      <c r="S682" s="2">
        <v>0.47974881338821401</v>
      </c>
      <c r="T682" s="2">
        <v>3.9186396862222201</v>
      </c>
      <c r="U682" s="2">
        <v>1.78347670614545</v>
      </c>
      <c r="V682" s="2">
        <v>0.55024015016666605</v>
      </c>
      <c r="W682" s="2">
        <v>0.14970840408863001</v>
      </c>
      <c r="X682" s="2">
        <v>3.44559357794444</v>
      </c>
      <c r="Y682" s="2">
        <v>0.329982850900012</v>
      </c>
      <c r="Z682" s="7">
        <v>99.362549800796799</v>
      </c>
      <c r="AA682" s="2">
        <v>8.3798272309495108</v>
      </c>
      <c r="AB682" s="7">
        <v>99.843891171082404</v>
      </c>
      <c r="AC682" s="2">
        <v>8.36306356548479</v>
      </c>
      <c r="AD682" s="2">
        <v>88.508602078915999</v>
      </c>
      <c r="AE682" s="2">
        <v>40.282608951327902</v>
      </c>
      <c r="AF682" s="2">
        <v>101.85568655445</v>
      </c>
      <c r="AG682" s="2">
        <v>5.7503938136157204</v>
      </c>
      <c r="AH682" s="2">
        <v>119.54889657097</v>
      </c>
      <c r="AI682" s="2">
        <v>12.8436285329963</v>
      </c>
      <c r="AJ682" s="2">
        <v>116.998011927145</v>
      </c>
      <c r="AK682" s="2">
        <v>31.832620069346198</v>
      </c>
      <c r="AL682" s="2">
        <v>102.335601189504</v>
      </c>
      <c r="AM682" s="2">
        <v>9.8006316372417697</v>
      </c>
      <c r="AN682"/>
      <c r="AO682"/>
    </row>
    <row r="683" spans="1:41" ht="15.75" hidden="1" customHeight="1" x14ac:dyDescent="0.45">
      <c r="A683" s="2" t="s">
        <v>159</v>
      </c>
      <c r="B683" s="2" t="s">
        <v>98</v>
      </c>
      <c r="C683" s="2">
        <v>0.03</v>
      </c>
      <c r="D683" s="2"/>
      <c r="E683" s="2" t="s">
        <v>83</v>
      </c>
      <c r="F683" s="2" t="s">
        <v>84</v>
      </c>
      <c r="H683" s="2">
        <v>15.3</v>
      </c>
      <c r="J683" s="2">
        <v>15.32679783</v>
      </c>
      <c r="K683" s="2">
        <v>36.184943753888803</v>
      </c>
      <c r="L683" s="2"/>
      <c r="M683" s="2">
        <v>8.3359253847972106</v>
      </c>
      <c r="N683" s="2">
        <v>289.722222222222</v>
      </c>
      <c r="O683" s="2">
        <v>41.836431934822798</v>
      </c>
      <c r="P683" s="2">
        <v>33.417694536666602</v>
      </c>
      <c r="Q683" s="2">
        <v>5.7247671050387803</v>
      </c>
      <c r="R683" s="2">
        <v>4.4225811798888799</v>
      </c>
      <c r="S683" s="2">
        <v>0.71475762729047998</v>
      </c>
      <c r="T683" s="2">
        <v>3.7814886467222202</v>
      </c>
      <c r="U683" s="2">
        <v>1.09233466528376</v>
      </c>
      <c r="V683" s="2">
        <v>0.53361314333333298</v>
      </c>
      <c r="W683" s="2">
        <v>0.18595819457771101</v>
      </c>
      <c r="X683" s="2">
        <v>3.9684867913888802</v>
      </c>
      <c r="Y683" s="2">
        <v>0.15653078552364999</v>
      </c>
      <c r="Z683" s="7">
        <v>103.884462151394</v>
      </c>
      <c r="AA683" s="2">
        <v>15.0011110523269</v>
      </c>
      <c r="AB683" s="7">
        <v>90.643152887358298</v>
      </c>
      <c r="AC683" s="2">
        <v>20.881462860656701</v>
      </c>
      <c r="AD683" s="2">
        <v>85.410831487122294</v>
      </c>
      <c r="AE683" s="2">
        <v>24.672085715492798</v>
      </c>
      <c r="AF683" s="2">
        <v>98.822327069535802</v>
      </c>
      <c r="AG683" s="2">
        <v>16.929199189079998</v>
      </c>
      <c r="AH683" s="2">
        <v>118.39943788573601</v>
      </c>
      <c r="AI683" s="2">
        <v>19.135183245604399</v>
      </c>
      <c r="AJ683" s="2">
        <v>113.462597902542</v>
      </c>
      <c r="AK683" s="2">
        <v>39.540442587774599</v>
      </c>
      <c r="AL683" s="2">
        <v>117.86575300377299</v>
      </c>
      <c r="AM683" s="2">
        <v>4.6490311985038302</v>
      </c>
      <c r="AN683"/>
      <c r="AO683"/>
    </row>
    <row r="684" spans="1:41" ht="15.75" hidden="1" customHeight="1" x14ac:dyDescent="0.45">
      <c r="A684" s="2" t="s">
        <v>159</v>
      </c>
      <c r="B684" s="2" t="s">
        <v>98</v>
      </c>
      <c r="C684" s="2">
        <v>0.1</v>
      </c>
      <c r="D684" s="2"/>
      <c r="E684" s="2" t="s">
        <v>83</v>
      </c>
      <c r="F684" s="2" t="s">
        <v>84</v>
      </c>
      <c r="H684" s="2">
        <v>15.3</v>
      </c>
      <c r="J684" s="2">
        <v>15.32679783</v>
      </c>
      <c r="K684" s="2">
        <v>39.8617832805555</v>
      </c>
      <c r="L684" s="2"/>
      <c r="M684" s="2">
        <v>3.31746461547178</v>
      </c>
      <c r="N684" s="2">
        <v>248.055555555555</v>
      </c>
      <c r="O684" s="2">
        <v>24.456499552683201</v>
      </c>
      <c r="P684" s="2">
        <v>39.004636827777702</v>
      </c>
      <c r="Q684" s="2">
        <v>2.2686033970393198</v>
      </c>
      <c r="R684" s="2">
        <v>3.7078141578888801</v>
      </c>
      <c r="S684" s="2">
        <v>0.32681789969950298</v>
      </c>
      <c r="T684" s="2">
        <v>3.08469812388888</v>
      </c>
      <c r="U684" s="2">
        <v>1.2904977563164599</v>
      </c>
      <c r="V684" s="2">
        <v>0.56042714761111101</v>
      </c>
      <c r="W684" s="2">
        <v>0.22451141485081499</v>
      </c>
      <c r="X684" s="2">
        <v>3.4552192481666602</v>
      </c>
      <c r="Y684" s="2">
        <v>0.52227997933351999</v>
      </c>
      <c r="Z684" s="7">
        <v>88.944223107569698</v>
      </c>
      <c r="AA684" s="2">
        <v>8.7692627878147</v>
      </c>
      <c r="AB684" s="7">
        <v>99.853622568470101</v>
      </c>
      <c r="AC684" s="2">
        <v>8.3102368317566508</v>
      </c>
      <c r="AD684" s="2">
        <v>69.672728457478698</v>
      </c>
      <c r="AE684" s="2">
        <v>29.147908851926701</v>
      </c>
      <c r="AF684" s="2">
        <v>115.343952695295</v>
      </c>
      <c r="AG684" s="2">
        <v>6.7086814336427496</v>
      </c>
      <c r="AH684" s="2">
        <v>99.264003129016004</v>
      </c>
      <c r="AI684" s="2">
        <v>8.7494280017693704</v>
      </c>
      <c r="AJ684" s="2">
        <v>119.164081502668</v>
      </c>
      <c r="AK684" s="2">
        <v>47.738045259946396</v>
      </c>
      <c r="AL684" s="2">
        <v>102.621487707098</v>
      </c>
      <c r="AM684" s="2">
        <v>15.511938499207201</v>
      </c>
      <c r="AN684"/>
      <c r="AO684"/>
    </row>
    <row r="685" spans="1:41" ht="15.75" hidden="1" customHeight="1" x14ac:dyDescent="0.45">
      <c r="A685" s="2" t="s">
        <v>159</v>
      </c>
      <c r="B685" s="2" t="s">
        <v>98</v>
      </c>
      <c r="C685" s="2">
        <v>0.3</v>
      </c>
      <c r="D685" s="2"/>
      <c r="E685" s="2" t="s">
        <v>83</v>
      </c>
      <c r="F685" s="2" t="s">
        <v>84</v>
      </c>
      <c r="H685" s="2">
        <v>15.3</v>
      </c>
      <c r="J685" s="2">
        <v>15.32679783</v>
      </c>
      <c r="K685" s="2">
        <v>37.984097308888799</v>
      </c>
      <c r="L685" s="2"/>
      <c r="M685" s="2">
        <v>0.86214894944877296</v>
      </c>
      <c r="N685" s="2">
        <v>245.111111111111</v>
      </c>
      <c r="O685" s="2">
        <v>3.0837086858634999</v>
      </c>
      <c r="P685" s="2">
        <v>38.010343843888798</v>
      </c>
      <c r="Q685" s="2">
        <v>0.58816111866638898</v>
      </c>
      <c r="R685" s="2">
        <v>3.61448282366666</v>
      </c>
      <c r="S685" s="2">
        <v>0.58208387173228004</v>
      </c>
      <c r="T685" s="2">
        <v>3.38060102688888</v>
      </c>
      <c r="U685" s="2">
        <v>0.56742829984917698</v>
      </c>
      <c r="V685" s="2">
        <v>0.36671319161111099</v>
      </c>
      <c r="W685" s="2">
        <v>0.118653788267544</v>
      </c>
      <c r="X685" s="2">
        <v>3.4107006257777699</v>
      </c>
      <c r="Y685" s="2">
        <v>0.97850700829099602</v>
      </c>
      <c r="Z685" s="7">
        <v>87.888446215139396</v>
      </c>
      <c r="AA685" s="2">
        <v>1.10571227779966</v>
      </c>
      <c r="AB685" s="7">
        <v>95.150026018428804</v>
      </c>
      <c r="AC685" s="2">
        <v>2.15967999199008</v>
      </c>
      <c r="AD685" s="2">
        <v>76.356158012818</v>
      </c>
      <c r="AE685" s="2">
        <v>12.8162550326446</v>
      </c>
      <c r="AF685" s="2">
        <v>112.403643741636</v>
      </c>
      <c r="AG685" s="2">
        <v>1.7393016258096301</v>
      </c>
      <c r="AH685" s="2">
        <v>96.765376860879499</v>
      </c>
      <c r="AI685" s="2">
        <v>15.5832986240823</v>
      </c>
      <c r="AJ685" s="2">
        <v>77.974525037772594</v>
      </c>
      <c r="AK685" s="2">
        <v>25.2294517779596</v>
      </c>
      <c r="AL685" s="2">
        <v>101.299265604219</v>
      </c>
      <c r="AM685" s="2">
        <v>29.062076155058602</v>
      </c>
      <c r="AN685"/>
      <c r="AO685"/>
    </row>
    <row r="686" spans="1:41" ht="15.75" hidden="1" customHeight="1" x14ac:dyDescent="0.45">
      <c r="A686" s="2" t="s">
        <v>159</v>
      </c>
      <c r="B686" s="2" t="s">
        <v>98</v>
      </c>
      <c r="C686" s="2">
        <v>1</v>
      </c>
      <c r="D686" s="2"/>
      <c r="E686" s="2" t="s">
        <v>83</v>
      </c>
      <c r="F686" s="2" t="s">
        <v>84</v>
      </c>
      <c r="H686" s="2">
        <v>15.3</v>
      </c>
      <c r="J686" s="2">
        <v>15.32679783</v>
      </c>
      <c r="K686" s="2">
        <v>37.714513619444404</v>
      </c>
      <c r="L686" s="2"/>
      <c r="M686" s="2">
        <v>1.88187916128486</v>
      </c>
      <c r="N686" s="2">
        <v>227.166666666666</v>
      </c>
      <c r="O686" s="2">
        <v>15.7700489677247</v>
      </c>
      <c r="P686" s="2">
        <v>41.613933365000001</v>
      </c>
      <c r="Q686" s="2">
        <v>3.1830936785595201</v>
      </c>
      <c r="R686" s="2">
        <v>3.6267645993333302</v>
      </c>
      <c r="S686" s="2">
        <v>0.227958538600394</v>
      </c>
      <c r="T686" s="2">
        <v>2.7541039520555501</v>
      </c>
      <c r="U686" s="2">
        <v>1.67162688542169</v>
      </c>
      <c r="V686" s="2">
        <v>0.41008883099999999</v>
      </c>
      <c r="W686" s="2">
        <v>0.236937576431409</v>
      </c>
      <c r="X686" s="2">
        <v>3.43558379311111</v>
      </c>
      <c r="Y686" s="2">
        <v>0.50093917724630199</v>
      </c>
      <c r="Z686" s="7">
        <v>81.454183266932205</v>
      </c>
      <c r="AA686" s="2">
        <v>5.6545992314550997</v>
      </c>
      <c r="AB686" s="7">
        <v>94.474719853951896</v>
      </c>
      <c r="AC686" s="2">
        <v>4.7141004748292499</v>
      </c>
      <c r="AD686" s="2">
        <v>62.205742373689503</v>
      </c>
      <c r="AE686" s="2">
        <v>37.756305930959897</v>
      </c>
      <c r="AF686" s="2">
        <v>123.060126997501</v>
      </c>
      <c r="AG686" s="2">
        <v>9.4129989802389904</v>
      </c>
      <c r="AH686" s="2">
        <v>97.094179267443394</v>
      </c>
      <c r="AI686" s="2">
        <v>6.1028077798266001</v>
      </c>
      <c r="AJ686" s="2">
        <v>87.197522619885802</v>
      </c>
      <c r="AK686" s="2">
        <v>50.380230132087497</v>
      </c>
      <c r="AL686" s="2">
        <v>102.03830630387</v>
      </c>
      <c r="AM686" s="2">
        <v>14.878107560630699</v>
      </c>
      <c r="AN686"/>
      <c r="AO686"/>
    </row>
    <row r="687" spans="1:41" ht="15.75" hidden="1" customHeight="1" x14ac:dyDescent="0.45">
      <c r="A687" s="2" t="s">
        <v>159</v>
      </c>
      <c r="B687" s="2" t="s">
        <v>98</v>
      </c>
      <c r="C687" s="2">
        <v>3</v>
      </c>
      <c r="D687" s="2"/>
      <c r="E687" s="2" t="s">
        <v>83</v>
      </c>
      <c r="F687" s="2" t="s">
        <v>84</v>
      </c>
      <c r="H687" s="2">
        <v>15.3</v>
      </c>
      <c r="J687" s="2">
        <v>15.32679783</v>
      </c>
      <c r="K687" s="2">
        <v>31.388513387222201</v>
      </c>
      <c r="L687" s="2"/>
      <c r="M687" s="2">
        <v>2.2037827405700599</v>
      </c>
      <c r="N687" s="2">
        <v>225.74444444444401</v>
      </c>
      <c r="O687" s="2">
        <v>33.939101234307898</v>
      </c>
      <c r="P687" s="2">
        <v>40.022828872333299</v>
      </c>
      <c r="Q687" s="2">
        <v>1.9461277606202101</v>
      </c>
      <c r="R687" s="2">
        <v>3.4119981496111098</v>
      </c>
      <c r="S687" s="2">
        <v>0.64439544000489801</v>
      </c>
      <c r="T687" s="2">
        <v>4.8250065713222199</v>
      </c>
      <c r="U687" s="2">
        <v>1.01923422096391</v>
      </c>
      <c r="V687" s="2">
        <v>0.34614724491111099</v>
      </c>
      <c r="W687" s="2">
        <v>3.6967850550153503E-2</v>
      </c>
      <c r="X687" s="2">
        <v>2.87337680572222</v>
      </c>
      <c r="Y687" s="2">
        <v>0.35355117852802298</v>
      </c>
      <c r="Z687" s="7">
        <v>80.944223107569698</v>
      </c>
      <c r="AA687" s="2">
        <v>12.169398848955</v>
      </c>
      <c r="AB687" s="7">
        <v>78.628112211977694</v>
      </c>
      <c r="AC687" s="2">
        <v>5.5204677736315499</v>
      </c>
      <c r="AD687" s="2">
        <v>108.980314814556</v>
      </c>
      <c r="AE687" s="2">
        <v>23.020997925807499</v>
      </c>
      <c r="AF687" s="2">
        <v>118.35493560844201</v>
      </c>
      <c r="AG687" s="2">
        <v>5.7550611059687302</v>
      </c>
      <c r="AH687" s="2">
        <v>91.344544407272195</v>
      </c>
      <c r="AI687" s="2">
        <v>17.2514770830341</v>
      </c>
      <c r="AJ687" s="2">
        <v>73.601571016567803</v>
      </c>
      <c r="AK687" s="2">
        <v>7.8605042148918498</v>
      </c>
      <c r="AL687" s="2">
        <v>85.340518608983302</v>
      </c>
      <c r="AM687" s="2">
        <v>10.5006210359573</v>
      </c>
      <c r="AN687"/>
      <c r="AO687"/>
    </row>
    <row r="688" spans="1:41" ht="15.75" hidden="1" customHeight="1" x14ac:dyDescent="0.45">
      <c r="A688" s="2" t="s">
        <v>159</v>
      </c>
      <c r="B688" s="2" t="s">
        <v>98</v>
      </c>
      <c r="C688" s="2">
        <v>10</v>
      </c>
      <c r="D688" s="2"/>
      <c r="E688" s="2" t="s">
        <v>83</v>
      </c>
      <c r="F688" s="2" t="s">
        <v>84</v>
      </c>
      <c r="H688" s="2">
        <v>15.3</v>
      </c>
      <c r="J688" s="2">
        <v>15.32679783</v>
      </c>
      <c r="K688" s="2">
        <v>20.8461453761111</v>
      </c>
      <c r="L688" s="2"/>
      <c r="M688" s="2">
        <v>2.1994514716303</v>
      </c>
      <c r="N688" s="2">
        <v>147.888888888888</v>
      </c>
      <c r="O688" s="2">
        <v>15.667848655175399</v>
      </c>
      <c r="P688" s="2">
        <v>36.999188301111097</v>
      </c>
      <c r="Q688" s="2">
        <v>0.74589252654184202</v>
      </c>
      <c r="R688" s="2">
        <v>3.16966414972222</v>
      </c>
      <c r="S688" s="2">
        <v>1.1033145433806799</v>
      </c>
      <c r="T688" s="2">
        <v>2.0504952337777702</v>
      </c>
      <c r="U688" s="2">
        <v>0.23490523101602101</v>
      </c>
      <c r="V688" s="2">
        <v>0.16066692905555499</v>
      </c>
      <c r="W688" s="2">
        <v>8.9418533343582102E-2</v>
      </c>
      <c r="X688" s="2">
        <v>4.0204403439999998</v>
      </c>
      <c r="Y688" s="2">
        <v>0.96163266028465999</v>
      </c>
      <c r="Z688" s="7">
        <v>53.027888446215101</v>
      </c>
      <c r="AA688" s="2">
        <v>5.6179537010589096</v>
      </c>
      <c r="AB688" s="7">
        <v>52.219518573546502</v>
      </c>
      <c r="AC688" s="2">
        <v>5.5096179606437596</v>
      </c>
      <c r="AD688" s="2">
        <v>46.313639743212498</v>
      </c>
      <c r="AE688" s="2">
        <v>5.30570179528209</v>
      </c>
      <c r="AF688" s="2">
        <v>109.41346907064199</v>
      </c>
      <c r="AG688" s="2">
        <v>2.2057426832890301</v>
      </c>
      <c r="AH688" s="2">
        <v>84.856882971475301</v>
      </c>
      <c r="AI688" s="2">
        <v>29.537461594025999</v>
      </c>
      <c r="AJ688" s="2">
        <v>34.162740171261497</v>
      </c>
      <c r="AK688" s="2">
        <v>19.013135678069698</v>
      </c>
      <c r="AL688" s="2">
        <v>119.408795710383</v>
      </c>
      <c r="AM688" s="2">
        <v>28.560900810710699</v>
      </c>
      <c r="AN688"/>
      <c r="AO688"/>
    </row>
    <row r="689" spans="1:41" ht="15.75" hidden="1" customHeight="1" x14ac:dyDescent="0.45">
      <c r="A689" s="2" t="s">
        <v>160</v>
      </c>
      <c r="B689" s="2" t="s">
        <v>98</v>
      </c>
      <c r="C689" s="2">
        <v>3.0000000000000001E-3</v>
      </c>
      <c r="D689" s="2"/>
      <c r="E689" s="2" t="s">
        <v>83</v>
      </c>
      <c r="F689" s="2" t="s">
        <v>84</v>
      </c>
      <c r="H689" s="2">
        <v>1</v>
      </c>
      <c r="J689" s="2">
        <v>0.98154682199999999</v>
      </c>
      <c r="K689" s="2">
        <v>35.715513485000002</v>
      </c>
      <c r="L689" s="2"/>
      <c r="M689" s="2">
        <v>2.11023135297979</v>
      </c>
      <c r="N689" s="2">
        <v>244</v>
      </c>
      <c r="O689" s="2">
        <v>16.540354691883898</v>
      </c>
      <c r="P689" s="2">
        <v>38.534724066111103</v>
      </c>
      <c r="Q689" s="2">
        <v>1.74026692029455</v>
      </c>
      <c r="R689" s="2">
        <v>4.2699743278333298</v>
      </c>
      <c r="S689" s="2">
        <v>0.94655277576306796</v>
      </c>
      <c r="T689" s="2">
        <v>3.7483175145000001</v>
      </c>
      <c r="U689" s="2">
        <v>0.61714284370099104</v>
      </c>
      <c r="V689" s="2">
        <v>0.39402831227777702</v>
      </c>
      <c r="W689" s="2">
        <v>0.18063424435129299</v>
      </c>
      <c r="X689" s="2">
        <v>3.7664711446666601</v>
      </c>
      <c r="Y689" s="2">
        <v>0.65406611125153002</v>
      </c>
      <c r="Z689" s="7">
        <v>87.490039840637394</v>
      </c>
      <c r="AA689" s="2">
        <v>5.9308044711934604</v>
      </c>
      <c r="AB689" s="7">
        <v>89.467231766069403</v>
      </c>
      <c r="AC689" s="2">
        <v>5.28612188695989</v>
      </c>
      <c r="AD689" s="2">
        <v>84.661609619981405</v>
      </c>
      <c r="AE689" s="2">
        <v>13.9391357085041</v>
      </c>
      <c r="AF689" s="2">
        <v>113.954333415108</v>
      </c>
      <c r="AG689" s="2">
        <v>5.1462923810302099</v>
      </c>
      <c r="AH689" s="2">
        <v>114.31391299293</v>
      </c>
      <c r="AI689" s="2">
        <v>25.3407030919319</v>
      </c>
      <c r="AJ689" s="2">
        <v>83.782561424397699</v>
      </c>
      <c r="AK689" s="2">
        <v>38.408406708710999</v>
      </c>
      <c r="AL689" s="2">
        <v>111.86580199697499</v>
      </c>
      <c r="AM689" s="2">
        <v>19.426042914944698</v>
      </c>
      <c r="AN689"/>
      <c r="AO689"/>
    </row>
    <row r="690" spans="1:41" ht="15.75" hidden="1" customHeight="1" x14ac:dyDescent="0.45">
      <c r="A690" s="2" t="s">
        <v>160</v>
      </c>
      <c r="B690" s="2" t="s">
        <v>98</v>
      </c>
      <c r="C690" s="2">
        <v>0.01</v>
      </c>
      <c r="D690" s="2"/>
      <c r="E690" s="2" t="s">
        <v>83</v>
      </c>
      <c r="F690" s="2" t="s">
        <v>84</v>
      </c>
      <c r="H690" s="2">
        <v>1</v>
      </c>
      <c r="J690" s="2">
        <v>0.98154682199999999</v>
      </c>
      <c r="K690" s="2">
        <v>35.907230467777701</v>
      </c>
      <c r="L690" s="2"/>
      <c r="M690" s="2">
        <v>3.2488672686787399</v>
      </c>
      <c r="N690" s="2">
        <v>281.05555555555497</v>
      </c>
      <c r="O690" s="2">
        <v>18.640110077564099</v>
      </c>
      <c r="P690" s="2">
        <v>34.093783301111102</v>
      </c>
      <c r="Q690" s="2">
        <v>1.49709600683045</v>
      </c>
      <c r="R690" s="2">
        <v>3.38035670649999</v>
      </c>
      <c r="S690" s="2">
        <v>0.84506005271342499</v>
      </c>
      <c r="T690" s="2">
        <v>4.8093592106666598</v>
      </c>
      <c r="U690" s="2">
        <v>0.59510029492243099</v>
      </c>
      <c r="V690" s="2">
        <v>0.34941295566666603</v>
      </c>
      <c r="W690" s="2">
        <v>6.4462928601209002E-2</v>
      </c>
      <c r="X690" s="2">
        <v>3.64168693466666</v>
      </c>
      <c r="Y690" s="2">
        <v>0.70168045402246104</v>
      </c>
      <c r="Z690" s="7">
        <v>100.776892430278</v>
      </c>
      <c r="AA690" s="2">
        <v>6.6837048086883302</v>
      </c>
      <c r="AB690" s="7">
        <v>89.947482112711498</v>
      </c>
      <c r="AC690" s="2">
        <v>8.1384007267921206</v>
      </c>
      <c r="AD690" s="2">
        <v>108.62689471759801</v>
      </c>
      <c r="AE690" s="2">
        <v>13.4412702922205</v>
      </c>
      <c r="AF690" s="2">
        <v>100.821647068545</v>
      </c>
      <c r="AG690" s="2">
        <v>4.4271908428382201</v>
      </c>
      <c r="AH690" s="2">
        <v>90.497453324968305</v>
      </c>
      <c r="AI690" s="2">
        <v>22.623583638429398</v>
      </c>
      <c r="AJ690" s="2">
        <v>74.295961758161894</v>
      </c>
      <c r="AK690" s="2">
        <v>13.7068050869398</v>
      </c>
      <c r="AL690" s="2">
        <v>108.159657653357</v>
      </c>
      <c r="AM690" s="2">
        <v>20.840209235632202</v>
      </c>
      <c r="AN690"/>
      <c r="AO690"/>
    </row>
    <row r="691" spans="1:41" ht="15.75" hidden="1" customHeight="1" x14ac:dyDescent="0.45">
      <c r="A691" s="2" t="s">
        <v>160</v>
      </c>
      <c r="B691" s="2" t="s">
        <v>98</v>
      </c>
      <c r="C691" s="2">
        <v>0.03</v>
      </c>
      <c r="D691" s="2"/>
      <c r="E691" s="2" t="s">
        <v>83</v>
      </c>
      <c r="F691" s="2" t="s">
        <v>84</v>
      </c>
      <c r="H691" s="2">
        <v>1</v>
      </c>
      <c r="J691" s="2">
        <v>0.98154682199999999</v>
      </c>
      <c r="K691" s="2">
        <v>38.256497416666598</v>
      </c>
      <c r="L691" s="2"/>
      <c r="M691" s="2">
        <v>4.3964581529204603</v>
      </c>
      <c r="N691" s="2">
        <v>247.222222222222</v>
      </c>
      <c r="O691" s="2">
        <v>29.823710428175701</v>
      </c>
      <c r="P691" s="2">
        <v>38.023031510555498</v>
      </c>
      <c r="Q691" s="2">
        <v>1.95805042269075</v>
      </c>
      <c r="R691" s="2">
        <v>3.4588130741111098</v>
      </c>
      <c r="S691" s="2">
        <v>0.63550537900261495</v>
      </c>
      <c r="T691" s="2">
        <v>3.5237659625000002</v>
      </c>
      <c r="U691" s="2">
        <v>1.47580189279088</v>
      </c>
      <c r="V691" s="2">
        <v>0.29462115644444398</v>
      </c>
      <c r="W691" s="2">
        <v>0.22347631496488299</v>
      </c>
      <c r="X691" s="2">
        <v>3.48138897716666</v>
      </c>
      <c r="Y691" s="2">
        <v>0.68452723944556504</v>
      </c>
      <c r="Z691" s="7">
        <v>88.645418326693203</v>
      </c>
      <c r="AA691" s="2">
        <v>10.693760711297999</v>
      </c>
      <c r="AB691" s="7">
        <v>95.832387300617697</v>
      </c>
      <c r="AC691" s="2">
        <v>11.0131117303509</v>
      </c>
      <c r="AD691" s="2">
        <v>79.589761847896099</v>
      </c>
      <c r="AE691" s="2">
        <v>33.333292401339698</v>
      </c>
      <c r="AF691" s="2">
        <v>112.44116352755999</v>
      </c>
      <c r="AG691" s="2">
        <v>5.7903186312711297</v>
      </c>
      <c r="AH691" s="2">
        <v>92.597853395848503</v>
      </c>
      <c r="AI691" s="2">
        <v>17.013476200149999</v>
      </c>
      <c r="AJ691" s="2">
        <v>62.645536799224203</v>
      </c>
      <c r="AK691" s="2">
        <v>47.517951126933099</v>
      </c>
      <c r="AL691" s="2">
        <v>103.398739837855</v>
      </c>
      <c r="AM691" s="2">
        <v>20.3307514350095</v>
      </c>
      <c r="AN691"/>
      <c r="AO691"/>
    </row>
    <row r="692" spans="1:41" ht="15.75" hidden="1" customHeight="1" x14ac:dyDescent="0.45">
      <c r="A692" s="2" t="s">
        <v>160</v>
      </c>
      <c r="B692" s="2" t="s">
        <v>98</v>
      </c>
      <c r="C692" s="2">
        <v>0.1</v>
      </c>
      <c r="D692" s="2"/>
      <c r="E692" s="2" t="s">
        <v>83</v>
      </c>
      <c r="F692" s="2" t="s">
        <v>84</v>
      </c>
      <c r="H692" s="2">
        <v>1</v>
      </c>
      <c r="J692" s="2">
        <v>0.98154682199999999</v>
      </c>
      <c r="K692" s="2">
        <v>34.590912366666601</v>
      </c>
      <c r="L692" s="2"/>
      <c r="M692" s="2">
        <v>5.3644350097326203</v>
      </c>
      <c r="N692" s="2">
        <v>285.05555555555497</v>
      </c>
      <c r="O692" s="2">
        <v>37.380302794881601</v>
      </c>
      <c r="P692" s="2">
        <v>31.2403793749999</v>
      </c>
      <c r="Q692" s="2">
        <v>1.29386040452488</v>
      </c>
      <c r="R692" s="2">
        <v>3.5684056554999999</v>
      </c>
      <c r="S692" s="2">
        <v>0.30485934491840899</v>
      </c>
      <c r="T692" s="2">
        <v>3.6249306850555501</v>
      </c>
      <c r="U692" s="2">
        <v>1.1673217113746399</v>
      </c>
      <c r="V692" s="2">
        <v>0.30962541044444403</v>
      </c>
      <c r="W692" s="2">
        <v>9.2373206000643804E-2</v>
      </c>
      <c r="X692" s="2">
        <v>3.2220555056666602</v>
      </c>
      <c r="Y692" s="2">
        <v>6.1590745796859303E-2</v>
      </c>
      <c r="Z692" s="7">
        <v>102.211155378486</v>
      </c>
      <c r="AA692" s="2">
        <v>13.4032958228659</v>
      </c>
      <c r="AB692" s="7">
        <v>86.650110042744203</v>
      </c>
      <c r="AC692" s="2">
        <v>13.437890246526401</v>
      </c>
      <c r="AD692" s="2">
        <v>81.874725225512904</v>
      </c>
      <c r="AE692" s="2">
        <v>26.365785354902499</v>
      </c>
      <c r="AF692" s="2">
        <v>92.383601896451395</v>
      </c>
      <c r="AG692" s="2">
        <v>3.8261854341264301</v>
      </c>
      <c r="AH692" s="2">
        <v>95.531818766998001</v>
      </c>
      <c r="AI692" s="2">
        <v>8.16156303397924</v>
      </c>
      <c r="AJ692" s="2">
        <v>65.835903565295794</v>
      </c>
      <c r="AK692" s="2">
        <v>19.6413901350864</v>
      </c>
      <c r="AL692" s="2">
        <v>95.6964249495323</v>
      </c>
      <c r="AM692" s="2">
        <v>1.8292714611430501</v>
      </c>
      <c r="AN692"/>
      <c r="AO692"/>
    </row>
    <row r="693" spans="1:41" ht="15.75" hidden="1" customHeight="1" x14ac:dyDescent="0.45">
      <c r="A693" s="2" t="s">
        <v>160</v>
      </c>
      <c r="B693" s="2" t="s">
        <v>98</v>
      </c>
      <c r="C693" s="2">
        <v>0.3</v>
      </c>
      <c r="D693" s="2"/>
      <c r="E693" s="2" t="s">
        <v>83</v>
      </c>
      <c r="F693" s="2" t="s">
        <v>84</v>
      </c>
      <c r="H693" s="2">
        <v>1</v>
      </c>
      <c r="J693" s="2">
        <v>0.98154682199999999</v>
      </c>
      <c r="K693" s="2">
        <v>31.339330694444399</v>
      </c>
      <c r="L693" s="2"/>
      <c r="M693" s="2">
        <v>3.1126124856311801</v>
      </c>
      <c r="N693" s="2">
        <v>177.555555555555</v>
      </c>
      <c r="O693" s="2">
        <v>5.18901974614786</v>
      </c>
      <c r="P693" s="2">
        <v>39.925022724999998</v>
      </c>
      <c r="Q693" s="2">
        <v>0.54842679111983805</v>
      </c>
      <c r="R693" s="2">
        <v>2.6965400367222201</v>
      </c>
      <c r="S693" s="2">
        <v>0.50210389336888595</v>
      </c>
      <c r="T693" s="2">
        <v>2.4192838896111102</v>
      </c>
      <c r="U693" s="2">
        <v>0.81982346369799697</v>
      </c>
      <c r="V693" s="2">
        <v>0.33974827749999997</v>
      </c>
      <c r="W693" s="2">
        <v>0.27683645863399597</v>
      </c>
      <c r="X693" s="2">
        <v>3.4288216623888799</v>
      </c>
      <c r="Y693" s="2">
        <v>0.35788700457727102</v>
      </c>
      <c r="Z693" s="7">
        <v>63.665338645418302</v>
      </c>
      <c r="AA693" s="2">
        <v>1.86060468985381</v>
      </c>
      <c r="AB693" s="7">
        <v>78.504909744918706</v>
      </c>
      <c r="AC693" s="2">
        <v>7.7970829893536999</v>
      </c>
      <c r="AD693" s="2">
        <v>54.643307945455</v>
      </c>
      <c r="AE693" s="2">
        <v>18.516994297415899</v>
      </c>
      <c r="AF693" s="2">
        <v>118.06570467210101</v>
      </c>
      <c r="AG693" s="2">
        <v>1.62179984218464</v>
      </c>
      <c r="AH693" s="2">
        <v>72.190608063030297</v>
      </c>
      <c r="AI693" s="2">
        <v>13.442109102587301</v>
      </c>
      <c r="AJ693" s="2">
        <v>72.240953356697204</v>
      </c>
      <c r="AK693" s="2">
        <v>58.863961997899402</v>
      </c>
      <c r="AL693" s="2">
        <v>101.837468132702</v>
      </c>
      <c r="AM693" s="2">
        <v>10.6293969218433</v>
      </c>
      <c r="AN693"/>
      <c r="AO693"/>
    </row>
    <row r="694" spans="1:41" ht="15.75" hidden="1" customHeight="1" x14ac:dyDescent="0.45">
      <c r="A694" s="2" t="s">
        <v>160</v>
      </c>
      <c r="B694" s="2" t="s">
        <v>98</v>
      </c>
      <c r="C694" s="2">
        <v>1</v>
      </c>
      <c r="D694" s="2"/>
      <c r="E694" s="2" t="s">
        <v>83</v>
      </c>
      <c r="F694" s="2" t="s">
        <v>84</v>
      </c>
      <c r="H694" s="2">
        <v>1</v>
      </c>
      <c r="J694" s="2">
        <v>0.98154682199999999</v>
      </c>
      <c r="K694" s="2">
        <v>14.575910379233299</v>
      </c>
      <c r="L694" s="2"/>
      <c r="M694" s="2">
        <v>4.7161981255430403</v>
      </c>
      <c r="N694" s="2">
        <v>70.2222222222222</v>
      </c>
      <c r="O694" s="2">
        <v>48.488352935219098</v>
      </c>
      <c r="P694" s="2">
        <v>29.1555127872222</v>
      </c>
      <c r="Q694" s="2">
        <v>25.259731200420099</v>
      </c>
      <c r="R694" s="2">
        <v>0.83707394644444399</v>
      </c>
      <c r="S694" s="2">
        <v>0.74069415425276997</v>
      </c>
      <c r="T694" s="2">
        <v>2.48365396487777</v>
      </c>
      <c r="U694" s="2">
        <v>1.4382090344707501</v>
      </c>
      <c r="V694" s="2">
        <v>0.15414381083333301</v>
      </c>
      <c r="W694" s="2">
        <v>0.13463990881065899</v>
      </c>
      <c r="X694" s="2">
        <v>2.7213747096555498</v>
      </c>
      <c r="Y694" s="2">
        <v>0.474846745179685</v>
      </c>
      <c r="Z694" s="7">
        <v>25.179282868525899</v>
      </c>
      <c r="AA694" s="2">
        <v>17.386262008644302</v>
      </c>
      <c r="AB694" s="7">
        <v>36.512602643890702</v>
      </c>
      <c r="AC694" s="2">
        <v>11.8140592023091</v>
      </c>
      <c r="AD694" s="2">
        <v>56.0972067046593</v>
      </c>
      <c r="AE694" s="2">
        <v>32.484198939196602</v>
      </c>
      <c r="AF694" s="2">
        <v>86.218264320345995</v>
      </c>
      <c r="AG694" s="2">
        <v>74.697714877893802</v>
      </c>
      <c r="AH694" s="2">
        <v>22.409783042197699</v>
      </c>
      <c r="AI694" s="2">
        <v>19.8295447707264</v>
      </c>
      <c r="AJ694" s="2">
        <v>32.7757242231622</v>
      </c>
      <c r="AK694" s="2">
        <v>28.628593627942202</v>
      </c>
      <c r="AL694" s="2">
        <v>80.825991421964702</v>
      </c>
      <c r="AM694" s="2">
        <v>14.103151181815299</v>
      </c>
      <c r="AN694"/>
      <c r="AO694"/>
    </row>
    <row r="695" spans="1:41" ht="15.75" hidden="1" customHeight="1" x14ac:dyDescent="0.45">
      <c r="A695" s="2" t="s">
        <v>160</v>
      </c>
      <c r="B695" s="2" t="s">
        <v>98</v>
      </c>
      <c r="C695" s="2">
        <v>3</v>
      </c>
      <c r="D695" s="2"/>
      <c r="E695" s="2" t="s">
        <v>83</v>
      </c>
      <c r="F695" s="2" t="s">
        <v>84</v>
      </c>
      <c r="H695" s="2">
        <v>1</v>
      </c>
      <c r="J695" s="2">
        <v>0.98154682199999999</v>
      </c>
      <c r="K695" s="2">
        <v>2.4512846956666601</v>
      </c>
      <c r="L695" s="2"/>
      <c r="M695" s="2">
        <v>1.3320404138720401</v>
      </c>
      <c r="N695" s="2">
        <v>87.0555555555555</v>
      </c>
      <c r="O695" s="2">
        <v>5.7550300060357804</v>
      </c>
      <c r="P695" s="2">
        <v>41.013562593333297</v>
      </c>
      <c r="Q695" s="2">
        <v>3.0376955603037099</v>
      </c>
      <c r="R695" s="2">
        <v>0.36694133538888801</v>
      </c>
      <c r="S695" s="2">
        <v>0.31983396779287898</v>
      </c>
      <c r="T695" s="2">
        <v>1.8862024828888799</v>
      </c>
      <c r="U695" s="2">
        <v>1.6517993250316301</v>
      </c>
      <c r="V695" s="2">
        <v>0.17121798961111101</v>
      </c>
      <c r="W695" s="2">
        <v>0.160240714790503</v>
      </c>
      <c r="X695" s="2">
        <v>1.9688083836666599</v>
      </c>
      <c r="Y695" s="2">
        <v>0.189578484347631</v>
      </c>
      <c r="Z695" s="7">
        <v>31.215139442230999</v>
      </c>
      <c r="AA695" s="2">
        <v>2.0635565758693999</v>
      </c>
      <c r="AB695" s="7">
        <v>6.1404592736412802</v>
      </c>
      <c r="AC695" s="2">
        <v>3.33675640642022</v>
      </c>
      <c r="AD695" s="2">
        <v>42.602831177678397</v>
      </c>
      <c r="AE695" s="2">
        <v>37.308469489418698</v>
      </c>
      <c r="AF695" s="2">
        <v>121.284719160927</v>
      </c>
      <c r="AG695" s="2">
        <v>8.9830297499617497</v>
      </c>
      <c r="AH695" s="2">
        <v>9.8235953349254999</v>
      </c>
      <c r="AI695" s="2">
        <v>8.5624571857814598</v>
      </c>
      <c r="AJ695" s="2">
        <v>36.406220783043501</v>
      </c>
      <c r="AK695" s="2">
        <v>34.072113884446601</v>
      </c>
      <c r="AL695" s="2">
        <v>58.474450050972699</v>
      </c>
      <c r="AM695" s="2">
        <v>5.63056197123628</v>
      </c>
      <c r="AN695"/>
      <c r="AO695"/>
    </row>
    <row r="696" spans="1:41" ht="15.75" hidden="1" customHeight="1" x14ac:dyDescent="0.45">
      <c r="A696" s="2" t="s">
        <v>160</v>
      </c>
      <c r="B696" s="2" t="s">
        <v>98</v>
      </c>
      <c r="C696" s="2">
        <v>10</v>
      </c>
      <c r="D696" s="2"/>
      <c r="E696" s="2" t="s">
        <v>83</v>
      </c>
      <c r="F696" s="2" t="s">
        <v>84</v>
      </c>
      <c r="H696" s="2">
        <v>1</v>
      </c>
      <c r="J696" s="2">
        <v>0.98154682199999999</v>
      </c>
      <c r="K696" s="2">
        <v>1.75987098988888</v>
      </c>
      <c r="L696" s="2"/>
      <c r="M696" s="2">
        <v>1.5266090281951901</v>
      </c>
      <c r="N696" s="2">
        <v>67.0555555555555</v>
      </c>
      <c r="O696" s="2">
        <v>42.656682859694897</v>
      </c>
      <c r="P696" s="2">
        <v>22.255503977222201</v>
      </c>
      <c r="Q696" s="2">
        <v>11.489986383150599</v>
      </c>
      <c r="R696" s="2">
        <v>3.13861792555555</v>
      </c>
      <c r="S696" s="2">
        <v>2.28347155257338</v>
      </c>
      <c r="T696" s="2">
        <v>2.7862350945555501</v>
      </c>
      <c r="U696" s="2">
        <v>0.918950660773035</v>
      </c>
      <c r="V696" s="2">
        <v>0.17511106077777699</v>
      </c>
      <c r="W696" s="2">
        <v>0.17948230611691099</v>
      </c>
      <c r="X696" s="2">
        <v>1.4385449293888799</v>
      </c>
      <c r="Y696" s="2">
        <v>1.49409045997971</v>
      </c>
      <c r="Z696" s="7">
        <v>24.043824701195199</v>
      </c>
      <c r="AA696" s="2">
        <v>15.295224929771001</v>
      </c>
      <c r="AB696" s="7">
        <v>4.4084704479160903</v>
      </c>
      <c r="AC696" s="2">
        <v>3.8241500797426702</v>
      </c>
      <c r="AD696" s="2">
        <v>62.931474447468197</v>
      </c>
      <c r="AE696" s="2">
        <v>20.755936977438399</v>
      </c>
      <c r="AF696" s="2">
        <v>65.813657214480799</v>
      </c>
      <c r="AG696" s="2">
        <v>33.978022964281998</v>
      </c>
      <c r="AH696" s="2">
        <v>84.025726834302802</v>
      </c>
      <c r="AI696" s="2">
        <v>61.1321165753142</v>
      </c>
      <c r="AJ696" s="2">
        <v>37.234007680551699</v>
      </c>
      <c r="AK696" s="2">
        <v>38.163469142368903</v>
      </c>
      <c r="AL696" s="2">
        <v>42.725398935457001</v>
      </c>
      <c r="AM696" s="2">
        <v>44.3751249225229</v>
      </c>
      <c r="AN696"/>
      <c r="AO696"/>
    </row>
    <row r="697" spans="1:41" ht="15.75" hidden="1" customHeight="1" x14ac:dyDescent="0.45">
      <c r="A697" s="2" t="s">
        <v>161</v>
      </c>
      <c r="B697" s="2" t="s">
        <v>98</v>
      </c>
      <c r="C697" s="2">
        <v>3.0000000000000001E-3</v>
      </c>
      <c r="D697" s="2"/>
      <c r="E697" s="2" t="s">
        <v>83</v>
      </c>
      <c r="F697" s="2" t="s">
        <v>84</v>
      </c>
      <c r="H697" s="2">
        <v>0.3</v>
      </c>
      <c r="J697" s="2">
        <v>0.3</v>
      </c>
      <c r="K697" s="2">
        <v>30.943397799566601</v>
      </c>
      <c r="L697" s="2"/>
      <c r="M697" s="2">
        <v>4.6408531353837601</v>
      </c>
      <c r="N697" s="2">
        <v>198.51111111111101</v>
      </c>
      <c r="O697" s="2">
        <v>44.6658001574324</v>
      </c>
      <c r="P697" s="2">
        <v>14.2180360239166</v>
      </c>
      <c r="Q697" s="2">
        <v>0.76842401050174103</v>
      </c>
      <c r="R697" s="2">
        <v>1.56794986684844</v>
      </c>
      <c r="S697" s="2">
        <v>0.29487027594499599</v>
      </c>
      <c r="T697" s="2">
        <v>4.5787969835088802</v>
      </c>
      <c r="U697" s="2">
        <v>1.0739644123330001</v>
      </c>
      <c r="V697" s="2">
        <v>0.54354119230522202</v>
      </c>
      <c r="W697" s="2">
        <v>0.28805171865249402</v>
      </c>
      <c r="X697" s="2">
        <v>3.83100092504622</v>
      </c>
      <c r="Y697" s="2">
        <v>1.3089682367015401</v>
      </c>
      <c r="Z697" s="7">
        <v>74.841797638070403</v>
      </c>
      <c r="AA697" s="2">
        <v>15.275395037247</v>
      </c>
      <c r="AB697" s="7">
        <v>91.078165846143705</v>
      </c>
      <c r="AC697" s="2">
        <v>7.9485367264438098</v>
      </c>
      <c r="AD697" s="2">
        <v>80.460172908206104</v>
      </c>
      <c r="AE697" s="2">
        <v>24.532784336732199</v>
      </c>
      <c r="AF697" s="2">
        <v>105.54899257014701</v>
      </c>
      <c r="AG697" s="2">
        <v>16.186108860593901</v>
      </c>
      <c r="AH697" s="2">
        <v>89.258213259739705</v>
      </c>
      <c r="AI697" s="2">
        <v>41.046951315710999</v>
      </c>
      <c r="AJ697" s="2">
        <v>96.550735916047998</v>
      </c>
      <c r="AK697" s="2">
        <v>68.452678117885597</v>
      </c>
      <c r="AL697" s="2">
        <v>103.548662057299</v>
      </c>
      <c r="AM697" s="2">
        <v>26.062861329075599</v>
      </c>
      <c r="AN697"/>
      <c r="AO697"/>
    </row>
    <row r="698" spans="1:41" ht="15.75" hidden="1" customHeight="1" x14ac:dyDescent="0.45">
      <c r="A698" s="2" t="s">
        <v>161</v>
      </c>
      <c r="B698" s="2" t="s">
        <v>98</v>
      </c>
      <c r="C698" s="2">
        <v>0.01</v>
      </c>
      <c r="D698" s="2"/>
      <c r="E698" s="2" t="s">
        <v>83</v>
      </c>
      <c r="F698" s="2" t="s">
        <v>84</v>
      </c>
      <c r="H698" s="2">
        <v>0.3</v>
      </c>
      <c r="J698" s="2">
        <v>0.3</v>
      </c>
      <c r="K698" s="2">
        <v>31.425702777944402</v>
      </c>
      <c r="L698" s="2"/>
      <c r="M698" s="2">
        <v>4.3354917785713001</v>
      </c>
      <c r="N698" s="2">
        <v>258.77777777777698</v>
      </c>
      <c r="O698" s="2">
        <v>77.751801217673403</v>
      </c>
      <c r="P698" s="2">
        <v>11.9120401843333</v>
      </c>
      <c r="Q698" s="2">
        <v>1.33496568442167</v>
      </c>
      <c r="R698" s="2">
        <v>1.3617480257672201</v>
      </c>
      <c r="S698" s="2">
        <v>0.51966005829867801</v>
      </c>
      <c r="T698" s="2">
        <v>4.3634619879388801</v>
      </c>
      <c r="U698" s="2">
        <v>0.87563201706475202</v>
      </c>
      <c r="V698" s="2">
        <v>0.54991039045555501</v>
      </c>
      <c r="W698" s="2">
        <v>0.16017531139665001</v>
      </c>
      <c r="X698" s="2">
        <v>3.6408393285722198</v>
      </c>
      <c r="Y698" s="2">
        <v>1.6657514136879501</v>
      </c>
      <c r="Z698" s="7">
        <v>98.236990490424404</v>
      </c>
      <c r="AA698" s="2">
        <v>32.1219562095119</v>
      </c>
      <c r="AB698" s="7">
        <v>92.742261701328204</v>
      </c>
      <c r="AC698" s="2">
        <v>10.735004721175001</v>
      </c>
      <c r="AD698" s="2">
        <v>74.7677336305902</v>
      </c>
      <c r="AE698" s="2">
        <v>8.1119745016979099</v>
      </c>
      <c r="AF698" s="2">
        <v>87.425998017992399</v>
      </c>
      <c r="AG698" s="2">
        <v>0.97539598259395599</v>
      </c>
      <c r="AH698" s="2">
        <v>72.3094333067381</v>
      </c>
      <c r="AI698" s="2">
        <v>20.740999638634602</v>
      </c>
      <c r="AJ698" s="2">
        <v>91.766315036388505</v>
      </c>
      <c r="AK698" s="2">
        <v>43.132734612264898</v>
      </c>
      <c r="AL698" s="2">
        <v>98.575002205584497</v>
      </c>
      <c r="AM698" s="2">
        <v>37.767786688674803</v>
      </c>
      <c r="AN698"/>
      <c r="AO698"/>
    </row>
    <row r="699" spans="1:41" ht="15.75" hidden="1" customHeight="1" x14ac:dyDescent="0.45">
      <c r="A699" s="2" t="s">
        <v>161</v>
      </c>
      <c r="B699" s="2" t="s">
        <v>98</v>
      </c>
      <c r="C699" s="2">
        <v>0.03</v>
      </c>
      <c r="D699" s="2"/>
      <c r="E699" s="2" t="s">
        <v>83</v>
      </c>
      <c r="F699" s="2" t="s">
        <v>84</v>
      </c>
      <c r="H699" s="2">
        <v>0.3</v>
      </c>
      <c r="J699" s="2">
        <v>0.3</v>
      </c>
      <c r="K699" s="2">
        <v>29.083848798555501</v>
      </c>
      <c r="L699" s="2"/>
      <c r="M699" s="2">
        <v>3.3278394263208502</v>
      </c>
      <c r="N699" s="2">
        <v>163.833333333333</v>
      </c>
      <c r="O699" s="2">
        <v>23.352373184182799</v>
      </c>
      <c r="P699" s="2">
        <v>12.357137161155499</v>
      </c>
      <c r="Q699" s="2">
        <v>0.99836125430751799</v>
      </c>
      <c r="R699" s="2">
        <v>1.1310031218244401</v>
      </c>
      <c r="S699" s="2">
        <v>0.32595872426457501</v>
      </c>
      <c r="T699" s="2">
        <v>4.9460615094233296</v>
      </c>
      <c r="U699" s="2">
        <v>1.84959705455053</v>
      </c>
      <c r="V699" s="2">
        <v>0.75716370656666598</v>
      </c>
      <c r="W699" s="2">
        <v>0.134548028811287</v>
      </c>
      <c r="X699" s="2">
        <v>3.57469209147833</v>
      </c>
      <c r="Y699" s="2">
        <v>0.56883741892797801</v>
      </c>
      <c r="Z699" s="7">
        <v>61.843583235067001</v>
      </c>
      <c r="AA699" s="2">
        <v>7.9760615797574399</v>
      </c>
      <c r="AB699" s="7">
        <v>85.817757124099302</v>
      </c>
      <c r="AC699" s="2">
        <v>6.33967448940178</v>
      </c>
      <c r="AD699" s="2">
        <v>86.096517383409605</v>
      </c>
      <c r="AE699" s="2">
        <v>33.157262774474098</v>
      </c>
      <c r="AF699" s="2">
        <v>91.207369847518095</v>
      </c>
      <c r="AG699" s="2">
        <v>9.9831242537411899</v>
      </c>
      <c r="AH699" s="2">
        <v>59.247482816673497</v>
      </c>
      <c r="AI699" s="2">
        <v>4.0329707359631497</v>
      </c>
      <c r="AJ699" s="2">
        <v>126.61227469406199</v>
      </c>
      <c r="AK699" s="2">
        <v>49.9172174906588</v>
      </c>
      <c r="AL699" s="2">
        <v>98.984371109657303</v>
      </c>
      <c r="AM699" s="2">
        <v>20.742960279360499</v>
      </c>
      <c r="AN699"/>
      <c r="AO699"/>
    </row>
    <row r="700" spans="1:41" ht="15.75" hidden="1" customHeight="1" x14ac:dyDescent="0.45">
      <c r="A700" s="2" t="s">
        <v>161</v>
      </c>
      <c r="B700" s="2" t="s">
        <v>98</v>
      </c>
      <c r="C700" s="2">
        <v>0.1</v>
      </c>
      <c r="D700" s="2"/>
      <c r="E700" s="2" t="s">
        <v>83</v>
      </c>
      <c r="F700" s="2" t="s">
        <v>84</v>
      </c>
      <c r="H700" s="2">
        <v>0.3</v>
      </c>
      <c r="J700" s="2">
        <v>0.3</v>
      </c>
      <c r="K700" s="2">
        <v>28.070358971166598</v>
      </c>
      <c r="L700" s="2"/>
      <c r="M700" s="2">
        <v>1.23210326910615</v>
      </c>
      <c r="N700" s="2">
        <v>200.055555555555</v>
      </c>
      <c r="O700" s="2">
        <v>23.000201287364199</v>
      </c>
      <c r="P700" s="2">
        <v>12.5748542137611</v>
      </c>
      <c r="Q700" s="2">
        <v>2.1959433235613699</v>
      </c>
      <c r="R700" s="2">
        <v>1.6226644156816601</v>
      </c>
      <c r="S700" s="2">
        <v>0.88097144318248199</v>
      </c>
      <c r="T700" s="2">
        <v>4.7740839701333302</v>
      </c>
      <c r="U700" s="2">
        <v>0.29134054180321001</v>
      </c>
      <c r="V700" s="2">
        <v>0.34605709700166598</v>
      </c>
      <c r="W700" s="2">
        <v>0.234610961498295</v>
      </c>
      <c r="X700" s="2">
        <v>3.7592367789944401</v>
      </c>
      <c r="Y700" s="2">
        <v>0.82710159899255598</v>
      </c>
      <c r="Z700" s="7">
        <v>75.939116846266003</v>
      </c>
      <c r="AA700" s="2">
        <v>11.8343814849902</v>
      </c>
      <c r="AB700" s="7">
        <v>83.078289781049307</v>
      </c>
      <c r="AC700" s="2">
        <v>5.1472218515678998</v>
      </c>
      <c r="AD700" s="2">
        <v>82.564497228461505</v>
      </c>
      <c r="AE700" s="2">
        <v>3.7944921098407298</v>
      </c>
      <c r="AF700" s="2">
        <v>93.573088037035603</v>
      </c>
      <c r="AG700" s="2">
        <v>23.444318129356301</v>
      </c>
      <c r="AH700" s="2">
        <v>81.036404943767295</v>
      </c>
      <c r="AI700" s="2">
        <v>32.180121477449298</v>
      </c>
      <c r="AJ700" s="2">
        <v>53.704352496159501</v>
      </c>
      <c r="AK700" s="2">
        <v>40.915074652695097</v>
      </c>
      <c r="AL700" s="2">
        <v>102.407832546357</v>
      </c>
      <c r="AM700" s="2">
        <v>13.778522703581499</v>
      </c>
      <c r="AN700"/>
      <c r="AO700"/>
    </row>
    <row r="701" spans="1:41" ht="15.75" hidden="1" customHeight="1" x14ac:dyDescent="0.45">
      <c r="A701" s="2" t="s">
        <v>161</v>
      </c>
      <c r="B701" s="2" t="s">
        <v>98</v>
      </c>
      <c r="C701" s="2">
        <v>0.3</v>
      </c>
      <c r="D701" s="2"/>
      <c r="E701" s="2" t="s">
        <v>83</v>
      </c>
      <c r="F701" s="2" t="s">
        <v>84</v>
      </c>
      <c r="H701" s="2">
        <v>0.3</v>
      </c>
      <c r="J701" s="2">
        <v>0.3</v>
      </c>
      <c r="K701" s="2">
        <v>21.146829395644399</v>
      </c>
      <c r="L701" s="2"/>
      <c r="M701" s="2">
        <v>0.61435884090119197</v>
      </c>
      <c r="N701" s="2">
        <v>121.688888888888</v>
      </c>
      <c r="O701" s="2">
        <v>20.670599984124799</v>
      </c>
      <c r="P701" s="2">
        <v>14.048561068322201</v>
      </c>
      <c r="Q701" s="2">
        <v>1.46020471314978</v>
      </c>
      <c r="R701" s="2">
        <v>0.81789256586944403</v>
      </c>
      <c r="S701" s="2">
        <v>0.95187182781889401</v>
      </c>
      <c r="T701" s="2">
        <v>4.14028640347333</v>
      </c>
      <c r="U701" s="2">
        <v>0.85127422845416001</v>
      </c>
      <c r="V701" s="2">
        <v>0.30512254423488799</v>
      </c>
      <c r="W701" s="2">
        <v>0.118453846663353</v>
      </c>
      <c r="X701" s="2">
        <v>4.2973993710377698</v>
      </c>
      <c r="Y701" s="2">
        <v>0.66939694753796997</v>
      </c>
      <c r="Z701" s="7">
        <v>46.2158015389874</v>
      </c>
      <c r="AA701" s="2">
        <v>9.2872139562099996</v>
      </c>
      <c r="AB701" s="7">
        <v>62.6276584993469</v>
      </c>
      <c r="AC701" s="2">
        <v>4.1854358159859704</v>
      </c>
      <c r="AD701" s="2">
        <v>72.423492480209205</v>
      </c>
      <c r="AE701" s="2">
        <v>18.865913843960499</v>
      </c>
      <c r="AF701" s="2">
        <v>103.164406543005</v>
      </c>
      <c r="AG701" s="2">
        <v>0.60357790631033803</v>
      </c>
      <c r="AH701" s="2">
        <v>38.496962836557202</v>
      </c>
      <c r="AI701" s="2">
        <v>36.8461595189207</v>
      </c>
      <c r="AJ701" s="2">
        <v>54.339183251449498</v>
      </c>
      <c r="AK701" s="2">
        <v>32.696374785888999</v>
      </c>
      <c r="AL701" s="2">
        <v>118.445184097968</v>
      </c>
      <c r="AM701" s="2">
        <v>19.746591522674599</v>
      </c>
      <c r="AN701"/>
      <c r="AO701"/>
    </row>
    <row r="702" spans="1:41" ht="15.75" hidden="1" customHeight="1" x14ac:dyDescent="0.45">
      <c r="A702" s="2" t="s">
        <v>161</v>
      </c>
      <c r="B702" s="2" t="s">
        <v>98</v>
      </c>
      <c r="C702" s="2">
        <v>1</v>
      </c>
      <c r="D702" s="2"/>
      <c r="E702" s="2" t="s">
        <v>83</v>
      </c>
      <c r="F702" s="2" t="s">
        <v>84</v>
      </c>
      <c r="H702" s="2">
        <v>0.3</v>
      </c>
      <c r="J702" s="2">
        <v>0.3</v>
      </c>
      <c r="K702" s="2">
        <v>20.3974628459166</v>
      </c>
      <c r="L702" s="2"/>
      <c r="M702" s="2">
        <v>3.41343211725692</v>
      </c>
      <c r="N702" s="2">
        <v>110.277777777777</v>
      </c>
      <c r="O702" s="2">
        <v>17.227508149382299</v>
      </c>
      <c r="P702" s="2">
        <v>12.5560638549111</v>
      </c>
      <c r="Q702" s="2">
        <v>2.00776876538306</v>
      </c>
      <c r="R702" s="2">
        <v>0.90098014691111095</v>
      </c>
      <c r="S702" s="2">
        <v>0.39367054752970898</v>
      </c>
      <c r="T702" s="2">
        <v>5.2900981853138802</v>
      </c>
      <c r="U702" s="2">
        <v>1.77174719079027</v>
      </c>
      <c r="V702" s="2">
        <v>0.313599816291666</v>
      </c>
      <c r="W702" s="2">
        <v>7.8811306395640796E-2</v>
      </c>
      <c r="X702" s="2">
        <v>5.4031163630488797</v>
      </c>
      <c r="Y702" s="2">
        <v>1.7074896184003101</v>
      </c>
      <c r="Z702" s="7">
        <v>41.922458793179899</v>
      </c>
      <c r="AA702" s="2">
        <v>8.3639933787640093</v>
      </c>
      <c r="AB702" s="7">
        <v>60.476967347651197</v>
      </c>
      <c r="AC702" s="2">
        <v>11.321943100406299</v>
      </c>
      <c r="AD702" s="2">
        <v>90.696606609708397</v>
      </c>
      <c r="AE702" s="2">
        <v>25.281167335182499</v>
      </c>
      <c r="AF702" s="2">
        <v>92.708003312400606</v>
      </c>
      <c r="AG702" s="2">
        <v>16.834732651520198</v>
      </c>
      <c r="AH702" s="2">
        <v>46.4645680033898</v>
      </c>
      <c r="AI702" s="2">
        <v>9.3632315851586796</v>
      </c>
      <c r="AJ702" s="2">
        <v>54.263147527187499</v>
      </c>
      <c r="AK702" s="2">
        <v>26.970783255653899</v>
      </c>
      <c r="AL702" s="2">
        <v>151.03661816779399</v>
      </c>
      <c r="AM702" s="2">
        <v>57.580636285483401</v>
      </c>
      <c r="AN702"/>
      <c r="AO702"/>
    </row>
    <row r="703" spans="1:41" ht="15.75" hidden="1" customHeight="1" x14ac:dyDescent="0.45">
      <c r="A703" s="2" t="s">
        <v>161</v>
      </c>
      <c r="B703" s="2" t="s">
        <v>98</v>
      </c>
      <c r="C703" s="2">
        <v>3</v>
      </c>
      <c r="D703" s="2"/>
      <c r="E703" s="2" t="s">
        <v>83</v>
      </c>
      <c r="F703" s="2" t="s">
        <v>84</v>
      </c>
      <c r="H703" s="2">
        <v>0.3</v>
      </c>
      <c r="J703" s="2">
        <v>0.3</v>
      </c>
      <c r="K703" s="2">
        <v>8.5548316789444403</v>
      </c>
      <c r="L703" s="2"/>
      <c r="M703" s="2">
        <v>3.2514173999448599</v>
      </c>
      <c r="N703" s="2">
        <v>56.8333333333333</v>
      </c>
      <c r="O703" s="2">
        <v>7.7513439694889703</v>
      </c>
      <c r="P703" s="2">
        <v>5.7858893166611098</v>
      </c>
      <c r="Q703" s="2">
        <v>0.48918116853286697</v>
      </c>
      <c r="R703" s="2">
        <v>2.0956739823611099</v>
      </c>
      <c r="S703" s="2">
        <v>3.1320679211573998</v>
      </c>
      <c r="T703" s="2">
        <v>7.8891499943277701</v>
      </c>
      <c r="U703" s="2">
        <v>1.2467420035876799</v>
      </c>
      <c r="V703" s="2">
        <v>8.2918739633333294E-2</v>
      </c>
      <c r="W703" s="2">
        <v>0.143619469944508</v>
      </c>
      <c r="X703" s="2">
        <v>9.4920336903444404</v>
      </c>
      <c r="Y703" s="2">
        <v>0.88337134917898097</v>
      </c>
      <c r="Z703" s="7">
        <v>21.5798442578376</v>
      </c>
      <c r="AA703" s="2">
        <v>3.7442136235021199</v>
      </c>
      <c r="AB703" s="7">
        <v>25.457648517551299</v>
      </c>
      <c r="AC703" s="2">
        <v>10.181631670062499</v>
      </c>
      <c r="AD703" s="2">
        <v>136.10995531335001</v>
      </c>
      <c r="AE703" s="2">
        <v>18.0723220879539</v>
      </c>
      <c r="AF703" s="2">
        <v>42.591429060907501</v>
      </c>
      <c r="AG703" s="2">
        <v>2.6737738233514401</v>
      </c>
      <c r="AH703" s="2">
        <v>145.009437886668</v>
      </c>
      <c r="AI703" s="2">
        <v>227.93127133777901</v>
      </c>
      <c r="AJ703" s="2">
        <v>16.103156864888401</v>
      </c>
      <c r="AK703" s="2">
        <v>27.891485852238301</v>
      </c>
      <c r="AL703" s="2">
        <v>262.23967825652801</v>
      </c>
      <c r="AM703" s="2">
        <v>37.4258918601601</v>
      </c>
      <c r="AN703"/>
      <c r="AO703"/>
    </row>
    <row r="704" spans="1:41" ht="15.75" hidden="1" customHeight="1" x14ac:dyDescent="0.45">
      <c r="A704" s="2" t="s">
        <v>161</v>
      </c>
      <c r="B704" s="2" t="s">
        <v>98</v>
      </c>
      <c r="C704" s="2">
        <v>10</v>
      </c>
      <c r="D704" s="2"/>
      <c r="E704" s="2" t="s">
        <v>83</v>
      </c>
      <c r="F704" s="2" t="s">
        <v>84</v>
      </c>
      <c r="H704" s="2">
        <v>0.3</v>
      </c>
      <c r="J704" s="2">
        <v>0.3</v>
      </c>
      <c r="K704" s="2">
        <v>0.52822421243888795</v>
      </c>
      <c r="L704" s="2"/>
      <c r="M704" s="2">
        <v>0.103185055641778</v>
      </c>
      <c r="N704" s="2">
        <v>41.8333333333333</v>
      </c>
      <c r="O704" s="2">
        <v>6.1936347253540998</v>
      </c>
      <c r="P704" s="2">
        <v>2.2703784464888801</v>
      </c>
      <c r="Q704" s="2">
        <v>0.60315834762874698</v>
      </c>
      <c r="R704" s="2">
        <v>8.4175084177777706E-2</v>
      </c>
      <c r="S704" s="2">
        <v>0.14579552252729799</v>
      </c>
      <c r="T704" s="2">
        <v>23.305583834872198</v>
      </c>
      <c r="U704" s="2">
        <v>9.2915206417331699</v>
      </c>
      <c r="V704" s="2">
        <v>0.43781719408888797</v>
      </c>
      <c r="W704" s="2">
        <v>0.38120674228460699</v>
      </c>
      <c r="X704" s="2">
        <v>4.42842068713888</v>
      </c>
      <c r="Y704" s="2">
        <v>2.0210870393172402</v>
      </c>
      <c r="Z704" s="7">
        <v>15.877283682269599</v>
      </c>
      <c r="AA704" s="2">
        <v>2.84054942563907</v>
      </c>
      <c r="AB704" s="7">
        <v>1.5710918556859099</v>
      </c>
      <c r="AC704" s="2">
        <v>0.35916011852410101</v>
      </c>
      <c r="AD704" s="2">
        <v>413.743168338305</v>
      </c>
      <c r="AE704" s="2">
        <v>203.689138813554</v>
      </c>
      <c r="AF704" s="2">
        <v>16.533023099403199</v>
      </c>
      <c r="AG704" s="2">
        <v>2.93947468711686</v>
      </c>
      <c r="AH704" s="2">
        <v>4.4337899813760098</v>
      </c>
      <c r="AI704" s="2">
        <v>7.6795495178331104</v>
      </c>
      <c r="AJ704" s="2">
        <v>64.067088234313701</v>
      </c>
      <c r="AK704" s="2">
        <v>67.875577626798105</v>
      </c>
      <c r="AL704" s="2">
        <v>126.799160175002</v>
      </c>
      <c r="AM704" s="2">
        <v>74.320468122184707</v>
      </c>
      <c r="AN704"/>
      <c r="AO704"/>
    </row>
    <row r="705" spans="1:41" ht="15.75" hidden="1" customHeight="1" x14ac:dyDescent="0.45">
      <c r="A705" s="2" t="s">
        <v>161</v>
      </c>
      <c r="B705" s="2" t="s">
        <v>98</v>
      </c>
      <c r="C705" s="2">
        <v>3.0000000000000001E-3</v>
      </c>
      <c r="D705" s="2"/>
      <c r="E705" s="2" t="s">
        <v>85</v>
      </c>
      <c r="F705" s="2" t="s">
        <v>84</v>
      </c>
      <c r="G705" s="2" t="s">
        <v>86</v>
      </c>
      <c r="H705" s="2">
        <v>2</v>
      </c>
      <c r="I705" s="2">
        <v>3539</v>
      </c>
      <c r="J705" s="2">
        <v>2</v>
      </c>
      <c r="K705" s="2">
        <v>3.7761861453583299</v>
      </c>
      <c r="L705" s="2"/>
      <c r="M705" s="2">
        <v>0.35170146900744098</v>
      </c>
      <c r="N705" s="2">
        <v>146.055555555555</v>
      </c>
      <c r="O705" s="2">
        <v>5.25022045392513</v>
      </c>
      <c r="P705" s="2">
        <v>0.16913788203333299</v>
      </c>
      <c r="Q705" s="2">
        <v>0.18393957250187201</v>
      </c>
      <c r="R705" s="2">
        <v>7.9308631940555499E-2</v>
      </c>
      <c r="S705" s="2">
        <v>0.13736657999982199</v>
      </c>
      <c r="T705" s="2">
        <v>7.2706850342055498</v>
      </c>
      <c r="U705" s="2">
        <v>0.835742359671797</v>
      </c>
      <c r="V705" s="2">
        <v>0</v>
      </c>
      <c r="W705" s="2">
        <v>0</v>
      </c>
      <c r="X705" s="2">
        <v>0.27172258445666603</v>
      </c>
      <c r="Y705" s="2">
        <v>7.1588905836878394E-2</v>
      </c>
      <c r="Z705" s="7">
        <v>91.913315774749407</v>
      </c>
      <c r="AA705" s="2">
        <v>3.4680161841730102</v>
      </c>
      <c r="AB705" s="7">
        <v>84.481293738304004</v>
      </c>
      <c r="AC705" s="2">
        <v>10.884686442571001</v>
      </c>
      <c r="AD705" s="2">
        <v>66.599967120912098</v>
      </c>
      <c r="AE705" s="2">
        <v>28.2397799161992</v>
      </c>
      <c r="AF705" s="2">
        <v>100.74501777706099</v>
      </c>
      <c r="AG705" s="2">
        <v>101.49905421150601</v>
      </c>
      <c r="AH705" s="2">
        <v>30.442306195089799</v>
      </c>
      <c r="AI705" s="2">
        <v>52.727621029464302</v>
      </c>
      <c r="AJ705" s="2">
        <v>0</v>
      </c>
      <c r="AK705" s="2">
        <v>0</v>
      </c>
      <c r="AL705" s="2">
        <v>69.1342970369993</v>
      </c>
      <c r="AM705" s="2">
        <v>26.674304964864199</v>
      </c>
      <c r="AN705"/>
      <c r="AO705"/>
    </row>
    <row r="706" spans="1:41" ht="15.75" hidden="1" customHeight="1" x14ac:dyDescent="0.45">
      <c r="A706" s="2" t="s">
        <v>161</v>
      </c>
      <c r="B706" s="2" t="s">
        <v>98</v>
      </c>
      <c r="C706" s="2">
        <v>0.01</v>
      </c>
      <c r="D706" s="2"/>
      <c r="E706" s="2" t="s">
        <v>85</v>
      </c>
      <c r="F706" s="2" t="s">
        <v>84</v>
      </c>
      <c r="G706" s="2" t="s">
        <v>86</v>
      </c>
      <c r="H706" s="2">
        <v>2</v>
      </c>
      <c r="I706" s="2">
        <v>3539</v>
      </c>
      <c r="J706" s="2">
        <v>2</v>
      </c>
      <c r="K706" s="2">
        <v>1.7480310126644401</v>
      </c>
      <c r="L706" s="2"/>
      <c r="M706" s="2">
        <v>0.72070384232233697</v>
      </c>
      <c r="N706" s="2">
        <v>152.111111111111</v>
      </c>
      <c r="O706" s="2">
        <v>23.8894056791647</v>
      </c>
      <c r="P706" s="2">
        <v>0.217745896437222</v>
      </c>
      <c r="Q706" s="2">
        <v>0.133294796923072</v>
      </c>
      <c r="R706" s="2">
        <v>0.12820146605333299</v>
      </c>
      <c r="S706" s="2">
        <v>7.8463384846447701E-3</v>
      </c>
      <c r="T706" s="2">
        <v>9.4355999685166605</v>
      </c>
      <c r="U706" s="2">
        <v>5.78351505099661</v>
      </c>
      <c r="V706" s="2">
        <v>0</v>
      </c>
      <c r="W706" s="2">
        <v>0</v>
      </c>
      <c r="X706" s="2">
        <v>0.19517102124388799</v>
      </c>
      <c r="Y706" s="2">
        <v>6.5863614293429906E-2</v>
      </c>
      <c r="Z706" s="7">
        <v>95.783044658151397</v>
      </c>
      <c r="AA706" s="2">
        <v>15.6689900154845</v>
      </c>
      <c r="AB706" s="7">
        <v>38.229295615646102</v>
      </c>
      <c r="AC706" s="2">
        <v>13.598241386382901</v>
      </c>
      <c r="AD706" s="2">
        <v>79.641458632103195</v>
      </c>
      <c r="AE706" s="2">
        <v>34.961659241322998</v>
      </c>
      <c r="AF706" s="2">
        <v>114.188168631585</v>
      </c>
      <c r="AG706" s="2">
        <v>84.319273416613697</v>
      </c>
      <c r="AH706" s="2">
        <v>48.130066331114698</v>
      </c>
      <c r="AI706" s="2">
        <v>3.7807762653616099</v>
      </c>
      <c r="AJ706" s="2">
        <v>0</v>
      </c>
      <c r="AK706" s="2">
        <v>0</v>
      </c>
      <c r="AL706" s="2">
        <v>47.665006653572803</v>
      </c>
      <c r="AM706" s="2">
        <v>13.4611602915222</v>
      </c>
      <c r="AN706"/>
      <c r="AO706"/>
    </row>
    <row r="707" spans="1:41" ht="15.75" hidden="1" customHeight="1" x14ac:dyDescent="0.45">
      <c r="A707" s="2" t="s">
        <v>161</v>
      </c>
      <c r="B707" s="2" t="s">
        <v>98</v>
      </c>
      <c r="C707" s="2">
        <v>0.03</v>
      </c>
      <c r="D707" s="2"/>
      <c r="E707" s="2" t="s">
        <v>85</v>
      </c>
      <c r="F707" s="2" t="s">
        <v>84</v>
      </c>
      <c r="G707" s="2" t="s">
        <v>86</v>
      </c>
      <c r="H707" s="2">
        <v>2</v>
      </c>
      <c r="I707" s="2">
        <v>3539</v>
      </c>
      <c r="J707" s="2">
        <v>2</v>
      </c>
      <c r="K707" s="2">
        <v>2.1656381193450001</v>
      </c>
      <c r="L707" s="2"/>
      <c r="M707" s="2">
        <v>0.57960974020200595</v>
      </c>
      <c r="N707" s="2">
        <v>134.166666666666</v>
      </c>
      <c r="O707" s="2">
        <v>10.5633012516604</v>
      </c>
      <c r="P707" s="2">
        <v>0.102895574078333</v>
      </c>
      <c r="Q707" s="2">
        <v>0.10782568025768501</v>
      </c>
      <c r="R707" s="2">
        <v>4.96031746033333E-2</v>
      </c>
      <c r="S707" s="2">
        <v>8.5915218629683501E-2</v>
      </c>
      <c r="T707" s="2">
        <v>10.253481074361099</v>
      </c>
      <c r="U707" s="2">
        <v>6.3441256417519698</v>
      </c>
      <c r="V707" s="2">
        <v>4.7892720306666602E-2</v>
      </c>
      <c r="W707" s="2">
        <v>8.2952624883832302E-2</v>
      </c>
      <c r="X707" s="2">
        <v>0.392949970924444</v>
      </c>
      <c r="Y707" s="2">
        <v>0.124162820964819</v>
      </c>
      <c r="Z707" s="7">
        <v>84.434469832609196</v>
      </c>
      <c r="AA707" s="2">
        <v>6.7684986435144303</v>
      </c>
      <c r="AB707" s="7">
        <v>47.748302332931303</v>
      </c>
      <c r="AC707" s="2">
        <v>9.8858378538307896</v>
      </c>
      <c r="AD707" s="2">
        <v>87.152987006994294</v>
      </c>
      <c r="AE707" s="2">
        <v>40.157625523831598</v>
      </c>
      <c r="AF707" s="2">
        <v>61.615329008247002</v>
      </c>
      <c r="AG707" s="2">
        <v>59.885509538186199</v>
      </c>
      <c r="AH707" s="2">
        <v>19.039983323063701</v>
      </c>
      <c r="AI707" s="2">
        <v>32.978218490810399</v>
      </c>
      <c r="AJ707" s="2">
        <v>314.94252873632502</v>
      </c>
      <c r="AK707" s="2">
        <v>445.39599550698898</v>
      </c>
      <c r="AL707" s="2">
        <v>99.210644614257106</v>
      </c>
      <c r="AM707" s="2">
        <v>35.7752690439929</v>
      </c>
      <c r="AN707"/>
      <c r="AO707"/>
    </row>
    <row r="708" spans="1:41" ht="15.75" hidden="1" customHeight="1" x14ac:dyDescent="0.45">
      <c r="A708" s="2" t="s">
        <v>161</v>
      </c>
      <c r="B708" s="2" t="s">
        <v>98</v>
      </c>
      <c r="C708" s="2">
        <v>0.1</v>
      </c>
      <c r="D708" s="2"/>
      <c r="E708" s="2" t="s">
        <v>85</v>
      </c>
      <c r="F708" s="2" t="s">
        <v>84</v>
      </c>
      <c r="G708" s="2" t="s">
        <v>86</v>
      </c>
      <c r="H708" s="2">
        <v>2</v>
      </c>
      <c r="I708" s="2">
        <v>3539</v>
      </c>
      <c r="J708" s="2">
        <v>2</v>
      </c>
      <c r="K708" s="2">
        <v>1.3005120690827701</v>
      </c>
      <c r="L708" s="2"/>
      <c r="M708" s="2">
        <v>0.70409475979333702</v>
      </c>
      <c r="N708" s="2">
        <v>121.888888888888</v>
      </c>
      <c r="O708" s="2">
        <v>7.8745958156123201</v>
      </c>
      <c r="P708" s="2">
        <v>0.16281390278499999</v>
      </c>
      <c r="Q708" s="2">
        <v>0.151285378636145</v>
      </c>
      <c r="R708" s="2">
        <v>0.14050410225277701</v>
      </c>
      <c r="S708" s="2">
        <v>0.14249001474269299</v>
      </c>
      <c r="T708" s="2">
        <v>10.338021562161099</v>
      </c>
      <c r="U708" s="2">
        <v>3.2516510302768702</v>
      </c>
      <c r="V708" s="2">
        <v>0</v>
      </c>
      <c r="W708" s="2">
        <v>0</v>
      </c>
      <c r="X708" s="2">
        <v>0.34431939324277699</v>
      </c>
      <c r="Y708" s="2">
        <v>0.214438467977842</v>
      </c>
      <c r="Z708" s="7">
        <v>76.693350117932297</v>
      </c>
      <c r="AA708" s="2">
        <v>4.76152653651328</v>
      </c>
      <c r="AB708" s="7">
        <v>28.312212454197301</v>
      </c>
      <c r="AC708" s="2">
        <v>13.385873861446299</v>
      </c>
      <c r="AD708" s="2">
        <v>87.499809108657004</v>
      </c>
      <c r="AE708" s="2">
        <v>15.076482952348499</v>
      </c>
      <c r="AF708" s="2">
        <v>104.566446522387</v>
      </c>
      <c r="AG708" s="2">
        <v>104.18420526571001</v>
      </c>
      <c r="AH708" s="2">
        <v>52.702311507073397</v>
      </c>
      <c r="AI708" s="2">
        <v>52.834969724217302</v>
      </c>
      <c r="AJ708" s="2">
        <v>0</v>
      </c>
      <c r="AK708" s="2">
        <v>0</v>
      </c>
      <c r="AL708" s="2">
        <v>81.808601715778394</v>
      </c>
      <c r="AM708" s="2">
        <v>46.958348219178099</v>
      </c>
      <c r="AN708"/>
      <c r="AO708"/>
    </row>
    <row r="709" spans="1:41" ht="15.75" hidden="1" customHeight="1" x14ac:dyDescent="0.45">
      <c r="A709" s="2" t="s">
        <v>161</v>
      </c>
      <c r="B709" s="2" t="s">
        <v>98</v>
      </c>
      <c r="C709" s="2">
        <v>0.3</v>
      </c>
      <c r="D709" s="2"/>
      <c r="E709" s="2" t="s">
        <v>85</v>
      </c>
      <c r="F709" s="2" t="s">
        <v>84</v>
      </c>
      <c r="G709" s="2" t="s">
        <v>86</v>
      </c>
      <c r="H709" s="2">
        <v>2</v>
      </c>
      <c r="I709" s="2">
        <v>3539</v>
      </c>
      <c r="J709" s="2">
        <v>2</v>
      </c>
      <c r="K709" s="2">
        <v>8.6419753086666606E-2</v>
      </c>
      <c r="L709" s="2"/>
      <c r="M709" s="2">
        <v>8.3504625052303202E-2</v>
      </c>
      <c r="N709" s="2">
        <v>101.777777777777</v>
      </c>
      <c r="O709" s="2">
        <v>10.3082131943058</v>
      </c>
      <c r="P709" s="2">
        <v>0.12330623306111101</v>
      </c>
      <c r="Q709" s="2">
        <v>0.108341785947922</v>
      </c>
      <c r="R709" s="2">
        <v>0</v>
      </c>
      <c r="S709" s="2">
        <v>0</v>
      </c>
      <c r="T709" s="2">
        <v>15.626721055961101</v>
      </c>
      <c r="U709" s="2">
        <v>4.0746588061484399</v>
      </c>
      <c r="V709" s="2">
        <v>5.5555555555555497E-2</v>
      </c>
      <c r="W709" s="2">
        <v>9.6225044864937603E-2</v>
      </c>
      <c r="X709" s="2">
        <v>0.31650130328166598</v>
      </c>
      <c r="Y709" s="2">
        <v>0.28460918224880399</v>
      </c>
      <c r="Z709" s="7">
        <v>64.020115156728096</v>
      </c>
      <c r="AA709" s="2">
        <v>6.1055922042087101</v>
      </c>
      <c r="AB709" s="7">
        <v>1.8335327845264999</v>
      </c>
      <c r="AC709" s="2">
        <v>1.73989402194406</v>
      </c>
      <c r="AD709" s="2">
        <v>157.73749065244201</v>
      </c>
      <c r="AE709" s="2">
        <v>118.52871182154399</v>
      </c>
      <c r="AF709" s="2">
        <v>78.104199291256805</v>
      </c>
      <c r="AG709" s="2">
        <v>71.9274391411587</v>
      </c>
      <c r="AH709" s="2">
        <v>0</v>
      </c>
      <c r="AI709" s="2">
        <v>0</v>
      </c>
      <c r="AJ709" s="2">
        <v>365.33333333296702</v>
      </c>
      <c r="AK709" s="2">
        <v>516.65935478645395</v>
      </c>
      <c r="AL709" s="2">
        <v>77.290289450447105</v>
      </c>
      <c r="AM709" s="2">
        <v>67.028306340659398</v>
      </c>
      <c r="AN709"/>
      <c r="AO709"/>
    </row>
    <row r="710" spans="1:41" ht="15.75" hidden="1" customHeight="1" x14ac:dyDescent="0.45">
      <c r="A710" s="2" t="s">
        <v>161</v>
      </c>
      <c r="B710" s="2" t="s">
        <v>98</v>
      </c>
      <c r="C710" s="2">
        <v>1</v>
      </c>
      <c r="D710" s="2"/>
      <c r="E710" s="2" t="s">
        <v>85</v>
      </c>
      <c r="F710" s="2" t="s">
        <v>84</v>
      </c>
      <c r="G710" s="2" t="s">
        <v>86</v>
      </c>
      <c r="H710" s="2">
        <v>2</v>
      </c>
      <c r="I710" s="2">
        <v>3539</v>
      </c>
      <c r="J710" s="2">
        <v>2</v>
      </c>
      <c r="K710" s="2">
        <v>0.14430014429999999</v>
      </c>
      <c r="L710" s="2"/>
      <c r="M710" s="2">
        <v>0.24993518146711999</v>
      </c>
      <c r="N710" s="2">
        <v>78.6111111111111</v>
      </c>
      <c r="O710" s="2">
        <v>9.04054652559687</v>
      </c>
      <c r="P710" s="2">
        <v>6.4599483205555502E-2</v>
      </c>
      <c r="Q710" s="2">
        <v>0.111889587054714</v>
      </c>
      <c r="R710" s="2">
        <v>0.37037037037222198</v>
      </c>
      <c r="S710" s="2">
        <v>0.64150029910279105</v>
      </c>
      <c r="T710" s="2">
        <v>17.3062983158222</v>
      </c>
      <c r="U710" s="2">
        <v>7.2122085066557204</v>
      </c>
      <c r="V710" s="2">
        <v>0</v>
      </c>
      <c r="W710" s="2">
        <v>0</v>
      </c>
      <c r="X710" s="2">
        <v>0.56000942537555498</v>
      </c>
      <c r="Y710" s="2">
        <v>0.36357114879245001</v>
      </c>
      <c r="Z710" s="7">
        <v>49.466741003016303</v>
      </c>
      <c r="AA710" s="2">
        <v>5.6595784274030496</v>
      </c>
      <c r="AB710" s="7">
        <v>2.9969957134544098</v>
      </c>
      <c r="AC710" s="2">
        <v>5.1909488457691797</v>
      </c>
      <c r="AD710" s="2">
        <v>186.34653332276901</v>
      </c>
      <c r="AE710" s="2">
        <v>170.85084815213</v>
      </c>
      <c r="AF710" s="2">
        <v>35.928279556820797</v>
      </c>
      <c r="AG710" s="2">
        <v>62.229605620951901</v>
      </c>
      <c r="AH710" s="2">
        <v>137.36963196437301</v>
      </c>
      <c r="AI710" s="2">
        <v>237.931181979331</v>
      </c>
      <c r="AJ710" s="2">
        <v>0</v>
      </c>
      <c r="AK710" s="2">
        <v>0</v>
      </c>
      <c r="AL710" s="2">
        <v>138.444008884363</v>
      </c>
      <c r="AM710" s="2">
        <v>88.700398772204494</v>
      </c>
      <c r="AN710"/>
      <c r="AO710"/>
    </row>
    <row r="711" spans="1:41" ht="15.75" hidden="1" customHeight="1" x14ac:dyDescent="0.45">
      <c r="A711" s="2" t="s">
        <v>161</v>
      </c>
      <c r="B711" s="2" t="s">
        <v>98</v>
      </c>
      <c r="C711" s="2">
        <v>3</v>
      </c>
      <c r="D711" s="2"/>
      <c r="E711" s="2" t="s">
        <v>85</v>
      </c>
      <c r="F711" s="2" t="s">
        <v>84</v>
      </c>
      <c r="G711" s="2" t="s">
        <v>86</v>
      </c>
      <c r="H711" s="2">
        <v>2</v>
      </c>
      <c r="I711" s="2">
        <v>3539</v>
      </c>
      <c r="J711" s="2">
        <v>2</v>
      </c>
      <c r="K711" s="2">
        <v>0</v>
      </c>
      <c r="L711" s="2"/>
      <c r="M711" s="2">
        <v>0</v>
      </c>
      <c r="N711" s="2">
        <v>67.6111111111111</v>
      </c>
      <c r="O711" s="2">
        <v>8.3105243405464897</v>
      </c>
      <c r="P711" s="2">
        <v>0.173993420872222</v>
      </c>
      <c r="Q711" s="2">
        <v>0.15117854177404999</v>
      </c>
      <c r="R711" s="2">
        <v>0</v>
      </c>
      <c r="S711" s="2">
        <v>0</v>
      </c>
      <c r="T711" s="2">
        <v>16.8501205629277</v>
      </c>
      <c r="U711" s="2">
        <v>6.1911066148164204</v>
      </c>
      <c r="V711" s="2">
        <v>0</v>
      </c>
      <c r="W711" s="2">
        <v>0</v>
      </c>
      <c r="X711" s="2">
        <v>0.62098216071666601</v>
      </c>
      <c r="Y711" s="2">
        <v>0.396276079747299</v>
      </c>
      <c r="Z711" s="7">
        <v>42.527157130367101</v>
      </c>
      <c r="AA711" s="2">
        <v>4.9932779568488899</v>
      </c>
      <c r="AB711" s="7">
        <v>0</v>
      </c>
      <c r="AC711" s="2">
        <v>0</v>
      </c>
      <c r="AD711" s="2">
        <v>174.38444893805899</v>
      </c>
      <c r="AE711" s="2">
        <v>146.04160850323899</v>
      </c>
      <c r="AF711" s="2">
        <v>87.002802438797602</v>
      </c>
      <c r="AG711" s="2">
        <v>96.235018936084998</v>
      </c>
      <c r="AH711" s="2">
        <v>0</v>
      </c>
      <c r="AI711" s="2">
        <v>0</v>
      </c>
      <c r="AJ711" s="2">
        <v>0</v>
      </c>
      <c r="AK711" s="2">
        <v>0</v>
      </c>
      <c r="AL711" s="2">
        <v>161.82447795407299</v>
      </c>
      <c r="AM711" s="2">
        <v>122.461601721303</v>
      </c>
      <c r="AN711"/>
      <c r="AO711"/>
    </row>
    <row r="712" spans="1:41" ht="15.75" hidden="1" customHeight="1" x14ac:dyDescent="0.45">
      <c r="A712" s="2" t="s">
        <v>161</v>
      </c>
      <c r="B712" s="2" t="s">
        <v>98</v>
      </c>
      <c r="C712" s="2">
        <v>10</v>
      </c>
      <c r="D712" s="2"/>
      <c r="E712" s="2" t="s">
        <v>85</v>
      </c>
      <c r="F712" s="2" t="s">
        <v>84</v>
      </c>
      <c r="G712" s="2" t="s">
        <v>86</v>
      </c>
      <c r="H712" s="2">
        <v>2</v>
      </c>
      <c r="I712" s="2">
        <v>3539</v>
      </c>
      <c r="J712" s="2">
        <v>2</v>
      </c>
      <c r="K712" s="2">
        <v>0</v>
      </c>
      <c r="L712" s="2"/>
      <c r="M712" s="2">
        <v>0</v>
      </c>
      <c r="N712" s="2">
        <v>70.6111111111111</v>
      </c>
      <c r="O712" s="2">
        <v>9.4167895763857299</v>
      </c>
      <c r="P712" s="2">
        <v>0.40427260588333302</v>
      </c>
      <c r="Q712" s="2">
        <v>0.190935172722557</v>
      </c>
      <c r="R712" s="2">
        <v>1.8559438419255501</v>
      </c>
      <c r="S712" s="2">
        <v>1.30387138959537</v>
      </c>
      <c r="T712" s="2">
        <v>20.415033002222199</v>
      </c>
      <c r="U712" s="2">
        <v>3.6824502063589799</v>
      </c>
      <c r="V712" s="2">
        <v>0</v>
      </c>
      <c r="W712" s="2">
        <v>0</v>
      </c>
      <c r="X712" s="2">
        <v>1.51392912453444</v>
      </c>
      <c r="Y712" s="2">
        <v>0.52613727853540204</v>
      </c>
      <c r="Z712" s="7">
        <v>44.416535907005098</v>
      </c>
      <c r="AA712" s="2">
        <v>5.7433321711505601</v>
      </c>
      <c r="AB712" s="7">
        <v>0</v>
      </c>
      <c r="AC712" s="2">
        <v>0</v>
      </c>
      <c r="AD712" s="2">
        <v>180.65409833218399</v>
      </c>
      <c r="AE712" s="2">
        <v>56.2253029301922</v>
      </c>
      <c r="AF712" s="2">
        <v>217.933487172593</v>
      </c>
      <c r="AG712" s="2">
        <v>175.250621286045</v>
      </c>
      <c r="AH712" s="2">
        <v>690.68713924057397</v>
      </c>
      <c r="AI712" s="2">
        <v>479.80889737285099</v>
      </c>
      <c r="AJ712" s="2">
        <v>0</v>
      </c>
      <c r="AK712" s="2">
        <v>0</v>
      </c>
      <c r="AL712" s="2">
        <v>369.95477054952801</v>
      </c>
      <c r="AM712" s="2">
        <v>91.741185527765197</v>
      </c>
      <c r="AN712"/>
      <c r="AO712"/>
    </row>
    <row r="713" spans="1:41" ht="15.75" hidden="1" customHeight="1" x14ac:dyDescent="0.45">
      <c r="A713" s="2" t="s">
        <v>162</v>
      </c>
      <c r="B713" s="2" t="s">
        <v>163</v>
      </c>
      <c r="C713" s="2">
        <v>3.0000000000000001E-3</v>
      </c>
      <c r="D713" s="2"/>
      <c r="E713" s="2" t="s">
        <v>109</v>
      </c>
      <c r="F713" s="2" t="s">
        <v>84</v>
      </c>
      <c r="H713" s="2">
        <v>3</v>
      </c>
      <c r="J713" s="2">
        <v>3</v>
      </c>
      <c r="K713" s="2">
        <v>35.6666666666666</v>
      </c>
      <c r="L713" s="2"/>
      <c r="M713" s="2">
        <v>1.32287565553238</v>
      </c>
      <c r="N713" s="2">
        <v>156.944444444444</v>
      </c>
      <c r="O713" s="2">
        <v>6.3951659984830096</v>
      </c>
      <c r="P713" s="2">
        <v>17.6666666666666</v>
      </c>
      <c r="Q713" s="2">
        <v>3.01385688667084</v>
      </c>
      <c r="R713" s="2">
        <v>2.2222222222222201</v>
      </c>
      <c r="S713" s="2">
        <v>0.75154162547048298</v>
      </c>
      <c r="T713" s="2">
        <v>3.6111111111111098</v>
      </c>
      <c r="U713" s="2">
        <v>9.6225044864920506E-2</v>
      </c>
      <c r="V713" s="2">
        <v>0.5</v>
      </c>
      <c r="W713" s="2">
        <v>0.28867513459481198</v>
      </c>
      <c r="X713" s="2">
        <v>2.05555555555555</v>
      </c>
      <c r="Y713" s="2">
        <v>0.82214714371937403</v>
      </c>
      <c r="Z713" s="7">
        <v>109.316049143852</v>
      </c>
      <c r="AA713" s="2">
        <v>4.45440603551104</v>
      </c>
      <c r="AB713" s="7">
        <v>100.3125</v>
      </c>
      <c r="AC713" s="2">
        <v>3.72058778118482</v>
      </c>
      <c r="AD713" s="2">
        <v>73.863636363636303</v>
      </c>
      <c r="AE713" s="2">
        <v>1.96823955405519</v>
      </c>
      <c r="AF713" s="2">
        <v>105.298013245033</v>
      </c>
      <c r="AG713" s="2">
        <v>17.963385417243401</v>
      </c>
      <c r="AH713" s="2">
        <v>95.238095238095198</v>
      </c>
      <c r="AI713" s="2">
        <v>32.208926805877802</v>
      </c>
      <c r="AJ713" s="2">
        <v>81.818181818181799</v>
      </c>
      <c r="AK713" s="2">
        <v>47.237749297332897</v>
      </c>
      <c r="AL713" s="2">
        <v>91.358024691357997</v>
      </c>
      <c r="AM713" s="2">
        <v>36.539873054194402</v>
      </c>
      <c r="AN713"/>
      <c r="AO713"/>
    </row>
    <row r="714" spans="1:41" ht="15.75" hidden="1" customHeight="1" x14ac:dyDescent="0.45">
      <c r="A714" s="2" t="s">
        <v>162</v>
      </c>
      <c r="B714" s="2" t="s">
        <v>163</v>
      </c>
      <c r="C714" s="2">
        <v>0.01</v>
      </c>
      <c r="D714" s="2"/>
      <c r="E714" s="2" t="s">
        <v>109</v>
      </c>
      <c r="F714" s="2" t="s">
        <v>84</v>
      </c>
      <c r="H714" s="2">
        <v>3</v>
      </c>
      <c r="J714" s="2">
        <v>3</v>
      </c>
      <c r="K714" s="2">
        <v>37</v>
      </c>
      <c r="L714" s="2"/>
      <c r="M714" s="2">
        <v>3.94053013917891</v>
      </c>
      <c r="N714" s="2">
        <v>171.666666666666</v>
      </c>
      <c r="O714" s="2">
        <v>17.778732613247001</v>
      </c>
      <c r="P714" s="2">
        <v>17.2222222222222</v>
      </c>
      <c r="Q714" s="2">
        <v>5.5835406263343303</v>
      </c>
      <c r="R714" s="2">
        <v>1.6111111111111101</v>
      </c>
      <c r="S714" s="2">
        <v>0.50917507721731503</v>
      </c>
      <c r="T714" s="2">
        <v>4.6111111111111098</v>
      </c>
      <c r="U714" s="2">
        <v>0.78763593770876295</v>
      </c>
      <c r="V714" s="2">
        <v>0.44444444444444398</v>
      </c>
      <c r="W714" s="2">
        <v>0.19245008972987501</v>
      </c>
      <c r="X714" s="2">
        <v>2.2222222222222201</v>
      </c>
      <c r="Y714" s="2">
        <v>0.41943524640393198</v>
      </c>
      <c r="Z714" s="7">
        <v>119.570474992744</v>
      </c>
      <c r="AA714" s="2">
        <v>12.383367980591901</v>
      </c>
      <c r="AB714" s="7">
        <v>104.0625</v>
      </c>
      <c r="AC714" s="2">
        <v>11.0827410164406</v>
      </c>
      <c r="AD714" s="2">
        <v>94.318181818181799</v>
      </c>
      <c r="AE714" s="2">
        <v>16.1107350894974</v>
      </c>
      <c r="AF714" s="2">
        <v>102.649006622516</v>
      </c>
      <c r="AG714" s="2">
        <v>33.2793812165622</v>
      </c>
      <c r="AH714" s="2">
        <v>69.047619047618994</v>
      </c>
      <c r="AI714" s="2">
        <v>21.821789023599202</v>
      </c>
      <c r="AJ714" s="2">
        <v>72.727272727272705</v>
      </c>
      <c r="AK714" s="2">
        <v>31.4918328648886</v>
      </c>
      <c r="AL714" s="2">
        <v>98.765432098765402</v>
      </c>
      <c r="AM714" s="2">
        <v>18.6415665068414</v>
      </c>
      <c r="AN714"/>
      <c r="AO714"/>
    </row>
    <row r="715" spans="1:41" ht="15.75" hidden="1" customHeight="1" x14ac:dyDescent="0.45">
      <c r="A715" s="2" t="s">
        <v>162</v>
      </c>
      <c r="B715" s="2" t="s">
        <v>163</v>
      </c>
      <c r="C715" s="2">
        <v>0.03</v>
      </c>
      <c r="D715" s="2"/>
      <c r="E715" s="2" t="s">
        <v>109</v>
      </c>
      <c r="F715" s="2" t="s">
        <v>84</v>
      </c>
      <c r="H715" s="2">
        <v>3</v>
      </c>
      <c r="J715" s="2">
        <v>3</v>
      </c>
      <c r="K715" s="2">
        <v>35.3888888888888</v>
      </c>
      <c r="L715" s="2"/>
      <c r="M715" s="2">
        <v>9.6225044865418899E-2</v>
      </c>
      <c r="N715" s="2">
        <v>167.555555555555</v>
      </c>
      <c r="O715" s="2">
        <v>0.91792842455091295</v>
      </c>
      <c r="P715" s="2">
        <v>16.4444444444444</v>
      </c>
      <c r="Q715" s="2">
        <v>2.71484260508235</v>
      </c>
      <c r="R715" s="2">
        <v>2.05555555555555</v>
      </c>
      <c r="S715" s="2">
        <v>0.38490017945974597</v>
      </c>
      <c r="T715" s="2">
        <v>4.7777777777777697</v>
      </c>
      <c r="U715" s="2">
        <v>1.49381440663875</v>
      </c>
      <c r="V715" s="2">
        <v>0.61111111111111105</v>
      </c>
      <c r="W715" s="2">
        <v>0.25458753860865702</v>
      </c>
      <c r="X715" s="2">
        <v>1.7777777777777699</v>
      </c>
      <c r="Y715" s="2">
        <v>0.25458753860865702</v>
      </c>
      <c r="Z715" s="7">
        <v>116.706974944374</v>
      </c>
      <c r="AA715" s="2">
        <v>0.63936196737608297</v>
      </c>
      <c r="AB715" s="7">
        <v>99.53125</v>
      </c>
      <c r="AC715" s="2">
        <v>0.27063293868399002</v>
      </c>
      <c r="AD715" s="2">
        <v>97.727272727272705</v>
      </c>
      <c r="AE715" s="2">
        <v>30.555294681247201</v>
      </c>
      <c r="AF715" s="2">
        <v>98.013245033112597</v>
      </c>
      <c r="AG715" s="2">
        <v>16.1811810898948</v>
      </c>
      <c r="AH715" s="2">
        <v>88.095238095238102</v>
      </c>
      <c r="AI715" s="2">
        <v>16.495721976846198</v>
      </c>
      <c r="AJ715" s="2">
        <v>100</v>
      </c>
      <c r="AK715" s="2">
        <v>41.659779045053099</v>
      </c>
      <c r="AL715" s="2">
        <v>79.012345679012299</v>
      </c>
      <c r="AM715" s="2">
        <v>11.3150017159403</v>
      </c>
      <c r="AN715"/>
      <c r="AO715"/>
    </row>
    <row r="716" spans="1:41" ht="15.75" hidden="1" customHeight="1" x14ac:dyDescent="0.45">
      <c r="A716" s="2" t="s">
        <v>162</v>
      </c>
      <c r="B716" s="2" t="s">
        <v>163</v>
      </c>
      <c r="C716" s="2">
        <v>0.1</v>
      </c>
      <c r="D716" s="2"/>
      <c r="E716" s="2" t="s">
        <v>109</v>
      </c>
      <c r="F716" s="2" t="s">
        <v>84</v>
      </c>
      <c r="H716" s="2">
        <v>3</v>
      </c>
      <c r="J716" s="2">
        <v>3</v>
      </c>
      <c r="K716" s="2">
        <v>32.0555555555555</v>
      </c>
      <c r="L716" s="2"/>
      <c r="M716" s="2">
        <v>3.1016721893794901</v>
      </c>
      <c r="N716" s="2">
        <v>151.222222222222</v>
      </c>
      <c r="O716" s="2">
        <v>12.0258209852951</v>
      </c>
      <c r="P716" s="2">
        <v>18</v>
      </c>
      <c r="Q716" s="2">
        <v>4.7696960070847201</v>
      </c>
      <c r="R716" s="2">
        <v>1.7222222222222201</v>
      </c>
      <c r="S716" s="2">
        <v>0.19245008972987501</v>
      </c>
      <c r="T716" s="2">
        <v>3.5</v>
      </c>
      <c r="U716" s="2">
        <v>1.7559422921421199</v>
      </c>
      <c r="V716" s="2">
        <v>0.44444444444444398</v>
      </c>
      <c r="W716" s="2">
        <v>0.19245008972987501</v>
      </c>
      <c r="X716" s="2">
        <v>2.05555555555555</v>
      </c>
      <c r="Y716" s="2">
        <v>0.53575837561071904</v>
      </c>
      <c r="Z716" s="7">
        <v>105.330366644094</v>
      </c>
      <c r="AA716" s="2">
        <v>8.3763094799385698</v>
      </c>
      <c r="AB716" s="7">
        <v>90.15625</v>
      </c>
      <c r="AC716" s="2">
        <v>8.7234530326298394</v>
      </c>
      <c r="AD716" s="2">
        <v>71.590909090909093</v>
      </c>
      <c r="AE716" s="2">
        <v>35.917001430179802</v>
      </c>
      <c r="AF716" s="2">
        <v>107.28476821192</v>
      </c>
      <c r="AG716" s="2">
        <v>28.428651697855901</v>
      </c>
      <c r="AH716" s="2">
        <v>73.809523809523796</v>
      </c>
      <c r="AI716" s="2">
        <v>8.2478609884232394</v>
      </c>
      <c r="AJ716" s="2">
        <v>72.727272727272705</v>
      </c>
      <c r="AK716" s="2">
        <v>31.4918328648886</v>
      </c>
      <c r="AL716" s="2">
        <v>91.358024691357997</v>
      </c>
      <c r="AM716" s="2">
        <v>23.811483360476402</v>
      </c>
      <c r="AN716"/>
      <c r="AO716"/>
    </row>
    <row r="717" spans="1:41" ht="15.75" hidden="1" customHeight="1" x14ac:dyDescent="0.45">
      <c r="A717" s="2" t="s">
        <v>162</v>
      </c>
      <c r="B717" s="2" t="s">
        <v>163</v>
      </c>
      <c r="C717" s="2">
        <v>0.3</v>
      </c>
      <c r="D717" s="2"/>
      <c r="E717" s="2" t="s">
        <v>109</v>
      </c>
      <c r="F717" s="2" t="s">
        <v>84</v>
      </c>
      <c r="H717" s="2">
        <v>3</v>
      </c>
      <c r="J717" s="2">
        <v>3</v>
      </c>
      <c r="K717" s="2">
        <v>28.6666666666666</v>
      </c>
      <c r="L717" s="2"/>
      <c r="M717" s="2">
        <v>0.927960727138323</v>
      </c>
      <c r="N717" s="2">
        <v>133.111111111111</v>
      </c>
      <c r="O717" s="2">
        <v>5.1026500014240499</v>
      </c>
      <c r="P717" s="2">
        <v>20.5555555555555</v>
      </c>
      <c r="Q717" s="2">
        <v>2.1751968833835198</v>
      </c>
      <c r="R717" s="2">
        <v>1.55555555555555</v>
      </c>
      <c r="S717" s="2">
        <v>0.25458753860866001</v>
      </c>
      <c r="T717" s="2">
        <v>4.05555555555555</v>
      </c>
      <c r="U717" s="2">
        <v>0.94770678384622098</v>
      </c>
      <c r="V717" s="2">
        <v>0.44444444444444398</v>
      </c>
      <c r="W717" s="2">
        <v>9.6225044864937798E-2</v>
      </c>
      <c r="X717" s="2">
        <v>1.8333333333333299</v>
      </c>
      <c r="Y717" s="2">
        <v>0.600925212577331</v>
      </c>
      <c r="Z717" s="7">
        <v>92.715488052626398</v>
      </c>
      <c r="AA717" s="2">
        <v>3.5541336954873901</v>
      </c>
      <c r="AB717" s="7">
        <v>80.625</v>
      </c>
      <c r="AC717" s="2">
        <v>2.60988954507653</v>
      </c>
      <c r="AD717" s="2">
        <v>82.954545454545396</v>
      </c>
      <c r="AE717" s="2">
        <v>19.384911487763599</v>
      </c>
      <c r="AF717" s="2">
        <v>122.51655629139</v>
      </c>
      <c r="AG717" s="2">
        <v>12.9647496360607</v>
      </c>
      <c r="AH717" s="2">
        <v>66.6666666666666</v>
      </c>
      <c r="AI717" s="2">
        <v>10.9108945117997</v>
      </c>
      <c r="AJ717" s="2">
        <v>72.727272727272705</v>
      </c>
      <c r="AK717" s="2">
        <v>15.7459164324443</v>
      </c>
      <c r="AL717" s="2">
        <v>81.481481481481495</v>
      </c>
      <c r="AM717" s="2">
        <v>26.7077872256591</v>
      </c>
      <c r="AN717"/>
      <c r="AO717"/>
    </row>
    <row r="718" spans="1:41" ht="15.75" hidden="1" customHeight="1" x14ac:dyDescent="0.45">
      <c r="A718" s="2" t="s">
        <v>162</v>
      </c>
      <c r="B718" s="2" t="s">
        <v>163</v>
      </c>
      <c r="C718" s="2">
        <v>1</v>
      </c>
      <c r="D718" s="2"/>
      <c r="E718" s="2" t="s">
        <v>109</v>
      </c>
      <c r="F718" s="2" t="s">
        <v>84</v>
      </c>
      <c r="H718" s="2">
        <v>3</v>
      </c>
      <c r="J718" s="2">
        <v>3</v>
      </c>
      <c r="K718" s="2">
        <v>26.6666666666666</v>
      </c>
      <c r="L718" s="2"/>
      <c r="M718" s="2">
        <v>3.8765677832043401</v>
      </c>
      <c r="N718" s="2">
        <v>102.277777777777</v>
      </c>
      <c r="O718" s="2">
        <v>14.8757197149259</v>
      </c>
      <c r="P718" s="2">
        <v>22.2222222222222</v>
      </c>
      <c r="Q718" s="2">
        <v>4.0971986816649402</v>
      </c>
      <c r="R718" s="2">
        <v>2.4444444444444402</v>
      </c>
      <c r="S718" s="2">
        <v>0.53575837561072004</v>
      </c>
      <c r="T718" s="2">
        <v>4.2222222222222197</v>
      </c>
      <c r="U718" s="2">
        <v>2.2993557873972001</v>
      </c>
      <c r="V718" s="2">
        <v>0.27777777777777701</v>
      </c>
      <c r="W718" s="2">
        <v>9.62250448649377E-2</v>
      </c>
      <c r="X718" s="2">
        <v>2.9444444444444402</v>
      </c>
      <c r="Y718" s="2">
        <v>0.50917507721731703</v>
      </c>
      <c r="Z718" s="7">
        <v>71.239237689851905</v>
      </c>
      <c r="AA718" s="2">
        <v>10.361341002947301</v>
      </c>
      <c r="AB718" s="7">
        <v>75</v>
      </c>
      <c r="AC718" s="2">
        <v>10.9028468902622</v>
      </c>
      <c r="AD718" s="2">
        <v>86.363636363636303</v>
      </c>
      <c r="AE718" s="2">
        <v>47.032277469488299</v>
      </c>
      <c r="AF718" s="2">
        <v>132.45033112582701</v>
      </c>
      <c r="AG718" s="2">
        <v>24.4203894933672</v>
      </c>
      <c r="AH718" s="2">
        <v>104.76190476190401</v>
      </c>
      <c r="AI718" s="2">
        <v>22.961073240459399</v>
      </c>
      <c r="AJ718" s="2">
        <v>45.454545454545404</v>
      </c>
      <c r="AK718" s="2">
        <v>15.7459164324443</v>
      </c>
      <c r="AL718" s="2">
        <v>130.864197530864</v>
      </c>
      <c r="AM718" s="2">
        <v>22.630003431880699</v>
      </c>
      <c r="AN718"/>
      <c r="AO718"/>
    </row>
    <row r="719" spans="1:41" ht="15.75" hidden="1" customHeight="1" x14ac:dyDescent="0.45">
      <c r="A719" s="2" t="s">
        <v>162</v>
      </c>
      <c r="B719" s="2" t="s">
        <v>163</v>
      </c>
      <c r="C719" s="2">
        <v>3</v>
      </c>
      <c r="D719" s="2"/>
      <c r="E719" s="2" t="s">
        <v>109</v>
      </c>
      <c r="F719" s="2" t="s">
        <v>84</v>
      </c>
      <c r="H719" s="2">
        <v>3</v>
      </c>
      <c r="J719" s="2">
        <v>3</v>
      </c>
      <c r="K719" s="2">
        <v>24.0555555555555</v>
      </c>
      <c r="L719" s="2"/>
      <c r="M719" s="2">
        <v>4.5102763321766197</v>
      </c>
      <c r="N719" s="2">
        <v>90.0555555555555</v>
      </c>
      <c r="O719" s="2">
        <v>10.3552634675069</v>
      </c>
      <c r="P719" s="2">
        <v>17.5</v>
      </c>
      <c r="Q719" s="2">
        <v>6.93020762876393</v>
      </c>
      <c r="R719" s="2">
        <v>1.6111111111111101</v>
      </c>
      <c r="S719" s="2">
        <v>0.25458753860865702</v>
      </c>
      <c r="T719" s="2">
        <v>4.3333333333333304</v>
      </c>
      <c r="U719" s="2">
        <v>2.08832734769027</v>
      </c>
      <c r="V719" s="2">
        <v>0.72222222222222199</v>
      </c>
      <c r="W719" s="2">
        <v>0.48112522432468802</v>
      </c>
      <c r="X719" s="2">
        <v>1.5</v>
      </c>
      <c r="Y719" s="2">
        <v>0.5</v>
      </c>
      <c r="Z719" s="7">
        <v>62.726129437941303</v>
      </c>
      <c r="AA719" s="2">
        <v>7.2127209989406804</v>
      </c>
      <c r="AB719" s="7">
        <v>67.65625</v>
      </c>
      <c r="AC719" s="2">
        <v>12.6851521842467</v>
      </c>
      <c r="AD719" s="2">
        <v>88.636363636363598</v>
      </c>
      <c r="AE719" s="2">
        <v>42.715786657301102</v>
      </c>
      <c r="AF719" s="2">
        <v>104.304635761589</v>
      </c>
      <c r="AG719" s="2">
        <v>41.305873284023399</v>
      </c>
      <c r="AH719" s="2">
        <v>69.047619047618994</v>
      </c>
      <c r="AI719" s="2">
        <v>10.9108945117995</v>
      </c>
      <c r="AJ719" s="2">
        <v>118.181818181818</v>
      </c>
      <c r="AK719" s="2">
        <v>78.729582162221703</v>
      </c>
      <c r="AL719" s="2">
        <v>66.6666666666666</v>
      </c>
      <c r="AM719" s="2">
        <v>22.2222222222222</v>
      </c>
      <c r="AN719"/>
      <c r="AO719"/>
    </row>
    <row r="720" spans="1:41" ht="15.75" hidden="1" customHeight="1" x14ac:dyDescent="0.45">
      <c r="A720" s="2" t="s">
        <v>162</v>
      </c>
      <c r="B720" s="2" t="s">
        <v>163</v>
      </c>
      <c r="C720" s="2">
        <v>10</v>
      </c>
      <c r="D720" s="2"/>
      <c r="E720" s="2" t="s">
        <v>109</v>
      </c>
      <c r="F720" s="2" t="s">
        <v>84</v>
      </c>
      <c r="H720" s="2">
        <v>3</v>
      </c>
      <c r="J720" s="2">
        <v>3</v>
      </c>
      <c r="K720" s="2">
        <v>16.7222222222222</v>
      </c>
      <c r="L720" s="2"/>
      <c r="M720" s="2">
        <v>2.2194427061597701</v>
      </c>
      <c r="N720" s="2">
        <v>75.9444444444444</v>
      </c>
      <c r="O720" s="2">
        <v>9.6786324408939706</v>
      </c>
      <c r="P720" s="2">
        <v>19.1666666666666</v>
      </c>
      <c r="Q720" s="2">
        <v>4.2064764880413001</v>
      </c>
      <c r="R720" s="2">
        <v>1.38888888888888</v>
      </c>
      <c r="S720" s="2">
        <v>0.34694433324435497</v>
      </c>
      <c r="T720" s="2">
        <v>2.38888888888888</v>
      </c>
      <c r="U720" s="2">
        <v>1.0715167512214401</v>
      </c>
      <c r="V720" s="2">
        <v>0.27777777777777701</v>
      </c>
      <c r="W720" s="2">
        <v>9.62250448649377E-2</v>
      </c>
      <c r="X720" s="2">
        <v>2.3333333333333299</v>
      </c>
      <c r="Y720" s="2">
        <v>0.76376261582597305</v>
      </c>
      <c r="Z720" s="7">
        <v>52.897359001644503</v>
      </c>
      <c r="AA720" s="2">
        <v>6.7414291936186999</v>
      </c>
      <c r="AB720" s="7">
        <v>47.03125</v>
      </c>
      <c r="AC720" s="2">
        <v>6.2421826110743499</v>
      </c>
      <c r="AD720" s="2">
        <v>48.863636363636303</v>
      </c>
      <c r="AE720" s="2">
        <v>21.917388093165801</v>
      </c>
      <c r="AF720" s="2">
        <v>114.238410596026</v>
      </c>
      <c r="AG720" s="2">
        <v>25.071714167133599</v>
      </c>
      <c r="AH720" s="2">
        <v>59.523809523809497</v>
      </c>
      <c r="AI720" s="2">
        <v>14.8690428533295</v>
      </c>
      <c r="AJ720" s="2">
        <v>45.454545454545404</v>
      </c>
      <c r="AK720" s="2">
        <v>15.7459164324443</v>
      </c>
      <c r="AL720" s="2">
        <v>103.703703703703</v>
      </c>
      <c r="AM720" s="2">
        <v>33.945005147821</v>
      </c>
      <c r="AN720"/>
      <c r="AO720"/>
    </row>
    <row r="721" spans="1:41" ht="15.75" hidden="1" customHeight="1" x14ac:dyDescent="0.45">
      <c r="A721" s="2" t="s">
        <v>162</v>
      </c>
      <c r="B721" s="2" t="s">
        <v>163</v>
      </c>
      <c r="C721" s="2">
        <v>3.0000000000000001E-3</v>
      </c>
      <c r="D721" s="2"/>
      <c r="E721" s="2" t="s">
        <v>109</v>
      </c>
      <c r="F721" s="2" t="s">
        <v>84</v>
      </c>
      <c r="H721" s="2">
        <v>0.8</v>
      </c>
      <c r="J721" s="2">
        <v>0.8</v>
      </c>
      <c r="K721" s="2">
        <v>32.2777777777777</v>
      </c>
      <c r="L721" s="2"/>
      <c r="M721" s="2">
        <v>1.01835015443447</v>
      </c>
      <c r="N721" s="2">
        <v>239.055555555555</v>
      </c>
      <c r="O721" s="2">
        <v>26.9929689061867</v>
      </c>
      <c r="P721" s="2">
        <v>13.1111111111111</v>
      </c>
      <c r="Q721" s="2">
        <v>2.6994512473903001</v>
      </c>
      <c r="R721" s="2">
        <v>2.1111111111111098</v>
      </c>
      <c r="S721" s="2">
        <v>0.38490017945975202</v>
      </c>
      <c r="T721" s="2">
        <v>8.3333333333333304</v>
      </c>
      <c r="U721" s="2">
        <v>1.6072751268321499</v>
      </c>
      <c r="V721" s="2">
        <v>0.5</v>
      </c>
      <c r="W721" s="2">
        <v>0.16666666666666599</v>
      </c>
      <c r="X721" s="2">
        <v>3.7222222222222201</v>
      </c>
      <c r="Y721" s="2">
        <v>0.58531409738070395</v>
      </c>
      <c r="Z721" s="7">
        <v>100.873234483971</v>
      </c>
      <c r="AA721" s="2">
        <v>11.390105850351301</v>
      </c>
      <c r="AB721" s="7">
        <v>92.149088025376699</v>
      </c>
      <c r="AC721" s="2">
        <v>2.9072645170214999</v>
      </c>
      <c r="AD721" s="2">
        <v>104.52961672473801</v>
      </c>
      <c r="AE721" s="2">
        <v>20.1609423574765</v>
      </c>
      <c r="AF721" s="2">
        <v>94.399999999999906</v>
      </c>
      <c r="AG721" s="2">
        <v>19.436048981210099</v>
      </c>
      <c r="AH721" s="2">
        <v>116.03053435114499</v>
      </c>
      <c r="AI721" s="2">
        <v>21.1548190237421</v>
      </c>
      <c r="AJ721" s="2">
        <v>76.595744680850999</v>
      </c>
      <c r="AK721" s="2">
        <v>25.531914893617</v>
      </c>
      <c r="AL721" s="2">
        <v>97.454545454545396</v>
      </c>
      <c r="AM721" s="2">
        <v>15.324587276876599</v>
      </c>
      <c r="AN721"/>
      <c r="AO721"/>
    </row>
    <row r="722" spans="1:41" ht="15.75" hidden="1" customHeight="1" x14ac:dyDescent="0.45">
      <c r="A722" s="2" t="s">
        <v>162</v>
      </c>
      <c r="B722" s="2" t="s">
        <v>163</v>
      </c>
      <c r="C722" s="2">
        <v>0.01</v>
      </c>
      <c r="D722" s="2"/>
      <c r="E722" s="2" t="s">
        <v>109</v>
      </c>
      <c r="F722" s="2" t="s">
        <v>84</v>
      </c>
      <c r="H722" s="2">
        <v>0.8</v>
      </c>
      <c r="J722" s="2">
        <v>0.8</v>
      </c>
      <c r="K722" s="2">
        <v>32.2222222222222</v>
      </c>
      <c r="L722" s="2"/>
      <c r="M722" s="2">
        <v>2.2194427061597799</v>
      </c>
      <c r="N722" s="2">
        <v>216</v>
      </c>
      <c r="O722" s="2">
        <v>25.418169354486199</v>
      </c>
      <c r="P722" s="2">
        <v>14.4444444444444</v>
      </c>
      <c r="Q722" s="2">
        <v>1.13447654759232</v>
      </c>
      <c r="R722" s="2">
        <v>1.6666666666666601</v>
      </c>
      <c r="S722" s="2">
        <v>0.33333333333333398</v>
      </c>
      <c r="T722" s="2">
        <v>6.8888888888888804</v>
      </c>
      <c r="U722" s="2">
        <v>1.2509255832441799</v>
      </c>
      <c r="V722" s="2">
        <v>0.5</v>
      </c>
      <c r="W722" s="2">
        <v>0.33333333333333298</v>
      </c>
      <c r="X722" s="2">
        <v>3.7222222222222201</v>
      </c>
      <c r="Y722" s="2">
        <v>0.25458753860864702</v>
      </c>
      <c r="Z722" s="7">
        <v>91.144581843755503</v>
      </c>
      <c r="AA722" s="2">
        <v>10.7255945233722</v>
      </c>
      <c r="AB722" s="7">
        <v>91.990483743061105</v>
      </c>
      <c r="AC722" s="2">
        <v>6.3362361159200802</v>
      </c>
      <c r="AD722" s="2">
        <v>86.411149825783895</v>
      </c>
      <c r="AE722" s="2">
        <v>15.6910526121221</v>
      </c>
      <c r="AF722" s="2">
        <v>104</v>
      </c>
      <c r="AG722" s="2">
        <v>8.1682311426647605</v>
      </c>
      <c r="AH722" s="2">
        <v>91.603053435114504</v>
      </c>
      <c r="AI722" s="2">
        <v>18.320610687022899</v>
      </c>
      <c r="AJ722" s="2">
        <v>76.595744680850999</v>
      </c>
      <c r="AK722" s="2">
        <v>51.063829787233999</v>
      </c>
      <c r="AL722" s="2">
        <v>97.454545454545396</v>
      </c>
      <c r="AM722" s="2">
        <v>6.6655646472082202</v>
      </c>
      <c r="AN722"/>
      <c r="AO722"/>
    </row>
    <row r="723" spans="1:41" ht="15.75" hidden="1" customHeight="1" x14ac:dyDescent="0.45">
      <c r="A723" s="2" t="s">
        <v>162</v>
      </c>
      <c r="B723" s="2" t="s">
        <v>163</v>
      </c>
      <c r="C723" s="2">
        <v>0.03</v>
      </c>
      <c r="D723" s="2"/>
      <c r="E723" s="2" t="s">
        <v>109</v>
      </c>
      <c r="F723" s="2" t="s">
        <v>84</v>
      </c>
      <c r="H723" s="2">
        <v>0.8</v>
      </c>
      <c r="J723" s="2">
        <v>0.8</v>
      </c>
      <c r="K723" s="2">
        <v>26.1666666666666</v>
      </c>
      <c r="L723" s="2"/>
      <c r="M723" s="2">
        <v>3.9405301391789598</v>
      </c>
      <c r="N723" s="2">
        <v>218.722222222222</v>
      </c>
      <c r="O723" s="2">
        <v>26.145603695317099</v>
      </c>
      <c r="P723" s="2">
        <v>13.8888888888888</v>
      </c>
      <c r="Q723" s="2">
        <v>2.2381374531648399</v>
      </c>
      <c r="R723" s="2">
        <v>1.7222222222222201</v>
      </c>
      <c r="S723" s="2">
        <v>0.58531409738070606</v>
      </c>
      <c r="T723" s="2">
        <v>8.2777777777777697</v>
      </c>
      <c r="U723" s="2">
        <v>1.0844011831079401</v>
      </c>
      <c r="V723" s="2">
        <v>0.66666666666666596</v>
      </c>
      <c r="W723" s="2">
        <v>0.28867513459481298</v>
      </c>
      <c r="X723" s="2">
        <v>3.55555555555555</v>
      </c>
      <c r="Y723" s="2">
        <v>0.67357531405456506</v>
      </c>
      <c r="Z723" s="7">
        <v>92.293266131395399</v>
      </c>
      <c r="AA723" s="2">
        <v>11.0325468326955</v>
      </c>
      <c r="AB723" s="7">
        <v>74.702616970658198</v>
      </c>
      <c r="AC723" s="2">
        <v>11.249729184015999</v>
      </c>
      <c r="AD723" s="2">
        <v>103.83275261324</v>
      </c>
      <c r="AE723" s="2">
        <v>13.602244805535101</v>
      </c>
      <c r="AF723" s="2">
        <v>99.999999999999901</v>
      </c>
      <c r="AG723" s="2">
        <v>16.114589662786901</v>
      </c>
      <c r="AH723" s="2">
        <v>94.656488549618302</v>
      </c>
      <c r="AI723" s="2">
        <v>32.169935123214401</v>
      </c>
      <c r="AJ723" s="2">
        <v>102.127659574468</v>
      </c>
      <c r="AK723" s="2">
        <v>44.222573810269203</v>
      </c>
      <c r="AL723" s="2">
        <v>93.090909090909093</v>
      </c>
      <c r="AM723" s="2">
        <v>17.6354264043377</v>
      </c>
      <c r="AN723"/>
      <c r="AO723"/>
    </row>
    <row r="724" spans="1:41" ht="15.75" hidden="1" customHeight="1" x14ac:dyDescent="0.45">
      <c r="A724" s="2" t="s">
        <v>162</v>
      </c>
      <c r="B724" s="2" t="s">
        <v>163</v>
      </c>
      <c r="C724" s="2">
        <v>0.1</v>
      </c>
      <c r="D724" s="2"/>
      <c r="E724" s="2" t="s">
        <v>109</v>
      </c>
      <c r="F724" s="2" t="s">
        <v>84</v>
      </c>
      <c r="H724" s="2">
        <v>0.8</v>
      </c>
      <c r="J724" s="2">
        <v>0.8</v>
      </c>
      <c r="K724" s="2">
        <v>25.4444444444444</v>
      </c>
      <c r="L724" s="2"/>
      <c r="M724" s="2">
        <v>4.2957774271606901</v>
      </c>
      <c r="N724" s="2">
        <v>187.5</v>
      </c>
      <c r="O724" s="2">
        <v>24.369265707261299</v>
      </c>
      <c r="P724" s="2">
        <v>13.5</v>
      </c>
      <c r="Q724" s="2">
        <v>0.60092521257731002</v>
      </c>
      <c r="R724" s="2">
        <v>1.8333333333333299</v>
      </c>
      <c r="S724" s="2">
        <v>0.600925212577332</v>
      </c>
      <c r="T724" s="2">
        <v>7.5</v>
      </c>
      <c r="U724" s="2">
        <v>1.1547005383792499</v>
      </c>
      <c r="V724" s="2">
        <v>0.77777777777777701</v>
      </c>
      <c r="W724" s="2">
        <v>0.34694433324435497</v>
      </c>
      <c r="X724" s="2">
        <v>3.4444444444444402</v>
      </c>
      <c r="Y724" s="2">
        <v>0.63098981620003003</v>
      </c>
      <c r="Z724" s="7">
        <v>79.118560628259999</v>
      </c>
      <c r="AA724" s="2">
        <v>10.2829932070727</v>
      </c>
      <c r="AB724" s="7">
        <v>72.640761300555099</v>
      </c>
      <c r="AC724" s="2">
        <v>12.2639165248045</v>
      </c>
      <c r="AD724" s="2">
        <v>94.076655052264798</v>
      </c>
      <c r="AE724" s="2">
        <v>14.4840485650359</v>
      </c>
      <c r="AF724" s="2">
        <v>97.2</v>
      </c>
      <c r="AG724" s="2">
        <v>4.3266615305566303</v>
      </c>
      <c r="AH724" s="2">
        <v>100.763358778625</v>
      </c>
      <c r="AI724" s="2">
        <v>33.027950614937303</v>
      </c>
      <c r="AJ724" s="2">
        <v>119.148936170212</v>
      </c>
      <c r="AK724" s="2">
        <v>53.148919135305498</v>
      </c>
      <c r="AL724" s="2">
        <v>90.181818181818201</v>
      </c>
      <c r="AM724" s="2">
        <v>16.520460642328</v>
      </c>
      <c r="AN724"/>
      <c r="AO724"/>
    </row>
    <row r="725" spans="1:41" ht="15.75" hidden="1" customHeight="1" x14ac:dyDescent="0.45">
      <c r="A725" s="2" t="s">
        <v>162</v>
      </c>
      <c r="B725" s="2" t="s">
        <v>163</v>
      </c>
      <c r="C725" s="2">
        <v>0.3</v>
      </c>
      <c r="D725" s="2"/>
      <c r="E725" s="2" t="s">
        <v>109</v>
      </c>
      <c r="F725" s="2" t="s">
        <v>84</v>
      </c>
      <c r="H725" s="2">
        <v>0.8</v>
      </c>
      <c r="J725" s="2">
        <v>0.8</v>
      </c>
      <c r="K725" s="2">
        <v>19.9444444444444</v>
      </c>
      <c r="L725" s="2"/>
      <c r="M725" s="2">
        <v>4.6077631754986603</v>
      </c>
      <c r="N725" s="2">
        <v>130.611111111111</v>
      </c>
      <c r="O725" s="2">
        <v>44.473879141872999</v>
      </c>
      <c r="P725" s="2">
        <v>13.5</v>
      </c>
      <c r="Q725" s="2">
        <v>1.3017082793177499</v>
      </c>
      <c r="R725" s="2">
        <v>1.2777777777777699</v>
      </c>
      <c r="S725" s="2">
        <v>0.69388866648870995</v>
      </c>
      <c r="T725" s="2">
        <v>5.6666666666666599</v>
      </c>
      <c r="U725" s="2">
        <v>0.28867513459482902</v>
      </c>
      <c r="V725" s="2">
        <v>0.61111111111111105</v>
      </c>
      <c r="W725" s="2">
        <v>0.41943524640392998</v>
      </c>
      <c r="X725" s="2">
        <v>2.55555555555555</v>
      </c>
      <c r="Y725" s="2">
        <v>0.85526690657448001</v>
      </c>
      <c r="Z725" s="7">
        <v>55.113403270233803</v>
      </c>
      <c r="AA725" s="2">
        <v>18.7664496173876</v>
      </c>
      <c r="AB725" s="7">
        <v>56.938937351308397</v>
      </c>
      <c r="AC725" s="2">
        <v>13.154597487545701</v>
      </c>
      <c r="AD725" s="2">
        <v>71.080139372822302</v>
      </c>
      <c r="AE725" s="2">
        <v>3.6210121412591798</v>
      </c>
      <c r="AF725" s="2">
        <v>97.2</v>
      </c>
      <c r="AG725" s="2">
        <v>9.3722996110878594</v>
      </c>
      <c r="AH725" s="2">
        <v>70.229007633587798</v>
      </c>
      <c r="AI725" s="2">
        <v>38.137392356631402</v>
      </c>
      <c r="AJ725" s="2">
        <v>93.617021276595693</v>
      </c>
      <c r="AK725" s="2">
        <v>64.253910087410603</v>
      </c>
      <c r="AL725" s="2">
        <v>66.909090909090907</v>
      </c>
      <c r="AM725" s="2">
        <v>22.392442644859099</v>
      </c>
      <c r="AN725"/>
      <c r="AO725"/>
    </row>
    <row r="726" spans="1:41" ht="15.75" hidden="1" customHeight="1" x14ac:dyDescent="0.45">
      <c r="A726" s="2" t="s">
        <v>162</v>
      </c>
      <c r="B726" s="2" t="s">
        <v>163</v>
      </c>
      <c r="C726" s="2">
        <v>1</v>
      </c>
      <c r="D726" s="2"/>
      <c r="E726" s="2" t="s">
        <v>109</v>
      </c>
      <c r="F726" s="2" t="s">
        <v>84</v>
      </c>
      <c r="H726" s="2">
        <v>0.8</v>
      </c>
      <c r="J726" s="2">
        <v>0.8</v>
      </c>
      <c r="K726" s="2">
        <v>19.2222222222222</v>
      </c>
      <c r="L726" s="2"/>
      <c r="M726" s="2">
        <v>4.8942521087193498</v>
      </c>
      <c r="N726" s="2">
        <v>123.388888888888</v>
      </c>
      <c r="O726" s="2">
        <v>26.4587379671596</v>
      </c>
      <c r="P726" s="2">
        <v>12.7222222222222</v>
      </c>
      <c r="Q726" s="2">
        <v>2.8690558519278402</v>
      </c>
      <c r="R726" s="2">
        <v>0.72222222222222199</v>
      </c>
      <c r="S726" s="2">
        <v>0.25458753860865702</v>
      </c>
      <c r="T726" s="2">
        <v>6.6666666666666599</v>
      </c>
      <c r="U726" s="2">
        <v>0.60092521257734599</v>
      </c>
      <c r="V726" s="2">
        <v>0.55555555555555503</v>
      </c>
      <c r="W726" s="2">
        <v>9.6225044864937798E-2</v>
      </c>
      <c r="X726" s="2">
        <v>4.05555555555555</v>
      </c>
      <c r="Y726" s="2">
        <v>0.91792842454768298</v>
      </c>
      <c r="Z726" s="7">
        <v>52.065873527515599</v>
      </c>
      <c r="AA726" s="2">
        <v>11.164678741343799</v>
      </c>
      <c r="AB726" s="7">
        <v>54.877081681205397</v>
      </c>
      <c r="AC726" s="2">
        <v>13.9724881771527</v>
      </c>
      <c r="AD726" s="2">
        <v>83.623693379790893</v>
      </c>
      <c r="AE726" s="2">
        <v>7.5377378581130499</v>
      </c>
      <c r="AF726" s="2">
        <v>91.6</v>
      </c>
      <c r="AG726" s="2">
        <v>20.657202133880499</v>
      </c>
      <c r="AH726" s="2">
        <v>39.694656488549597</v>
      </c>
      <c r="AI726" s="2">
        <v>13.992597541849801</v>
      </c>
      <c r="AJ726" s="2">
        <v>85.106382978723303</v>
      </c>
      <c r="AK726" s="2">
        <v>14.740857936756401</v>
      </c>
      <c r="AL726" s="2">
        <v>106.181818181818</v>
      </c>
      <c r="AM726" s="2">
        <v>24.033035115430199</v>
      </c>
      <c r="AN726"/>
      <c r="AO726"/>
    </row>
    <row r="727" spans="1:41" ht="15.75" hidden="1" customHeight="1" x14ac:dyDescent="0.45">
      <c r="A727" s="2" t="s">
        <v>162</v>
      </c>
      <c r="B727" s="2" t="s">
        <v>163</v>
      </c>
      <c r="C727" s="2">
        <v>3</v>
      </c>
      <c r="D727" s="2"/>
      <c r="E727" s="2" t="s">
        <v>109</v>
      </c>
      <c r="F727" s="2" t="s">
        <v>84</v>
      </c>
      <c r="H727" s="2">
        <v>0.8</v>
      </c>
      <c r="J727" s="2">
        <v>0.8</v>
      </c>
      <c r="K727" s="2">
        <v>9.7777777777777697</v>
      </c>
      <c r="L727" s="2"/>
      <c r="M727" s="2">
        <v>6.5539075141249601</v>
      </c>
      <c r="N727" s="2">
        <v>58.9444444444444</v>
      </c>
      <c r="O727" s="2">
        <v>28.123899155410601</v>
      </c>
      <c r="P727" s="2">
        <v>6.5</v>
      </c>
      <c r="Q727" s="2">
        <v>3.4439963866286298</v>
      </c>
      <c r="R727" s="2">
        <v>1.1111111111111101</v>
      </c>
      <c r="S727" s="2">
        <v>1.20569635634503</v>
      </c>
      <c r="T727" s="2">
        <v>11</v>
      </c>
      <c r="U727" s="2">
        <v>3.9686269665968799</v>
      </c>
      <c r="V727" s="2">
        <v>0.11111111111111099</v>
      </c>
      <c r="W727" s="2">
        <v>0.19245008972987501</v>
      </c>
      <c r="X727" s="2">
        <v>7.3888888888888804</v>
      </c>
      <c r="Y727" s="2">
        <v>3.2588909724583202</v>
      </c>
      <c r="Z727" s="7">
        <v>24.872531207876602</v>
      </c>
      <c r="AA727" s="2">
        <v>11.867319575628899</v>
      </c>
      <c r="AB727" s="7">
        <v>27.9143536875495</v>
      </c>
      <c r="AC727" s="2">
        <v>18.7106003575336</v>
      </c>
      <c r="AD727" s="2">
        <v>137.979094076655</v>
      </c>
      <c r="AE727" s="2">
        <v>49.7806866890202</v>
      </c>
      <c r="AF727" s="2">
        <v>46.8</v>
      </c>
      <c r="AG727" s="2">
        <v>24.796773983726101</v>
      </c>
      <c r="AH727" s="2">
        <v>61.068702290076303</v>
      </c>
      <c r="AI727" s="2">
        <v>66.267280654078505</v>
      </c>
      <c r="AJ727" s="2">
        <v>17.021276595744599</v>
      </c>
      <c r="AK727" s="2">
        <v>29.481715873512801</v>
      </c>
      <c r="AL727" s="2">
        <v>193.45454545454501</v>
      </c>
      <c r="AM727" s="2">
        <v>85.323690915272493</v>
      </c>
      <c r="AN727"/>
      <c r="AO727"/>
    </row>
    <row r="728" spans="1:41" ht="15.75" hidden="1" customHeight="1" x14ac:dyDescent="0.45">
      <c r="A728" s="2" t="s">
        <v>162</v>
      </c>
      <c r="B728" s="2" t="s">
        <v>163</v>
      </c>
      <c r="C728" s="2">
        <v>10</v>
      </c>
      <c r="D728" s="2"/>
      <c r="E728" s="2" t="s">
        <v>109</v>
      </c>
      <c r="F728" s="2" t="s">
        <v>84</v>
      </c>
      <c r="H728" s="2">
        <v>0.8</v>
      </c>
      <c r="J728" s="2">
        <v>0.8</v>
      </c>
      <c r="K728" s="2">
        <v>2.3333333333333299</v>
      </c>
      <c r="L728" s="2"/>
      <c r="M728" s="2">
        <v>3.6170890690351101</v>
      </c>
      <c r="N728" s="2">
        <v>27.7222222222222</v>
      </c>
      <c r="O728" s="2">
        <v>14.4263775900386</v>
      </c>
      <c r="P728" s="2">
        <v>1.6111111111111101</v>
      </c>
      <c r="Q728" s="2">
        <v>2.2381374531648501</v>
      </c>
      <c r="R728" s="2">
        <v>5.5555555555555497E-2</v>
      </c>
      <c r="S728" s="2">
        <v>9.6225044864937603E-2</v>
      </c>
      <c r="T728" s="2">
        <v>34.8333333333333</v>
      </c>
      <c r="U728" s="2">
        <v>20.894576648817999</v>
      </c>
      <c r="V728" s="2">
        <v>0</v>
      </c>
      <c r="W728" s="2">
        <v>0</v>
      </c>
      <c r="X728" s="2">
        <v>8.1666666666666607</v>
      </c>
      <c r="Y728" s="2">
        <v>2.6822461565718401</v>
      </c>
      <c r="Z728" s="7">
        <v>11.6978257047412</v>
      </c>
      <c r="AA728" s="2">
        <v>6.0874358933527803</v>
      </c>
      <c r="AB728" s="7">
        <v>6.66137985725614</v>
      </c>
      <c r="AC728" s="2">
        <v>10.3263446855879</v>
      </c>
      <c r="AD728" s="2">
        <v>436.93379790940702</v>
      </c>
      <c r="AE728" s="2">
        <v>262.09225064719499</v>
      </c>
      <c r="AF728" s="2">
        <v>11.6</v>
      </c>
      <c r="AG728" s="2">
        <v>16.114589662786901</v>
      </c>
      <c r="AH728" s="2">
        <v>3.0534351145038099</v>
      </c>
      <c r="AI728" s="2">
        <v>5.2887047559355</v>
      </c>
      <c r="AJ728" s="2">
        <v>0</v>
      </c>
      <c r="AK728" s="2">
        <v>0</v>
      </c>
      <c r="AL728" s="2">
        <v>213.81818181818099</v>
      </c>
      <c r="AM728" s="2">
        <v>70.226081190244798</v>
      </c>
      <c r="AN728"/>
      <c r="AO728"/>
    </row>
    <row r="729" spans="1:41" ht="15.75" hidden="1" customHeight="1" x14ac:dyDescent="0.45">
      <c r="A729" s="2" t="s">
        <v>164</v>
      </c>
      <c r="B729" s="2" t="s">
        <v>94</v>
      </c>
      <c r="C729" s="2">
        <v>3.0000000000000001E-3</v>
      </c>
      <c r="D729" s="2"/>
      <c r="E729" s="2" t="s">
        <v>83</v>
      </c>
      <c r="F729" s="2" t="s">
        <v>84</v>
      </c>
      <c r="H729" s="2">
        <v>4.8</v>
      </c>
      <c r="J729" s="2">
        <v>4.7926847700000001</v>
      </c>
      <c r="K729" s="2">
        <v>46.949938246666598</v>
      </c>
      <c r="L729" s="2"/>
      <c r="M729" s="2">
        <v>1.5222276582656</v>
      </c>
      <c r="N729" s="2">
        <v>370.166666666666</v>
      </c>
      <c r="O729" s="2">
        <v>22.785838682051299</v>
      </c>
      <c r="P729" s="2">
        <v>18.85699752</v>
      </c>
      <c r="Q729" s="2">
        <v>1.08710974020642</v>
      </c>
      <c r="R729" s="2">
        <v>4.83513360701666</v>
      </c>
      <c r="S729" s="2">
        <v>1.2581865821903799</v>
      </c>
      <c r="T729" s="2">
        <v>4.06926401664444</v>
      </c>
      <c r="U729" s="2">
        <v>1.5874629935020399</v>
      </c>
      <c r="V729" s="2">
        <v>0.38349432585222198</v>
      </c>
      <c r="W729" s="2">
        <v>7.6716707319166397E-2</v>
      </c>
      <c r="X729" s="2">
        <v>3.3435499848388801</v>
      </c>
      <c r="Y729" s="2">
        <v>0.440883850760169</v>
      </c>
      <c r="Z729" s="7">
        <v>103.294318269901</v>
      </c>
      <c r="AA729" s="2">
        <v>6.35834580694402</v>
      </c>
      <c r="AB729" s="7">
        <v>102.20255818315199</v>
      </c>
      <c r="AC729" s="2">
        <v>3.3136478262128399</v>
      </c>
      <c r="AD729" s="2">
        <v>92.229838379962501</v>
      </c>
      <c r="AE729" s="2">
        <v>35.979836827003801</v>
      </c>
      <c r="AF729" s="2">
        <v>97.868226261145395</v>
      </c>
      <c r="AG729" s="2">
        <v>5.6421231382342301</v>
      </c>
      <c r="AH729" s="2">
        <v>86.210294935129099</v>
      </c>
      <c r="AI729" s="2">
        <v>22.4334310383164</v>
      </c>
      <c r="AJ729" s="2">
        <v>95.025398422820999</v>
      </c>
      <c r="AK729" s="2">
        <v>19.009500759862402</v>
      </c>
      <c r="AL729" s="2">
        <v>99.4126861839556</v>
      </c>
      <c r="AM729" s="2">
        <v>13.1086563975225</v>
      </c>
      <c r="AN729"/>
      <c r="AO729"/>
    </row>
    <row r="730" spans="1:41" ht="15.75" hidden="1" customHeight="1" x14ac:dyDescent="0.45">
      <c r="A730" s="2" t="s">
        <v>164</v>
      </c>
      <c r="B730" s="2" t="s">
        <v>94</v>
      </c>
      <c r="C730" s="2">
        <v>0.01</v>
      </c>
      <c r="D730" s="2"/>
      <c r="E730" s="2" t="s">
        <v>83</v>
      </c>
      <c r="F730" s="2" t="s">
        <v>84</v>
      </c>
      <c r="H730" s="2">
        <v>4.8</v>
      </c>
      <c r="J730" s="2">
        <v>4.7926847700000001</v>
      </c>
      <c r="K730" s="2">
        <v>44.681351217555502</v>
      </c>
      <c r="L730" s="2"/>
      <c r="M730" s="2">
        <v>2.2678080506011602</v>
      </c>
      <c r="N730" s="2">
        <v>361.722222222222</v>
      </c>
      <c r="O730" s="2">
        <v>24.732644494750399</v>
      </c>
      <c r="P730" s="2">
        <v>18.485496291055501</v>
      </c>
      <c r="Q730" s="2">
        <v>1.25016866112647</v>
      </c>
      <c r="R730" s="2">
        <v>4.3714562833111099</v>
      </c>
      <c r="S730" s="2">
        <v>0.76208170956086096</v>
      </c>
      <c r="T730" s="2">
        <v>3.8082868085344401</v>
      </c>
      <c r="U730" s="2">
        <v>0.67175722364489598</v>
      </c>
      <c r="V730" s="2">
        <v>0.56247784903166598</v>
      </c>
      <c r="W730" s="2">
        <v>4.66191470384624E-2</v>
      </c>
      <c r="X730" s="2">
        <v>3.4022760493500002</v>
      </c>
      <c r="Y730" s="2">
        <v>0.414326391800803</v>
      </c>
      <c r="Z730" s="7">
        <v>100.937911789783</v>
      </c>
      <c r="AA730" s="2">
        <v>6.9015983397489702</v>
      </c>
      <c r="AB730" s="7">
        <v>97.264204555972697</v>
      </c>
      <c r="AC730" s="2">
        <v>4.9366579146936704</v>
      </c>
      <c r="AD730" s="2">
        <v>86.314791917902895</v>
      </c>
      <c r="AE730" s="2">
        <v>15.225372429491699</v>
      </c>
      <c r="AF730" s="2">
        <v>95.940126822617799</v>
      </c>
      <c r="AG730" s="2">
        <v>6.4884024756301297</v>
      </c>
      <c r="AH730" s="2">
        <v>77.942941418076799</v>
      </c>
      <c r="AI730" s="2">
        <v>13.5878952446252</v>
      </c>
      <c r="AJ730" s="2">
        <v>139.37541732714399</v>
      </c>
      <c r="AK730" s="2">
        <v>11.5516781418274</v>
      </c>
      <c r="AL730" s="2">
        <v>101.158769194089</v>
      </c>
      <c r="AM730" s="2">
        <v>12.319032092414901</v>
      </c>
      <c r="AN730"/>
      <c r="AO730"/>
    </row>
    <row r="731" spans="1:41" ht="15.75" hidden="1" customHeight="1" x14ac:dyDescent="0.45">
      <c r="A731" s="2" t="s">
        <v>164</v>
      </c>
      <c r="B731" s="2" t="s">
        <v>94</v>
      </c>
      <c r="C731" s="2">
        <v>0.03</v>
      </c>
      <c r="D731" s="2"/>
      <c r="E731" s="2" t="s">
        <v>83</v>
      </c>
      <c r="F731" s="2" t="s">
        <v>84</v>
      </c>
      <c r="H731" s="2">
        <v>4.8</v>
      </c>
      <c r="J731" s="2">
        <v>4.7926847700000001</v>
      </c>
      <c r="K731" s="2">
        <v>43.753855409555499</v>
      </c>
      <c r="L731" s="2"/>
      <c r="M731" s="2">
        <v>1.88368328548893</v>
      </c>
      <c r="N731" s="2">
        <v>368.33333333333297</v>
      </c>
      <c r="O731" s="2">
        <v>47.903838862640598</v>
      </c>
      <c r="P731" s="2">
        <v>19.535355895999999</v>
      </c>
      <c r="Q731" s="2">
        <v>0.54107357282361201</v>
      </c>
      <c r="R731" s="2">
        <v>5.1707124465055498</v>
      </c>
      <c r="S731" s="2">
        <v>0.85456682507068904</v>
      </c>
      <c r="T731" s="2">
        <v>3.2575585549061099</v>
      </c>
      <c r="U731" s="2">
        <v>0.86819218150511301</v>
      </c>
      <c r="V731" s="2">
        <v>0.34439803274888803</v>
      </c>
      <c r="W731" s="2">
        <v>8.0986232966176797E-2</v>
      </c>
      <c r="X731" s="2">
        <v>3.3141612299055501</v>
      </c>
      <c r="Y731" s="2">
        <v>0.42581934881316102</v>
      </c>
      <c r="Z731" s="7">
        <v>102.782730020928</v>
      </c>
      <c r="AA731" s="2">
        <v>13.3674769324475</v>
      </c>
      <c r="AB731" s="7">
        <v>95.245193502460197</v>
      </c>
      <c r="AC731" s="2">
        <v>4.1004793142082896</v>
      </c>
      <c r="AD731" s="2">
        <v>73.832540184994897</v>
      </c>
      <c r="AE731" s="2">
        <v>19.6775692743064</v>
      </c>
      <c r="AF731" s="2">
        <v>101.38892095064099</v>
      </c>
      <c r="AG731" s="2">
        <v>2.8081835824003201</v>
      </c>
      <c r="AH731" s="2">
        <v>92.193656115540307</v>
      </c>
      <c r="AI731" s="2">
        <v>15.236902228349701</v>
      </c>
      <c r="AJ731" s="2">
        <v>85.337795299245002</v>
      </c>
      <c r="AK731" s="2">
        <v>20.067439165553299</v>
      </c>
      <c r="AL731" s="2">
        <v>98.538879874861294</v>
      </c>
      <c r="AM731" s="2">
        <v>12.6607484519657</v>
      </c>
      <c r="AN731"/>
      <c r="AO731"/>
    </row>
    <row r="732" spans="1:41" ht="15.75" hidden="1" customHeight="1" x14ac:dyDescent="0.45">
      <c r="A732" s="2" t="s">
        <v>164</v>
      </c>
      <c r="B732" s="2" t="s">
        <v>94</v>
      </c>
      <c r="C732" s="2">
        <v>0.1</v>
      </c>
      <c r="D732" s="2"/>
      <c r="E732" s="2" t="s">
        <v>83</v>
      </c>
      <c r="F732" s="2" t="s">
        <v>84</v>
      </c>
      <c r="H732" s="2">
        <v>4.8</v>
      </c>
      <c r="J732" s="2">
        <v>4.7926847700000001</v>
      </c>
      <c r="K732" s="2">
        <v>43.380393012499901</v>
      </c>
      <c r="L732" s="2"/>
      <c r="M732" s="2">
        <v>1.3967087639229201</v>
      </c>
      <c r="N732" s="2">
        <v>373.55555555555497</v>
      </c>
      <c r="O732" s="2">
        <v>50.942323959261302</v>
      </c>
      <c r="P732" s="2">
        <v>18.535333524222199</v>
      </c>
      <c r="Q732" s="2">
        <v>2.56742341500791</v>
      </c>
      <c r="R732" s="2">
        <v>4.1542718371333303</v>
      </c>
      <c r="S732" s="2">
        <v>0.76838193782518605</v>
      </c>
      <c r="T732" s="2">
        <v>2.027963910085</v>
      </c>
      <c r="U732" s="2">
        <v>0.57400130646130998</v>
      </c>
      <c r="V732" s="2">
        <v>0.269910922708888</v>
      </c>
      <c r="W732" s="2">
        <v>0.117410042358761</v>
      </c>
      <c r="X732" s="2">
        <v>2.9408276167277698</v>
      </c>
      <c r="Y732" s="2">
        <v>0.771342726141512</v>
      </c>
      <c r="Z732" s="7">
        <v>104.23998139679</v>
      </c>
      <c r="AA732" s="2">
        <v>14.215360534326001</v>
      </c>
      <c r="AB732" s="7">
        <v>94.432225183657295</v>
      </c>
      <c r="AC732" s="2">
        <v>3.0404131302533801</v>
      </c>
      <c r="AD732" s="2">
        <v>45.963786793507197</v>
      </c>
      <c r="AE732" s="2">
        <v>13.0097353006032</v>
      </c>
      <c r="AF732" s="2">
        <v>96.198783144050296</v>
      </c>
      <c r="AG732" s="2">
        <v>13.324983228197199</v>
      </c>
      <c r="AH732" s="2">
        <v>74.070548908976804</v>
      </c>
      <c r="AI732" s="2">
        <v>13.700228135703499</v>
      </c>
      <c r="AJ732" s="2">
        <v>66.880762608641305</v>
      </c>
      <c r="AK732" s="2">
        <v>29.092832153873498</v>
      </c>
      <c r="AL732" s="2">
        <v>87.438672760549693</v>
      </c>
      <c r="AM732" s="2">
        <v>22.934082852623401</v>
      </c>
      <c r="AN732"/>
      <c r="AO732"/>
    </row>
    <row r="733" spans="1:41" ht="15.75" hidden="1" customHeight="1" x14ac:dyDescent="0.45">
      <c r="A733" s="2" t="s">
        <v>164</v>
      </c>
      <c r="B733" s="2" t="s">
        <v>94</v>
      </c>
      <c r="C733" s="2">
        <v>0.3</v>
      </c>
      <c r="D733" s="2"/>
      <c r="E733" s="2" t="s">
        <v>83</v>
      </c>
      <c r="F733" s="2" t="s">
        <v>84</v>
      </c>
      <c r="H733" s="2">
        <v>4.8</v>
      </c>
      <c r="J733" s="2">
        <v>4.7926847700000001</v>
      </c>
      <c r="K733" s="2">
        <v>34.990256237222198</v>
      </c>
      <c r="L733" s="2"/>
      <c r="M733" s="2">
        <v>3.46558580064002</v>
      </c>
      <c r="N733" s="2">
        <v>265.222222222222</v>
      </c>
      <c r="O733" s="2">
        <v>19.584810818968499</v>
      </c>
      <c r="P733" s="2">
        <v>16.970082561166599</v>
      </c>
      <c r="Q733" s="2">
        <v>1.0712768556785599</v>
      </c>
      <c r="R733" s="2">
        <v>4.5083710624500002</v>
      </c>
      <c r="S733" s="2">
        <v>1.1914182948144301</v>
      </c>
      <c r="T733" s="2">
        <v>3.0975571049533301</v>
      </c>
      <c r="U733" s="2">
        <v>1.8404943666632001</v>
      </c>
      <c r="V733" s="2">
        <v>0.30247598422499999</v>
      </c>
      <c r="W733" s="2">
        <v>0.115419713360304</v>
      </c>
      <c r="X733" s="2">
        <v>2.73867900688944</v>
      </c>
      <c r="Y733" s="2">
        <v>0.511703037947707</v>
      </c>
      <c r="Z733" s="7">
        <v>74.009766684753103</v>
      </c>
      <c r="AA733" s="2">
        <v>5.4651049490959496</v>
      </c>
      <c r="AB733" s="7">
        <v>76.168230086692304</v>
      </c>
      <c r="AC733" s="2">
        <v>7.5440298252951301</v>
      </c>
      <c r="AD733" s="2">
        <v>70.206108523312494</v>
      </c>
      <c r="AE733" s="2">
        <v>41.714790999615502</v>
      </c>
      <c r="AF733" s="2">
        <v>88.075096685199995</v>
      </c>
      <c r="AG733" s="2">
        <v>5.5599501240151898</v>
      </c>
      <c r="AH733" s="2">
        <v>80.384128042870898</v>
      </c>
      <c r="AI733" s="2">
        <v>21.242954370072798</v>
      </c>
      <c r="AJ733" s="2">
        <v>74.950003107455302</v>
      </c>
      <c r="AK733" s="2">
        <v>28.599651959745401</v>
      </c>
      <c r="AL733" s="2">
        <v>81.428253773692703</v>
      </c>
      <c r="AM733" s="2">
        <v>15.214300298047799</v>
      </c>
      <c r="AN733"/>
      <c r="AO733"/>
    </row>
    <row r="734" spans="1:41" ht="15.75" hidden="1" customHeight="1" x14ac:dyDescent="0.45">
      <c r="A734" s="2" t="s">
        <v>164</v>
      </c>
      <c r="B734" s="2" t="s">
        <v>94</v>
      </c>
      <c r="C734" s="2">
        <v>1</v>
      </c>
      <c r="D734" s="2"/>
      <c r="E734" s="2" t="s">
        <v>83</v>
      </c>
      <c r="F734" s="2" t="s">
        <v>84</v>
      </c>
      <c r="H734" s="2">
        <v>4.8</v>
      </c>
      <c r="J734" s="2">
        <v>4.7926847700000001</v>
      </c>
      <c r="K734" s="2">
        <v>30.3254362424444</v>
      </c>
      <c r="L734" s="2"/>
      <c r="M734" s="2">
        <v>1.9515149699669101</v>
      </c>
      <c r="N734" s="2">
        <v>223.055555555555</v>
      </c>
      <c r="O734" s="2">
        <v>22.171887438659699</v>
      </c>
      <c r="P734" s="2">
        <v>14.775036332888799</v>
      </c>
      <c r="Q734" s="2">
        <v>1.16376737326534</v>
      </c>
      <c r="R734" s="2">
        <v>3.3390540960405501</v>
      </c>
      <c r="S734" s="2">
        <v>1.37812742411343</v>
      </c>
      <c r="T734" s="2">
        <v>3.8689852554050002</v>
      </c>
      <c r="U734" s="2">
        <v>2.4714562224055299</v>
      </c>
      <c r="V734" s="2">
        <v>0.216585589067777</v>
      </c>
      <c r="W734" s="2">
        <v>0.13243775434020399</v>
      </c>
      <c r="X734" s="2">
        <v>2.81084126173333</v>
      </c>
      <c r="Y734" s="2">
        <v>0.85226612842065796</v>
      </c>
      <c r="Z734" s="7">
        <v>62.243236958375299</v>
      </c>
      <c r="AA734" s="2">
        <v>6.1870238570013996</v>
      </c>
      <c r="AB734" s="7">
        <v>66.013657903329403</v>
      </c>
      <c r="AC734" s="2">
        <v>4.2481381171464303</v>
      </c>
      <c r="AD734" s="2">
        <v>87.690521760421802</v>
      </c>
      <c r="AE734" s="2">
        <v>56.015536721939903</v>
      </c>
      <c r="AF734" s="2">
        <v>76.682759135443405</v>
      </c>
      <c r="AG734" s="2">
        <v>6.0399779170184402</v>
      </c>
      <c r="AH734" s="2">
        <v>59.535239730763202</v>
      </c>
      <c r="AI734" s="2">
        <v>24.571972844472199</v>
      </c>
      <c r="AJ734" s="2">
        <v>53.667370040144498</v>
      </c>
      <c r="AK734" s="2">
        <v>32.816523020085398</v>
      </c>
      <c r="AL734" s="2">
        <v>83.573830668804703</v>
      </c>
      <c r="AM734" s="2">
        <v>25.3401521000381</v>
      </c>
      <c r="AN734"/>
      <c r="AO734"/>
    </row>
    <row r="735" spans="1:41" ht="15.75" hidden="1" customHeight="1" x14ac:dyDescent="0.45">
      <c r="A735" s="2" t="s">
        <v>164</v>
      </c>
      <c r="B735" s="2" t="s">
        <v>94</v>
      </c>
      <c r="C735" s="2">
        <v>3</v>
      </c>
      <c r="D735" s="2"/>
      <c r="E735" s="2" t="s">
        <v>83</v>
      </c>
      <c r="F735" s="2" t="s">
        <v>84</v>
      </c>
      <c r="H735" s="2">
        <v>4.8</v>
      </c>
      <c r="J735" s="2">
        <v>4.7926847700000001</v>
      </c>
      <c r="K735" s="2">
        <v>27.780236046355501</v>
      </c>
      <c r="L735" s="2"/>
      <c r="M735" s="2">
        <v>1.93623110319824</v>
      </c>
      <c r="N735" s="2">
        <v>231.08888888888799</v>
      </c>
      <c r="O735" s="2">
        <v>32.285296504297101</v>
      </c>
      <c r="P735" s="2">
        <v>15.187248732855499</v>
      </c>
      <c r="Q735" s="2">
        <v>0.96585062655082399</v>
      </c>
      <c r="R735" s="2">
        <v>2.61439840227166</v>
      </c>
      <c r="S735" s="2">
        <v>0.64427598806740705</v>
      </c>
      <c r="T735" s="2">
        <v>1.8005055945084401</v>
      </c>
      <c r="U735" s="2">
        <v>0.32423452207923997</v>
      </c>
      <c r="V735" s="2">
        <v>0.232982194313444</v>
      </c>
      <c r="W735" s="2">
        <v>1.6021736565256899E-2</v>
      </c>
      <c r="X735" s="2">
        <v>2.1957498073699999</v>
      </c>
      <c r="Y735" s="2">
        <v>0.63450273854186301</v>
      </c>
      <c r="Z735" s="7">
        <v>64.484923649329502</v>
      </c>
      <c r="AA735" s="2">
        <v>9.0091518033849791</v>
      </c>
      <c r="AB735" s="7">
        <v>60.4731613480009</v>
      </c>
      <c r="AC735" s="2">
        <v>4.2148675668321296</v>
      </c>
      <c r="AD735" s="2">
        <v>40.808445779015102</v>
      </c>
      <c r="AE735" s="2">
        <v>7.3487730081549101</v>
      </c>
      <c r="AF735" s="2">
        <v>78.822150434869499</v>
      </c>
      <c r="AG735" s="2">
        <v>5.0127857074536601</v>
      </c>
      <c r="AH735" s="2">
        <v>46.614649285118197</v>
      </c>
      <c r="AI735" s="2">
        <v>11.487422575109299</v>
      </c>
      <c r="AJ735" s="2">
        <v>57.73025661034</v>
      </c>
      <c r="AK735" s="2">
        <v>3.9699985055990101</v>
      </c>
      <c r="AL735" s="2">
        <v>65.285516151502407</v>
      </c>
      <c r="AM735" s="2">
        <v>18.865463927724701</v>
      </c>
      <c r="AN735"/>
      <c r="AO735"/>
    </row>
    <row r="736" spans="1:41" ht="15.75" hidden="1" customHeight="1" x14ac:dyDescent="0.45">
      <c r="A736" s="2" t="s">
        <v>164</v>
      </c>
      <c r="B736" s="2" t="s">
        <v>94</v>
      </c>
      <c r="C736" s="2">
        <v>10</v>
      </c>
      <c r="D736" s="2"/>
      <c r="E736" s="2" t="s">
        <v>83</v>
      </c>
      <c r="F736" s="2" t="s">
        <v>84</v>
      </c>
      <c r="H736" s="2">
        <v>4.8</v>
      </c>
      <c r="J736" s="2">
        <v>4.7926847700000001</v>
      </c>
      <c r="K736" s="2">
        <v>23.833523815277701</v>
      </c>
      <c r="L736" s="2"/>
      <c r="M736" s="2">
        <v>4.8188196938101697</v>
      </c>
      <c r="N736" s="2">
        <v>197</v>
      </c>
      <c r="O736" s="2">
        <v>12.1243556529821</v>
      </c>
      <c r="P736" s="2">
        <v>12.795277146122199</v>
      </c>
      <c r="Q736" s="2">
        <v>1.33326010086001</v>
      </c>
      <c r="R736" s="2">
        <v>5.4967318757877699</v>
      </c>
      <c r="S736" s="2">
        <v>3.6929090260268702</v>
      </c>
      <c r="T736" s="2">
        <v>2.9829080242805501</v>
      </c>
      <c r="U736" s="2">
        <v>1.5096635669146601</v>
      </c>
      <c r="V736" s="2">
        <v>0.267971845145</v>
      </c>
      <c r="W736" s="2">
        <v>0.34138006442701901</v>
      </c>
      <c r="X736" s="2">
        <v>2.2313669199516601</v>
      </c>
      <c r="Y736" s="2">
        <v>0.26933402935130402</v>
      </c>
      <c r="Z736" s="7">
        <v>54.972482753274903</v>
      </c>
      <c r="AA736" s="2">
        <v>3.3832788427823899</v>
      </c>
      <c r="AB736" s="7">
        <v>51.881795704244702</v>
      </c>
      <c r="AC736" s="2">
        <v>10.489805067330799</v>
      </c>
      <c r="AD736" s="2">
        <v>67.607587970797198</v>
      </c>
      <c r="AE736" s="2">
        <v>34.216513407619203</v>
      </c>
      <c r="AF736" s="2">
        <v>66.407766002121903</v>
      </c>
      <c r="AG736" s="2">
        <v>6.91964885064721</v>
      </c>
      <c r="AH736" s="2">
        <v>98.006573283375303</v>
      </c>
      <c r="AI736" s="2">
        <v>65.844463085853207</v>
      </c>
      <c r="AJ736" s="2">
        <v>66.400281919202598</v>
      </c>
      <c r="AK736" s="2">
        <v>84.589978127307106</v>
      </c>
      <c r="AL736" s="2">
        <v>66.344508196459202</v>
      </c>
      <c r="AM736" s="2">
        <v>8.0080212528516093</v>
      </c>
      <c r="AN736"/>
      <c r="AO736"/>
    </row>
    <row r="737" spans="1:41" ht="15.75" hidden="1" customHeight="1" x14ac:dyDescent="0.45">
      <c r="A737" s="2" t="s">
        <v>165</v>
      </c>
      <c r="B737" s="2" t="s">
        <v>122</v>
      </c>
      <c r="C737" s="2">
        <v>3.0000000000000001E-3</v>
      </c>
      <c r="D737" s="2"/>
      <c r="E737" s="2" t="s">
        <v>83</v>
      </c>
      <c r="F737" s="2" t="s">
        <v>84</v>
      </c>
      <c r="H737" s="2">
        <v>6.0000000000000001E-3</v>
      </c>
      <c r="J737" s="2">
        <v>6.0000000000000001E-3</v>
      </c>
      <c r="K737" s="2">
        <v>20.126108090999999</v>
      </c>
      <c r="L737" s="2"/>
      <c r="M737" s="2">
        <v>4.5130623773699803</v>
      </c>
      <c r="N737" s="2">
        <v>145.611111111111</v>
      </c>
      <c r="O737" s="2">
        <v>35.3185241501983</v>
      </c>
      <c r="P737" s="2">
        <v>11.8611934384666</v>
      </c>
      <c r="Q737" s="2">
        <v>1.5808919506372601</v>
      </c>
      <c r="R737" s="2">
        <v>1.16042778223444</v>
      </c>
      <c r="S737" s="2">
        <v>0.29311212231631401</v>
      </c>
      <c r="T737" s="2">
        <v>5.7993934242999998</v>
      </c>
      <c r="U737" s="2">
        <v>1.30871892523561</v>
      </c>
      <c r="V737" s="2">
        <v>0.231438300795</v>
      </c>
      <c r="W737" s="2">
        <v>0.100764232153349</v>
      </c>
      <c r="X737" s="2">
        <v>6.4859182385222196</v>
      </c>
      <c r="Y737" s="2">
        <v>0.67999764101664895</v>
      </c>
      <c r="Z737" s="7">
        <v>63.098255802179899</v>
      </c>
      <c r="AA737" s="2">
        <v>16.147824292725399</v>
      </c>
      <c r="AB737" s="7">
        <v>60.763847065149299</v>
      </c>
      <c r="AC737" s="2">
        <v>17.1958295616068</v>
      </c>
      <c r="AD737" s="2">
        <v>132.38901224750899</v>
      </c>
      <c r="AE737" s="2">
        <v>50.729636787671502</v>
      </c>
      <c r="AF737" s="2">
        <v>77.3053389550725</v>
      </c>
      <c r="AG737" s="2">
        <v>5.8676268879800899</v>
      </c>
      <c r="AH737" s="2">
        <v>76.481817500050695</v>
      </c>
      <c r="AI737" s="2">
        <v>44.459223265951998</v>
      </c>
      <c r="AJ737" s="2">
        <v>28.991474418578498</v>
      </c>
      <c r="AK737" s="2">
        <v>1.81898288167023</v>
      </c>
      <c r="AL737" s="2">
        <v>199.18680253252501</v>
      </c>
      <c r="AM737" s="2">
        <v>31.3508578993291</v>
      </c>
      <c r="AN737"/>
      <c r="AO737"/>
    </row>
    <row r="738" spans="1:41" ht="15.75" hidden="1" customHeight="1" x14ac:dyDescent="0.45">
      <c r="A738" s="2" t="s">
        <v>165</v>
      </c>
      <c r="B738" s="2" t="s">
        <v>122</v>
      </c>
      <c r="C738" s="2">
        <v>0.01</v>
      </c>
      <c r="D738" s="2"/>
      <c r="E738" s="2" t="s">
        <v>83</v>
      </c>
      <c r="F738" s="2" t="s">
        <v>84</v>
      </c>
      <c r="H738" s="2">
        <v>6.0000000000000001E-3</v>
      </c>
      <c r="J738" s="2">
        <v>6.0000000000000001E-3</v>
      </c>
      <c r="K738" s="2">
        <v>12.550920131038801</v>
      </c>
      <c r="L738" s="2"/>
      <c r="M738" s="2">
        <v>2.6612132328736702</v>
      </c>
      <c r="N738" s="2">
        <v>96.1666666666666</v>
      </c>
      <c r="O738" s="2">
        <v>19.974984355438099</v>
      </c>
      <c r="P738" s="2">
        <v>5.6879438639722197</v>
      </c>
      <c r="Q738" s="2">
        <v>2.7073078373790702</v>
      </c>
      <c r="R738" s="2">
        <v>0.47578812101388801</v>
      </c>
      <c r="S738" s="2">
        <v>8.1406165593431806E-2</v>
      </c>
      <c r="T738" s="2">
        <v>7.8434796497888799</v>
      </c>
      <c r="U738" s="2">
        <v>1.90030498506805</v>
      </c>
      <c r="V738" s="2">
        <v>0.24104994458611101</v>
      </c>
      <c r="W738" s="2">
        <v>0.109618113652158</v>
      </c>
      <c r="X738" s="2">
        <v>9.5209047705999996</v>
      </c>
      <c r="Y738" s="2">
        <v>0.92711577162141001</v>
      </c>
      <c r="Z738" s="7">
        <v>41.655909511025897</v>
      </c>
      <c r="AA738" s="2">
        <v>9.2244007662344298</v>
      </c>
      <c r="AB738" s="7">
        <v>37.662631673955403</v>
      </c>
      <c r="AC738" s="2">
        <v>8.7903792313257494</v>
      </c>
      <c r="AD738" s="2">
        <v>169.28128258825501</v>
      </c>
      <c r="AE738" s="2">
        <v>24.3718383138824</v>
      </c>
      <c r="AF738" s="2">
        <v>36.387918101973298</v>
      </c>
      <c r="AG738" s="2">
        <v>14.169666279733301</v>
      </c>
      <c r="AH738" s="2">
        <v>29.9853485688704</v>
      </c>
      <c r="AI738" s="2">
        <v>13.274512609293399</v>
      </c>
      <c r="AJ738" s="2">
        <v>30.812172252359399</v>
      </c>
      <c r="AK738" s="2">
        <v>5.2258899029637398</v>
      </c>
      <c r="AL738" s="2">
        <v>293.19441813661098</v>
      </c>
      <c r="AM738" s="2">
        <v>52.342721784226697</v>
      </c>
      <c r="AN738"/>
      <c r="AO738"/>
    </row>
    <row r="739" spans="1:41" ht="15.75" hidden="1" customHeight="1" x14ac:dyDescent="0.45">
      <c r="A739" s="2" t="s">
        <v>165</v>
      </c>
      <c r="B739" s="2" t="s">
        <v>122</v>
      </c>
      <c r="C739" s="2">
        <v>0.03</v>
      </c>
      <c r="D739" s="2"/>
      <c r="E739" s="2" t="s">
        <v>83</v>
      </c>
      <c r="F739" s="2" t="s">
        <v>84</v>
      </c>
      <c r="H739" s="2">
        <v>6.0000000000000001E-3</v>
      </c>
      <c r="J739" s="2">
        <v>6.0000000000000001E-3</v>
      </c>
      <c r="K739" s="2">
        <v>1.9454321644733299</v>
      </c>
      <c r="L739" s="2"/>
      <c r="M739" s="2">
        <v>2.3524306250287399</v>
      </c>
      <c r="N739" s="2">
        <v>65.988888888888795</v>
      </c>
      <c r="O739" s="2">
        <v>7.2549089383468797</v>
      </c>
      <c r="P739" s="2">
        <v>3.6269689845411102</v>
      </c>
      <c r="Q739" s="2">
        <v>1.7796262993549701</v>
      </c>
      <c r="R739" s="2">
        <v>5.2910052909999998E-2</v>
      </c>
      <c r="S739" s="2">
        <v>9.1642899871277494E-2</v>
      </c>
      <c r="T739" s="2">
        <v>10.5534723400144</v>
      </c>
      <c r="U739" s="2">
        <v>0.85609677787517202</v>
      </c>
      <c r="V739" s="2">
        <v>0</v>
      </c>
      <c r="W739" s="2">
        <v>0</v>
      </c>
      <c r="X739" s="2">
        <v>9.8106179323700005</v>
      </c>
      <c r="Y739" s="2">
        <v>1.9017380964485999</v>
      </c>
      <c r="Z739" s="7">
        <v>28.589145136183799</v>
      </c>
      <c r="AA739" s="2">
        <v>3.95234715010483</v>
      </c>
      <c r="AB739" s="7">
        <v>6.0729486827804902</v>
      </c>
      <c r="AC739" s="2">
        <v>7.5470941981481596</v>
      </c>
      <c r="AD739" s="2">
        <v>236.55033489965999</v>
      </c>
      <c r="AE739" s="2">
        <v>62.254516273024699</v>
      </c>
      <c r="AF739" s="2">
        <v>23.1837349183008</v>
      </c>
      <c r="AG739" s="2">
        <v>9.5723118390284991</v>
      </c>
      <c r="AH739" s="2">
        <v>4.5174783647570198</v>
      </c>
      <c r="AI739" s="2">
        <v>7.8245020498523399</v>
      </c>
      <c r="AJ739" s="2">
        <v>0</v>
      </c>
      <c r="AK739" s="2">
        <v>0</v>
      </c>
      <c r="AL739" s="2">
        <v>310.46537803537001</v>
      </c>
      <c r="AM739" s="2">
        <v>113.67530509189601</v>
      </c>
      <c r="AN739"/>
      <c r="AO739"/>
    </row>
    <row r="740" spans="1:41" ht="15.75" hidden="1" customHeight="1" x14ac:dyDescent="0.45">
      <c r="A740" s="2" t="s">
        <v>165</v>
      </c>
      <c r="B740" s="2" t="s">
        <v>122</v>
      </c>
      <c r="C740" s="2">
        <v>0.1</v>
      </c>
      <c r="D740" s="2"/>
      <c r="E740" s="2" t="s">
        <v>83</v>
      </c>
      <c r="F740" s="2" t="s">
        <v>84</v>
      </c>
      <c r="H740" s="2">
        <v>6.0000000000000001E-3</v>
      </c>
      <c r="J740" s="2">
        <v>6.0000000000000001E-3</v>
      </c>
      <c r="K740" s="2">
        <v>0</v>
      </c>
      <c r="L740" s="2"/>
      <c r="M740" s="2">
        <v>0</v>
      </c>
      <c r="N740" s="2">
        <v>44.8333333333333</v>
      </c>
      <c r="O740" s="2">
        <v>8.5163241940274794</v>
      </c>
      <c r="P740" s="2">
        <v>1.2779968877555501</v>
      </c>
      <c r="Q740" s="2">
        <v>1.1608324168873401</v>
      </c>
      <c r="R740" s="2">
        <v>0</v>
      </c>
      <c r="S740" s="2">
        <v>0</v>
      </c>
      <c r="T740" s="2">
        <v>26.209130929222201</v>
      </c>
      <c r="U740" s="2">
        <v>10.795470696812201</v>
      </c>
      <c r="V740" s="2">
        <v>0</v>
      </c>
      <c r="W740" s="2">
        <v>0</v>
      </c>
      <c r="X740" s="2">
        <v>6.8809479636499997</v>
      </c>
      <c r="Y740" s="2">
        <v>1.9084982088348399</v>
      </c>
      <c r="Z740" s="7">
        <v>19.312047490607501</v>
      </c>
      <c r="AA740" s="2">
        <v>3.0778827796003898</v>
      </c>
      <c r="AB740" s="7">
        <v>0</v>
      </c>
      <c r="AC740" s="2">
        <v>0</v>
      </c>
      <c r="AD740" s="2">
        <v>550.45178650566095</v>
      </c>
      <c r="AE740" s="2">
        <v>100.545165493962</v>
      </c>
      <c r="AF740" s="2">
        <v>8.1553406781900293</v>
      </c>
      <c r="AG740" s="2">
        <v>7.18861107474667</v>
      </c>
      <c r="AH740" s="2">
        <v>0</v>
      </c>
      <c r="AI740" s="2">
        <v>0</v>
      </c>
      <c r="AJ740" s="2">
        <v>0</v>
      </c>
      <c r="AK740" s="2">
        <v>0</v>
      </c>
      <c r="AL740" s="2">
        <v>219.39944121787701</v>
      </c>
      <c r="AM740" s="2">
        <v>94.448024162045598</v>
      </c>
      <c r="AN740"/>
      <c r="AO740"/>
    </row>
    <row r="741" spans="1:41" ht="15.75" hidden="1" customHeight="1" x14ac:dyDescent="0.45">
      <c r="A741" s="2" t="s">
        <v>165</v>
      </c>
      <c r="B741" s="2" t="s">
        <v>122</v>
      </c>
      <c r="C741" s="2">
        <v>0.3</v>
      </c>
      <c r="D741" s="2"/>
      <c r="E741" s="2" t="s">
        <v>83</v>
      </c>
      <c r="F741" s="2" t="s">
        <v>84</v>
      </c>
      <c r="H741" s="2">
        <v>6.0000000000000001E-3</v>
      </c>
      <c r="J741" s="2">
        <v>6.0000000000000001E-3</v>
      </c>
      <c r="K741" s="2">
        <v>0</v>
      </c>
      <c r="L741" s="2"/>
      <c r="M741" s="2">
        <v>0</v>
      </c>
      <c r="N741" s="2">
        <v>28</v>
      </c>
      <c r="O741" s="2">
        <v>8.6906718829891396</v>
      </c>
      <c r="P741" s="2">
        <v>0.86873638343888804</v>
      </c>
      <c r="Q741" s="2">
        <v>0.57887508675529797</v>
      </c>
      <c r="R741" s="2">
        <v>0.44376173408333303</v>
      </c>
      <c r="S741" s="2">
        <v>0.40506722260756001</v>
      </c>
      <c r="T741" s="2">
        <v>35.204357977611103</v>
      </c>
      <c r="U741" s="2">
        <v>9.6349147057085105</v>
      </c>
      <c r="V741" s="2">
        <v>0</v>
      </c>
      <c r="W741" s="2">
        <v>0</v>
      </c>
      <c r="X741" s="2">
        <v>1.64133948733333</v>
      </c>
      <c r="Y741" s="2">
        <v>1.37225551071951</v>
      </c>
      <c r="Z741" s="7">
        <v>12.0374956214827</v>
      </c>
      <c r="AA741" s="2">
        <v>3.4597195725913998</v>
      </c>
      <c r="AB741" s="7">
        <v>0</v>
      </c>
      <c r="AC741" s="2">
        <v>0</v>
      </c>
      <c r="AD741" s="2">
        <v>782.88692975254298</v>
      </c>
      <c r="AE741" s="2">
        <v>291.38140093330702</v>
      </c>
      <c r="AF741" s="2">
        <v>5.5743951208414098</v>
      </c>
      <c r="AG741" s="2">
        <v>3.4872531000843998</v>
      </c>
      <c r="AH741" s="2">
        <v>23.403433805754801</v>
      </c>
      <c r="AI741" s="2">
        <v>25.452672576969</v>
      </c>
      <c r="AJ741" s="2">
        <v>0</v>
      </c>
      <c r="AK741" s="2">
        <v>0</v>
      </c>
      <c r="AL741" s="2">
        <v>47.430144574413298</v>
      </c>
      <c r="AM741" s="2">
        <v>34.681413318295299</v>
      </c>
      <c r="AN741"/>
      <c r="AO741"/>
    </row>
    <row r="742" spans="1:41" ht="15.75" hidden="1" customHeight="1" x14ac:dyDescent="0.45">
      <c r="A742" s="2" t="s">
        <v>165</v>
      </c>
      <c r="B742" s="2" t="s">
        <v>122</v>
      </c>
      <c r="C742" s="2">
        <v>1</v>
      </c>
      <c r="D742" s="2"/>
      <c r="E742" s="2" t="s">
        <v>83</v>
      </c>
      <c r="F742" s="2" t="s">
        <v>84</v>
      </c>
      <c r="H742" s="2">
        <v>6.0000000000000001E-3</v>
      </c>
      <c r="J742" s="2">
        <v>6.0000000000000001E-3</v>
      </c>
      <c r="K742" s="2">
        <v>0</v>
      </c>
      <c r="L742" s="2"/>
      <c r="M742" s="2">
        <v>0</v>
      </c>
      <c r="N742" s="2">
        <v>23.0555555555555</v>
      </c>
      <c r="O742" s="2">
        <v>1.7821127702606501</v>
      </c>
      <c r="P742" s="2">
        <v>0</v>
      </c>
      <c r="Q742" s="2">
        <v>0</v>
      </c>
      <c r="R742" s="2">
        <v>0.30864197531111098</v>
      </c>
      <c r="S742" s="2">
        <v>0.53458358258726302</v>
      </c>
      <c r="T742" s="2">
        <v>29.9152516748388</v>
      </c>
      <c r="U742" s="2">
        <v>2.2018341810247102</v>
      </c>
      <c r="V742" s="2">
        <v>0.213675213677777</v>
      </c>
      <c r="W742" s="2">
        <v>0.37009632640804702</v>
      </c>
      <c r="X742" s="2">
        <v>3.1377687942277701</v>
      </c>
      <c r="Y742" s="2">
        <v>1.3231026989152099</v>
      </c>
      <c r="Z742" s="7">
        <v>9.9516610148420792</v>
      </c>
      <c r="AA742" s="2">
        <v>0.467185557605103</v>
      </c>
      <c r="AB742" s="7">
        <v>0</v>
      </c>
      <c r="AC742" s="2">
        <v>0</v>
      </c>
      <c r="AD742" s="2">
        <v>659.57990493699003</v>
      </c>
      <c r="AE742" s="2">
        <v>109.801115978589</v>
      </c>
      <c r="AF742" s="2">
        <v>0</v>
      </c>
      <c r="AG742" s="2">
        <v>0</v>
      </c>
      <c r="AH742" s="2">
        <v>26.351957127986498</v>
      </c>
      <c r="AI742" s="2">
        <v>45.642928624549398</v>
      </c>
      <c r="AJ742" s="2">
        <v>47.662281527546199</v>
      </c>
      <c r="AK742" s="2">
        <v>82.553493210361694</v>
      </c>
      <c r="AL742" s="2">
        <v>104.7864423151</v>
      </c>
      <c r="AM742" s="2">
        <v>71.825720647110103</v>
      </c>
      <c r="AN742"/>
      <c r="AO742"/>
    </row>
    <row r="743" spans="1:41" ht="15.75" hidden="1" customHeight="1" x14ac:dyDescent="0.45">
      <c r="A743" s="2" t="s">
        <v>165</v>
      </c>
      <c r="B743" s="2" t="s">
        <v>122</v>
      </c>
      <c r="C743" s="2">
        <v>3</v>
      </c>
      <c r="D743" s="2"/>
      <c r="E743" s="2" t="s">
        <v>83</v>
      </c>
      <c r="F743" s="2" t="s">
        <v>84</v>
      </c>
      <c r="H743" s="2">
        <v>6.0000000000000001E-3</v>
      </c>
      <c r="J743" s="2">
        <v>6.0000000000000001E-3</v>
      </c>
      <c r="K743" s="2">
        <v>0</v>
      </c>
      <c r="L743" s="2"/>
      <c r="M743" s="2">
        <v>0</v>
      </c>
      <c r="N743" s="2">
        <v>16.3888888888888</v>
      </c>
      <c r="O743" s="2">
        <v>4.70322978073263</v>
      </c>
      <c r="P743" s="2">
        <v>0</v>
      </c>
      <c r="Q743" s="2">
        <v>0</v>
      </c>
      <c r="R743" s="2">
        <v>0</v>
      </c>
      <c r="S743" s="2">
        <v>0</v>
      </c>
      <c r="T743" s="2">
        <v>34.854589315777702</v>
      </c>
      <c r="U743" s="2">
        <v>10.368613696206699</v>
      </c>
      <c r="V743" s="2">
        <v>0</v>
      </c>
      <c r="W743" s="2">
        <v>0</v>
      </c>
      <c r="X743" s="2">
        <v>3.16192838603888</v>
      </c>
      <c r="Y743" s="2">
        <v>1.37845176307522</v>
      </c>
      <c r="Z743" s="7">
        <v>7.0516955432150397</v>
      </c>
      <c r="AA743" s="2">
        <v>1.8849567802007501</v>
      </c>
      <c r="AB743" s="7">
        <v>0</v>
      </c>
      <c r="AC743" s="2">
        <v>0</v>
      </c>
      <c r="AD743" s="2">
        <v>756.92166130291605</v>
      </c>
      <c r="AE743" s="2">
        <v>215.12179047826899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106.31634113059501</v>
      </c>
      <c r="AM743" s="2">
        <v>74.253688051458994</v>
      </c>
      <c r="AN743"/>
      <c r="AO743"/>
    </row>
    <row r="744" spans="1:41" ht="15.75" hidden="1" customHeight="1" x14ac:dyDescent="0.45">
      <c r="A744" s="2" t="s">
        <v>165</v>
      </c>
      <c r="B744" s="2" t="s">
        <v>122</v>
      </c>
      <c r="C744" s="2">
        <v>10</v>
      </c>
      <c r="D744" s="2"/>
      <c r="E744" s="2" t="s">
        <v>83</v>
      </c>
      <c r="F744" s="2" t="s">
        <v>84</v>
      </c>
      <c r="H744" s="2">
        <v>6.0000000000000001E-3</v>
      </c>
      <c r="J744" s="2">
        <v>6.0000000000000001E-3</v>
      </c>
      <c r="K744" s="2">
        <v>0</v>
      </c>
      <c r="L744" s="2"/>
      <c r="M744" s="2">
        <v>0</v>
      </c>
      <c r="N744" s="2">
        <v>14.788888888888801</v>
      </c>
      <c r="O744" s="2">
        <v>2.9496390237400698</v>
      </c>
      <c r="P744" s="2">
        <v>0</v>
      </c>
      <c r="Q744" s="2">
        <v>0</v>
      </c>
      <c r="R744" s="2">
        <v>0.24154589372222199</v>
      </c>
      <c r="S744" s="2">
        <v>0.41836976028652101</v>
      </c>
      <c r="T744" s="2">
        <v>30.864450011375499</v>
      </c>
      <c r="U744" s="2">
        <v>7.9925479288331198</v>
      </c>
      <c r="V744" s="2">
        <v>0</v>
      </c>
      <c r="W744" s="2">
        <v>0</v>
      </c>
      <c r="X744" s="2">
        <v>2.8074523607688802</v>
      </c>
      <c r="Y744" s="2">
        <v>1.50008192498494</v>
      </c>
      <c r="Z744" s="7">
        <v>6.3897600518251503</v>
      </c>
      <c r="AA744" s="2">
        <v>1.27777209662068</v>
      </c>
      <c r="AB744" s="7">
        <v>0</v>
      </c>
      <c r="AC744" s="2">
        <v>0</v>
      </c>
      <c r="AD744" s="2">
        <v>684.34206469143601</v>
      </c>
      <c r="AE744" s="2">
        <v>233.97352035197801</v>
      </c>
      <c r="AF744" s="2">
        <v>0</v>
      </c>
      <c r="AG744" s="2">
        <v>0</v>
      </c>
      <c r="AH744" s="2">
        <v>15.3700260326407</v>
      </c>
      <c r="AI744" s="2">
        <v>26.62166600219</v>
      </c>
      <c r="AJ744" s="2">
        <v>0</v>
      </c>
      <c r="AK744" s="2">
        <v>0</v>
      </c>
      <c r="AL744" s="2">
        <v>80.1528091083308</v>
      </c>
      <c r="AM744" s="2">
        <v>31.9468721566139</v>
      </c>
      <c r="AN744"/>
      <c r="AO744"/>
    </row>
    <row r="745" spans="1:41" ht="15.75" hidden="1" customHeight="1" x14ac:dyDescent="0.45">
      <c r="A745" s="2" t="s">
        <v>165</v>
      </c>
      <c r="B745" s="2" t="s">
        <v>122</v>
      </c>
      <c r="C745" s="2">
        <v>3.0000000000000001E-3</v>
      </c>
      <c r="D745" s="2"/>
      <c r="E745" s="2" t="s">
        <v>83</v>
      </c>
      <c r="F745" s="2" t="s">
        <v>84</v>
      </c>
      <c r="H745" s="2">
        <v>0.02</v>
      </c>
      <c r="J745" s="2">
        <v>1.5834025000000002E-2</v>
      </c>
      <c r="K745" s="2">
        <v>24.830475432222201</v>
      </c>
      <c r="L745" s="2"/>
      <c r="M745" s="2">
        <v>7.4205533962321999</v>
      </c>
      <c r="N745" s="2">
        <v>212.111111111111</v>
      </c>
      <c r="O745" s="2">
        <v>14.9316343279531</v>
      </c>
      <c r="P745" s="2">
        <v>39.483771834999999</v>
      </c>
      <c r="Q745" s="2">
        <v>1.6072752053835</v>
      </c>
      <c r="R745" s="2">
        <v>2.4075651706666599</v>
      </c>
      <c r="S745" s="2">
        <v>0.63255073506621995</v>
      </c>
      <c r="T745" s="2">
        <v>3.83181141822222</v>
      </c>
      <c r="U745" s="2">
        <v>2.5162414523351102</v>
      </c>
      <c r="V745" s="2">
        <v>0.36537571566666599</v>
      </c>
      <c r="W745" s="2">
        <v>0.192581833239613</v>
      </c>
      <c r="X745" s="2">
        <v>3.0845857977777702</v>
      </c>
      <c r="Y745" s="2">
        <v>0.53059110945964305</v>
      </c>
      <c r="Z745" s="7">
        <v>76.055776892430302</v>
      </c>
      <c r="AA745" s="2">
        <v>5.35397246819036</v>
      </c>
      <c r="AB745" s="7">
        <v>62.200250915875003</v>
      </c>
      <c r="AC745" s="2">
        <v>18.588459348681202</v>
      </c>
      <c r="AD745" s="2">
        <v>86.547449935065302</v>
      </c>
      <c r="AE745" s="2">
        <v>56.833246042558599</v>
      </c>
      <c r="AF745" s="2">
        <v>116.760843867791</v>
      </c>
      <c r="AG745" s="2">
        <v>4.7530111888145701</v>
      </c>
      <c r="AH745" s="2">
        <v>64.454297453364305</v>
      </c>
      <c r="AI745" s="2">
        <v>16.934375745688602</v>
      </c>
      <c r="AJ745" s="2">
        <v>77.690136436808103</v>
      </c>
      <c r="AK745" s="2">
        <v>40.9488322789514</v>
      </c>
      <c r="AL745" s="2">
        <v>91.613515899490594</v>
      </c>
      <c r="AM745" s="2">
        <v>15.758782614388201</v>
      </c>
      <c r="AN745"/>
      <c r="AO745"/>
    </row>
    <row r="746" spans="1:41" ht="15.75" hidden="1" customHeight="1" x14ac:dyDescent="0.45">
      <c r="A746" s="2" t="s">
        <v>165</v>
      </c>
      <c r="B746" s="2" t="s">
        <v>122</v>
      </c>
      <c r="C746" s="2">
        <v>0.01</v>
      </c>
      <c r="D746" s="2"/>
      <c r="E746" s="2" t="s">
        <v>83</v>
      </c>
      <c r="F746" s="2" t="s">
        <v>84</v>
      </c>
      <c r="H746" s="2">
        <v>0.02</v>
      </c>
      <c r="J746" s="2">
        <v>1.5834025000000002E-2</v>
      </c>
      <c r="K746" s="2">
        <v>27.508743718333299</v>
      </c>
      <c r="L746" s="2"/>
      <c r="M746" s="2">
        <v>2.1932168955248899</v>
      </c>
      <c r="N746" s="2">
        <v>175.166666666666</v>
      </c>
      <c r="O746" s="2">
        <v>31.715313511159302</v>
      </c>
      <c r="P746" s="2">
        <v>45.317466940555498</v>
      </c>
      <c r="Q746" s="2">
        <v>6.0767422269426303</v>
      </c>
      <c r="R746" s="2">
        <v>2.6161201356111099</v>
      </c>
      <c r="S746" s="2">
        <v>0.20367608559104899</v>
      </c>
      <c r="T746" s="2">
        <v>2.70125049205555</v>
      </c>
      <c r="U746" s="2">
        <v>0.73534707133654198</v>
      </c>
      <c r="V746" s="2">
        <v>0.146635699944444</v>
      </c>
      <c r="W746" s="2">
        <v>0.18973018262709801</v>
      </c>
      <c r="X746" s="2">
        <v>2.8071767813888799</v>
      </c>
      <c r="Y746" s="2">
        <v>0.50981631431238394</v>
      </c>
      <c r="Z746" s="7">
        <v>62.808764940239001</v>
      </c>
      <c r="AA746" s="2">
        <v>11.3720247649575</v>
      </c>
      <c r="AB746" s="7">
        <v>68.909303260477401</v>
      </c>
      <c r="AC746" s="2">
        <v>5.4940003701079503</v>
      </c>
      <c r="AD746" s="2">
        <v>61.011964370552001</v>
      </c>
      <c r="AE746" s="2">
        <v>16.6089629408023</v>
      </c>
      <c r="AF746" s="2">
        <v>134.01216337795699</v>
      </c>
      <c r="AG746" s="2">
        <v>17.970054972202899</v>
      </c>
      <c r="AH746" s="2">
        <v>70.037641119273502</v>
      </c>
      <c r="AI746" s="2">
        <v>5.45272840991767</v>
      </c>
      <c r="AJ746" s="2">
        <v>31.179268480951301</v>
      </c>
      <c r="AK746" s="2">
        <v>40.342483483295503</v>
      </c>
      <c r="AL746" s="2">
        <v>83.374349606267401</v>
      </c>
      <c r="AM746" s="2">
        <v>15.1417623237213</v>
      </c>
      <c r="AN746"/>
      <c r="AO746"/>
    </row>
    <row r="747" spans="1:41" ht="15.75" hidden="1" customHeight="1" x14ac:dyDescent="0.45">
      <c r="A747" s="2" t="s">
        <v>165</v>
      </c>
      <c r="B747" s="2" t="s">
        <v>122</v>
      </c>
      <c r="C747" s="2">
        <v>0.03</v>
      </c>
      <c r="D747" s="2"/>
      <c r="E747" s="2" t="s">
        <v>83</v>
      </c>
      <c r="F747" s="2" t="s">
        <v>84</v>
      </c>
      <c r="H747" s="2">
        <v>0.02</v>
      </c>
      <c r="J747" s="2">
        <v>1.5834025000000002E-2</v>
      </c>
      <c r="K747" s="2">
        <v>12.538994317722199</v>
      </c>
      <c r="L747" s="2"/>
      <c r="M747" s="2">
        <v>2.7015702494893201</v>
      </c>
      <c r="N747" s="2">
        <v>93.2777777777777</v>
      </c>
      <c r="O747" s="2">
        <v>6.3120989054821797</v>
      </c>
      <c r="P747" s="2">
        <v>47.147173127222203</v>
      </c>
      <c r="Q747" s="2">
        <v>1.02155453371202</v>
      </c>
      <c r="R747" s="2">
        <v>0.90264998105555505</v>
      </c>
      <c r="S747" s="2">
        <v>0.49201414699450402</v>
      </c>
      <c r="T747" s="2">
        <v>2.1397665067777698</v>
      </c>
      <c r="U747" s="2">
        <v>0.97198082034448796</v>
      </c>
      <c r="V747" s="2">
        <v>0.22200575149999999</v>
      </c>
      <c r="W747" s="2">
        <v>8.9669271722734895E-2</v>
      </c>
      <c r="X747" s="2">
        <v>3.45794175238888</v>
      </c>
      <c r="Y747" s="2">
        <v>0.64356121913767395</v>
      </c>
      <c r="Z747" s="7">
        <v>33.446215139442202</v>
      </c>
      <c r="AA747" s="2">
        <v>2.2633023963880299</v>
      </c>
      <c r="AB747" s="7">
        <v>31.4101352961993</v>
      </c>
      <c r="AC747" s="2">
        <v>6.76742367836572</v>
      </c>
      <c r="AD747" s="2">
        <v>48.329970973362499</v>
      </c>
      <c r="AE747" s="2">
        <v>21.953706016575602</v>
      </c>
      <c r="AF747" s="2">
        <v>139.42294427493201</v>
      </c>
      <c r="AG747" s="2">
        <v>3.0209264178619399</v>
      </c>
      <c r="AH747" s="2">
        <v>24.165356387473501</v>
      </c>
      <c r="AI747" s="2">
        <v>13.171990759803901</v>
      </c>
      <c r="AJ747" s="2">
        <v>47.205264017946398</v>
      </c>
      <c r="AK747" s="2">
        <v>19.0664503841409</v>
      </c>
      <c r="AL747" s="2">
        <v>102.702347245526</v>
      </c>
      <c r="AM747" s="2">
        <v>19.114043131573901</v>
      </c>
      <c r="AN747"/>
      <c r="AO747"/>
    </row>
    <row r="748" spans="1:41" ht="15.75" hidden="1" customHeight="1" x14ac:dyDescent="0.45">
      <c r="A748" s="2" t="s">
        <v>165</v>
      </c>
      <c r="B748" s="2" t="s">
        <v>122</v>
      </c>
      <c r="C748" s="2">
        <v>0.1</v>
      </c>
      <c r="D748" s="2"/>
      <c r="E748" s="2" t="s">
        <v>83</v>
      </c>
      <c r="F748" s="2" t="s">
        <v>84</v>
      </c>
      <c r="H748" s="2">
        <v>0.02</v>
      </c>
      <c r="J748" s="2">
        <v>1.5834025000000002E-2</v>
      </c>
      <c r="K748" s="2">
        <v>2.1940517097777699</v>
      </c>
      <c r="L748" s="2"/>
      <c r="M748" s="2">
        <v>0.74962534727450103</v>
      </c>
      <c r="N748" s="2">
        <v>66.9444444444444</v>
      </c>
      <c r="O748" s="2">
        <v>4.4388854123196699</v>
      </c>
      <c r="P748" s="2">
        <v>26.953741738888802</v>
      </c>
      <c r="Q748" s="2">
        <v>3.1886886500871001</v>
      </c>
      <c r="R748" s="2">
        <v>0.48037191033333299</v>
      </c>
      <c r="S748" s="2">
        <v>0.44737394936795799</v>
      </c>
      <c r="T748" s="2">
        <v>2.9111835120555498</v>
      </c>
      <c r="U748" s="2">
        <v>2.0272739232457901</v>
      </c>
      <c r="V748" s="2">
        <v>7.8247261333333304E-2</v>
      </c>
      <c r="W748" s="2">
        <v>0.135528232182453</v>
      </c>
      <c r="X748" s="2">
        <v>4.9318276781666599</v>
      </c>
      <c r="Y748" s="2">
        <v>2.5109520871440201</v>
      </c>
      <c r="Z748" s="7">
        <v>24.003984063745001</v>
      </c>
      <c r="AA748" s="2">
        <v>1.59163221955685</v>
      </c>
      <c r="AB748" s="7">
        <v>5.4960915767841501</v>
      </c>
      <c r="AC748" s="2">
        <v>1.8778087765837399</v>
      </c>
      <c r="AD748" s="2">
        <v>65.753629748906306</v>
      </c>
      <c r="AE748" s="2">
        <v>45.789150150343701</v>
      </c>
      <c r="AF748" s="2">
        <v>79.707218549911602</v>
      </c>
      <c r="AG748" s="2">
        <v>9.4295443498076992</v>
      </c>
      <c r="AH748" s="2">
        <v>12.8603098159506</v>
      </c>
      <c r="AI748" s="2">
        <v>11.976902622106</v>
      </c>
      <c r="AJ748" s="2">
        <v>16.6377789988078</v>
      </c>
      <c r="AK748" s="2">
        <v>28.817478551037599</v>
      </c>
      <c r="AL748" s="2">
        <v>146.477388871068</v>
      </c>
      <c r="AM748" s="2">
        <v>74.576349642844605</v>
      </c>
      <c r="AN748"/>
      <c r="AO748"/>
    </row>
    <row r="749" spans="1:41" ht="15.75" hidden="1" customHeight="1" x14ac:dyDescent="0.45">
      <c r="A749" s="2" t="s">
        <v>165</v>
      </c>
      <c r="B749" s="2" t="s">
        <v>122</v>
      </c>
      <c r="C749" s="2">
        <v>0.3</v>
      </c>
      <c r="D749" s="2"/>
      <c r="E749" s="2" t="s">
        <v>83</v>
      </c>
      <c r="F749" s="2" t="s">
        <v>84</v>
      </c>
      <c r="H749" s="2">
        <v>0.02</v>
      </c>
      <c r="J749" s="2">
        <v>1.5834025000000002E-2</v>
      </c>
      <c r="K749" s="2">
        <v>0</v>
      </c>
      <c r="L749" s="2"/>
      <c r="M749" s="2">
        <v>0</v>
      </c>
      <c r="N749" s="2">
        <v>21.7222222222222</v>
      </c>
      <c r="O749" s="2">
        <v>2.7954990278686802</v>
      </c>
      <c r="P749" s="2">
        <v>17.6382583573888</v>
      </c>
      <c r="Q749" s="2">
        <v>2.1346766091681499</v>
      </c>
      <c r="R749" s="2">
        <v>1.6051822573888801</v>
      </c>
      <c r="S749" s="2">
        <v>2.2279834308124702</v>
      </c>
      <c r="T749" s="2">
        <v>3.8080808081111099</v>
      </c>
      <c r="U749" s="2">
        <v>1.72016969433614</v>
      </c>
      <c r="V749" s="2">
        <v>0</v>
      </c>
      <c r="W749" s="2">
        <v>0</v>
      </c>
      <c r="X749" s="2">
        <v>8.4053548835555496</v>
      </c>
      <c r="Y749" s="2">
        <v>1.3804623167871299</v>
      </c>
      <c r="Z749" s="7">
        <v>7.78884462151394</v>
      </c>
      <c r="AA749" s="2">
        <v>1.0023701693553</v>
      </c>
      <c r="AB749" s="7">
        <v>0</v>
      </c>
      <c r="AC749" s="2">
        <v>0</v>
      </c>
      <c r="AD749" s="2">
        <v>86.011457015175495</v>
      </c>
      <c r="AE749" s="2">
        <v>38.8527211418576</v>
      </c>
      <c r="AF749" s="2">
        <v>52.159604679441301</v>
      </c>
      <c r="AG749" s="2">
        <v>6.3126350570785199</v>
      </c>
      <c r="AH749" s="2">
        <v>42.9732478045267</v>
      </c>
      <c r="AI749" s="2">
        <v>59.646612486502299</v>
      </c>
      <c r="AJ749" s="2">
        <v>0</v>
      </c>
      <c r="AK749" s="2">
        <v>0</v>
      </c>
      <c r="AL749" s="2">
        <v>249.64263072865</v>
      </c>
      <c r="AM749" s="2">
        <v>41.0003205288495</v>
      </c>
      <c r="AN749"/>
      <c r="AO749"/>
    </row>
    <row r="750" spans="1:41" ht="15.75" hidden="1" customHeight="1" x14ac:dyDescent="0.45">
      <c r="A750" s="2" t="s">
        <v>165</v>
      </c>
      <c r="B750" s="2" t="s">
        <v>122</v>
      </c>
      <c r="C750" s="2">
        <v>1</v>
      </c>
      <c r="D750" s="2"/>
      <c r="E750" s="2" t="s">
        <v>83</v>
      </c>
      <c r="F750" s="2" t="s">
        <v>84</v>
      </c>
      <c r="H750" s="2">
        <v>0.02</v>
      </c>
      <c r="J750" s="2">
        <v>1.5834025000000002E-2</v>
      </c>
      <c r="K750" s="2">
        <v>0</v>
      </c>
      <c r="L750" s="2"/>
      <c r="M750" s="2">
        <v>0</v>
      </c>
      <c r="N750" s="2">
        <v>5.8333333333333304</v>
      </c>
      <c r="O750" s="2">
        <v>1.4433756729740601</v>
      </c>
      <c r="P750" s="2">
        <v>6.6666666666666599</v>
      </c>
      <c r="Q750" s="2">
        <v>11.5470053837925</v>
      </c>
      <c r="R750" s="2">
        <v>0</v>
      </c>
      <c r="S750" s="2">
        <v>0</v>
      </c>
      <c r="T750" s="2">
        <v>8.6309523816666598</v>
      </c>
      <c r="U750" s="2">
        <v>14.949248042754199</v>
      </c>
      <c r="V750" s="2">
        <v>0</v>
      </c>
      <c r="W750" s="2">
        <v>0</v>
      </c>
      <c r="X750" s="2">
        <v>0</v>
      </c>
      <c r="Y750" s="2">
        <v>0</v>
      </c>
      <c r="Z750" s="7">
        <v>2.0916334661354501</v>
      </c>
      <c r="AA750" s="2">
        <v>0.517545062022573</v>
      </c>
      <c r="AB750" s="7">
        <v>0</v>
      </c>
      <c r="AC750" s="2">
        <v>0</v>
      </c>
      <c r="AD750" s="2">
        <v>194.943549568207</v>
      </c>
      <c r="AE750" s="2">
        <v>337.65213245995699</v>
      </c>
      <c r="AF750" s="2">
        <v>19.714571065757902</v>
      </c>
      <c r="AG750" s="2">
        <v>34.146638735320003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/>
      <c r="AO750"/>
    </row>
    <row r="751" spans="1:41" ht="15.75" hidden="1" customHeight="1" x14ac:dyDescent="0.45">
      <c r="A751" s="2" t="s">
        <v>165</v>
      </c>
      <c r="B751" s="2" t="s">
        <v>122</v>
      </c>
      <c r="C751" s="2">
        <v>3</v>
      </c>
      <c r="D751" s="2"/>
      <c r="E751" s="2" t="s">
        <v>83</v>
      </c>
      <c r="F751" s="2" t="s">
        <v>84</v>
      </c>
      <c r="H751" s="2">
        <v>0.02</v>
      </c>
      <c r="J751" s="2">
        <v>1.5834025000000002E-2</v>
      </c>
      <c r="K751" s="2">
        <v>0</v>
      </c>
      <c r="L751" s="2"/>
      <c r="M751" s="2">
        <v>0</v>
      </c>
      <c r="N751" s="2">
        <v>6.3333333333333304</v>
      </c>
      <c r="O751" s="2">
        <v>0.57735026918962695</v>
      </c>
      <c r="P751" s="2">
        <v>5.5555555566666603</v>
      </c>
      <c r="Q751" s="2">
        <v>9.6225044884182598</v>
      </c>
      <c r="R751" s="2">
        <v>9.7222222233333309</v>
      </c>
      <c r="S751" s="2">
        <v>8.6736083324432798</v>
      </c>
      <c r="T751" s="2">
        <v>28.611111108888799</v>
      </c>
      <c r="U751" s="2">
        <v>8.1791288115952003</v>
      </c>
      <c r="V751" s="2">
        <v>0</v>
      </c>
      <c r="W751" s="2">
        <v>0</v>
      </c>
      <c r="X751" s="2">
        <v>2.7777777777777701</v>
      </c>
      <c r="Y751" s="2">
        <v>4.8112522432468801</v>
      </c>
      <c r="Z751" s="7">
        <v>2.2709163346613499</v>
      </c>
      <c r="AA751" s="2">
        <v>0.20701802480902901</v>
      </c>
      <c r="AB751" s="7">
        <v>0</v>
      </c>
      <c r="AC751" s="2">
        <v>0</v>
      </c>
      <c r="AD751" s="2">
        <v>646.22666306266103</v>
      </c>
      <c r="AE751" s="2">
        <v>184.73840804577199</v>
      </c>
      <c r="AF751" s="2">
        <v>16.428809224750701</v>
      </c>
      <c r="AG751" s="2">
        <v>28.455532285124399</v>
      </c>
      <c r="AH751" s="2">
        <v>260.27914455869802</v>
      </c>
      <c r="AI751" s="2">
        <v>232.20610526546</v>
      </c>
      <c r="AJ751" s="2">
        <v>0</v>
      </c>
      <c r="AK751" s="2">
        <v>0</v>
      </c>
      <c r="AL751" s="2">
        <v>82.501186640044807</v>
      </c>
      <c r="AM751" s="2">
        <v>142.89624694528001</v>
      </c>
      <c r="AN751"/>
      <c r="AO751"/>
    </row>
    <row r="752" spans="1:41" ht="15.75" hidden="1" customHeight="1" x14ac:dyDescent="0.45">
      <c r="A752" s="2" t="s">
        <v>165</v>
      </c>
      <c r="B752" s="2" t="s">
        <v>122</v>
      </c>
      <c r="C752" s="2">
        <v>10</v>
      </c>
      <c r="D752" s="2"/>
      <c r="E752" s="2" t="s">
        <v>83</v>
      </c>
      <c r="F752" s="2" t="s">
        <v>84</v>
      </c>
      <c r="H752" s="2">
        <v>0.02</v>
      </c>
      <c r="J752" s="2">
        <v>1.5834025000000002E-2</v>
      </c>
      <c r="K752" s="2">
        <v>0</v>
      </c>
      <c r="L752" s="2"/>
      <c r="M752" s="2">
        <v>0</v>
      </c>
      <c r="N752" s="2">
        <v>7.75</v>
      </c>
      <c r="O752" s="2">
        <v>3.1819805153394598</v>
      </c>
      <c r="P752" s="2">
        <v>0</v>
      </c>
      <c r="Q752" s="2">
        <v>0</v>
      </c>
      <c r="R752" s="2">
        <v>34.166666667499896</v>
      </c>
      <c r="S752" s="2">
        <v>5.8925565110664397</v>
      </c>
      <c r="T752" s="2">
        <v>40</v>
      </c>
      <c r="U752" s="2">
        <v>56.568542494923797</v>
      </c>
      <c r="V752" s="2">
        <v>0</v>
      </c>
      <c r="W752" s="2">
        <v>0</v>
      </c>
      <c r="X752" s="2">
        <v>5</v>
      </c>
      <c r="Y752" s="2">
        <v>7.0710678118654702</v>
      </c>
      <c r="Z752" s="7">
        <v>2.7788844621513902</v>
      </c>
      <c r="AA752" s="2">
        <v>1.1409491887671299</v>
      </c>
      <c r="AB752" s="7">
        <v>0</v>
      </c>
      <c r="AC752" s="2">
        <v>0</v>
      </c>
      <c r="AD752" s="2">
        <v>903.46251930340702</v>
      </c>
      <c r="AE752" s="2">
        <v>1277.68894789464</v>
      </c>
      <c r="AF752" s="2">
        <v>0</v>
      </c>
      <c r="AG752" s="2">
        <v>0</v>
      </c>
      <c r="AH752" s="2">
        <v>914.69527936691202</v>
      </c>
      <c r="AI752" s="2">
        <v>157.75298411542701</v>
      </c>
      <c r="AJ752" s="2">
        <v>0</v>
      </c>
      <c r="AK752" s="2">
        <v>0</v>
      </c>
      <c r="AL752" s="2">
        <v>148.50213595208001</v>
      </c>
      <c r="AM752" s="2">
        <v>210.01373470480499</v>
      </c>
      <c r="AN752"/>
      <c r="AO752"/>
    </row>
    <row r="753" spans="1:41" ht="15.75" hidden="1" customHeight="1" x14ac:dyDescent="0.45">
      <c r="A753" s="2" t="s">
        <v>165</v>
      </c>
      <c r="B753" s="2" t="s">
        <v>122</v>
      </c>
      <c r="C753" s="2">
        <v>3.0000000000000001E-3</v>
      </c>
      <c r="D753" s="2"/>
      <c r="E753" s="2" t="s">
        <v>85</v>
      </c>
      <c r="F753" s="2" t="s">
        <v>84</v>
      </c>
      <c r="G753" s="2" t="s">
        <v>86</v>
      </c>
      <c r="H753" s="2">
        <v>0.05</v>
      </c>
      <c r="I753" s="2">
        <v>3539</v>
      </c>
      <c r="J753" s="2">
        <v>0.05</v>
      </c>
      <c r="K753" s="2">
        <v>5.7870370372222202E-2</v>
      </c>
      <c r="L753" s="2"/>
      <c r="M753" s="2">
        <v>0.100234421737517</v>
      </c>
      <c r="N753" s="2">
        <v>118.166666666666</v>
      </c>
      <c r="O753" s="2">
        <v>12.1803575937289</v>
      </c>
      <c r="P753" s="2">
        <v>0.102679621486666</v>
      </c>
      <c r="Q753" s="2">
        <v>9.4935016147581E-2</v>
      </c>
      <c r="R753" s="2">
        <v>5.7870370372222202E-2</v>
      </c>
      <c r="S753" s="2">
        <v>0.100234421737517</v>
      </c>
      <c r="T753" s="2">
        <v>13.7685235292666</v>
      </c>
      <c r="U753" s="2">
        <v>0.89796910199487801</v>
      </c>
      <c r="V753" s="2">
        <v>5.7870370372222202E-2</v>
      </c>
      <c r="W753" s="2">
        <v>0.100234421737517</v>
      </c>
      <c r="X753" s="2">
        <v>0.83180160156666605</v>
      </c>
      <c r="Y753" s="2">
        <v>8.2002440973612603E-2</v>
      </c>
      <c r="Z753" s="7">
        <v>76.6533296293305</v>
      </c>
      <c r="AA753" s="2">
        <v>10.012358613014699</v>
      </c>
      <c r="AB753" s="7">
        <v>1.51008862506067</v>
      </c>
      <c r="AC753" s="2">
        <v>2.6155502225369101</v>
      </c>
      <c r="AD753" s="2">
        <v>184.504652901638</v>
      </c>
      <c r="AE753" s="2">
        <v>54.309151250510297</v>
      </c>
      <c r="AF753" s="2">
        <v>55.853687085457103</v>
      </c>
      <c r="AG753" s="2">
        <v>48.804441680392202</v>
      </c>
      <c r="AH753" s="2">
        <v>27.648518783222801</v>
      </c>
      <c r="AI753" s="2">
        <v>47.888639286564398</v>
      </c>
      <c r="AJ753" s="2">
        <v>0</v>
      </c>
      <c r="AK753" s="2">
        <v>0</v>
      </c>
      <c r="AL753" s="2">
        <v>214.819084557271</v>
      </c>
      <c r="AM753" s="2">
        <v>38.114609686559398</v>
      </c>
      <c r="AN753"/>
      <c r="AO753"/>
    </row>
    <row r="754" spans="1:41" ht="15.75" hidden="1" customHeight="1" x14ac:dyDescent="0.45">
      <c r="A754" s="2" t="s">
        <v>165</v>
      </c>
      <c r="B754" s="2" t="s">
        <v>122</v>
      </c>
      <c r="C754" s="2">
        <v>0.01</v>
      </c>
      <c r="D754" s="2"/>
      <c r="E754" s="2" t="s">
        <v>85</v>
      </c>
      <c r="F754" s="2" t="s">
        <v>84</v>
      </c>
      <c r="G754" s="2" t="s">
        <v>86</v>
      </c>
      <c r="H754" s="2">
        <v>0.05</v>
      </c>
      <c r="I754" s="2">
        <v>3539</v>
      </c>
      <c r="J754" s="2">
        <v>0.05</v>
      </c>
      <c r="K754" s="2">
        <v>0</v>
      </c>
      <c r="L754" s="2"/>
      <c r="M754" s="2">
        <v>0</v>
      </c>
      <c r="N754" s="2">
        <v>93.3333333333333</v>
      </c>
      <c r="O754" s="2">
        <v>10.2143689640299</v>
      </c>
      <c r="P754" s="2">
        <v>5.91016548444444E-2</v>
      </c>
      <c r="Q754" s="2">
        <v>0.10236706900197701</v>
      </c>
      <c r="R754" s="2">
        <v>0</v>
      </c>
      <c r="S754" s="2">
        <v>0</v>
      </c>
      <c r="T754" s="2">
        <v>19.246081693794402</v>
      </c>
      <c r="U754" s="2">
        <v>3.2249045252919202</v>
      </c>
      <c r="V754" s="2">
        <v>0</v>
      </c>
      <c r="W754" s="2">
        <v>0</v>
      </c>
      <c r="X754" s="2">
        <v>0.64575026299722205</v>
      </c>
      <c r="Y754" s="2">
        <v>0.40576679611393401</v>
      </c>
      <c r="Z754" s="7">
        <v>60.463271877162697</v>
      </c>
      <c r="AA754" s="2">
        <v>7.0175514510947696</v>
      </c>
      <c r="AB754" s="7">
        <v>0</v>
      </c>
      <c r="AC754" s="2">
        <v>0</v>
      </c>
      <c r="AD754" s="2">
        <v>253.14766782028099</v>
      </c>
      <c r="AE754" s="2">
        <v>65.826686764177794</v>
      </c>
      <c r="AF754" s="2">
        <v>44.175983048267</v>
      </c>
      <c r="AG754" s="2">
        <v>76.515047113899996</v>
      </c>
      <c r="AH754" s="2">
        <v>0</v>
      </c>
      <c r="AI754" s="2">
        <v>0</v>
      </c>
      <c r="AJ754" s="2">
        <v>0</v>
      </c>
      <c r="AK754" s="2">
        <v>0</v>
      </c>
      <c r="AL754" s="2">
        <v>153.394574527272</v>
      </c>
      <c r="AM754" s="2">
        <v>60.259120475820502</v>
      </c>
      <c r="AN754"/>
      <c r="AO754"/>
    </row>
    <row r="755" spans="1:41" ht="15.75" hidden="1" customHeight="1" x14ac:dyDescent="0.45">
      <c r="A755" s="2" t="s">
        <v>165</v>
      </c>
      <c r="B755" s="2" t="s">
        <v>122</v>
      </c>
      <c r="C755" s="2">
        <v>0.03</v>
      </c>
      <c r="D755" s="2"/>
      <c r="E755" s="2" t="s">
        <v>85</v>
      </c>
      <c r="F755" s="2" t="s">
        <v>84</v>
      </c>
      <c r="G755" s="2" t="s">
        <v>86</v>
      </c>
      <c r="H755" s="2">
        <v>0.05</v>
      </c>
      <c r="I755" s="2">
        <v>3539</v>
      </c>
      <c r="J755" s="2">
        <v>0.05</v>
      </c>
      <c r="K755" s="2">
        <v>0</v>
      </c>
      <c r="L755" s="2"/>
      <c r="M755" s="2">
        <v>0</v>
      </c>
      <c r="N755" s="2">
        <v>84.1666666666666</v>
      </c>
      <c r="O755" s="2">
        <v>4.8847836299178198</v>
      </c>
      <c r="P755" s="2">
        <v>8.1699346405555498E-2</v>
      </c>
      <c r="Q755" s="2">
        <v>0.14150741891959101</v>
      </c>
      <c r="R755" s="2">
        <v>0</v>
      </c>
      <c r="S755" s="2">
        <v>0</v>
      </c>
      <c r="T755" s="2">
        <v>22.581198621055499</v>
      </c>
      <c r="U755" s="2">
        <v>4.3020238751999704</v>
      </c>
      <c r="V755" s="2">
        <v>8.0515297905555505E-2</v>
      </c>
      <c r="W755" s="2">
        <v>0.13945658675896599</v>
      </c>
      <c r="X755" s="2">
        <v>0.97277698075666597</v>
      </c>
      <c r="Y755" s="2">
        <v>0.32599781776870401</v>
      </c>
      <c r="Z755" s="7">
        <v>54.611868849094201</v>
      </c>
      <c r="AA755" s="2">
        <v>5.4712814556740703</v>
      </c>
      <c r="AB755" s="7">
        <v>0</v>
      </c>
      <c r="AC755" s="2">
        <v>0</v>
      </c>
      <c r="AD755" s="2">
        <v>292.09079684863002</v>
      </c>
      <c r="AE755" s="2">
        <v>46.236887438539299</v>
      </c>
      <c r="AF755" s="2">
        <v>61.066800098332202</v>
      </c>
      <c r="AG755" s="2">
        <v>105.770800425963</v>
      </c>
      <c r="AH755" s="2">
        <v>0</v>
      </c>
      <c r="AI755" s="2">
        <v>0</v>
      </c>
      <c r="AJ755" s="2">
        <v>3026.0869564990398</v>
      </c>
      <c r="AK755" s="2">
        <v>0</v>
      </c>
      <c r="AL755" s="2">
        <v>265.26593922807399</v>
      </c>
      <c r="AM755" s="2">
        <v>129.60224735609501</v>
      </c>
      <c r="AN755"/>
      <c r="AO755"/>
    </row>
    <row r="756" spans="1:41" ht="15.75" hidden="1" customHeight="1" x14ac:dyDescent="0.45">
      <c r="A756" s="2" t="s">
        <v>165</v>
      </c>
      <c r="B756" s="2" t="s">
        <v>122</v>
      </c>
      <c r="C756" s="2">
        <v>0.1</v>
      </c>
      <c r="D756" s="2"/>
      <c r="E756" s="2" t="s">
        <v>85</v>
      </c>
      <c r="F756" s="2" t="s">
        <v>84</v>
      </c>
      <c r="G756" s="2" t="s">
        <v>86</v>
      </c>
      <c r="H756" s="2">
        <v>0.05</v>
      </c>
      <c r="I756" s="2">
        <v>3539</v>
      </c>
      <c r="J756" s="2">
        <v>0.05</v>
      </c>
      <c r="K756" s="2">
        <v>0</v>
      </c>
      <c r="L756" s="2"/>
      <c r="M756" s="2">
        <v>0</v>
      </c>
      <c r="N756" s="2">
        <v>73.2777777777777</v>
      </c>
      <c r="O756" s="2">
        <v>6.1786670023499299</v>
      </c>
      <c r="P756" s="2">
        <v>0.21786492374999999</v>
      </c>
      <c r="Q756" s="2">
        <v>0.377353117122119</v>
      </c>
      <c r="R756" s="2">
        <v>0.52410901467777704</v>
      </c>
      <c r="S756" s="2">
        <v>0.90778344212677298</v>
      </c>
      <c r="T756" s="2">
        <v>22.2343029956055</v>
      </c>
      <c r="U756" s="2">
        <v>4.3139257446409296</v>
      </c>
      <c r="V756" s="2">
        <v>0</v>
      </c>
      <c r="W756" s="2">
        <v>0</v>
      </c>
      <c r="X756" s="2">
        <v>1.1074305154499999</v>
      </c>
      <c r="Y756" s="2">
        <v>0.65768209324082605</v>
      </c>
      <c r="Z756" s="7">
        <v>47.356032720313003</v>
      </c>
      <c r="AA756" s="2">
        <v>2.1392465143763899</v>
      </c>
      <c r="AB756" s="7">
        <v>0</v>
      </c>
      <c r="AC756" s="2">
        <v>0</v>
      </c>
      <c r="AD756" s="2">
        <v>287.744723490355</v>
      </c>
      <c r="AE756" s="2">
        <v>48.592403918661098</v>
      </c>
      <c r="AF756" s="2">
        <v>63.431920804176102</v>
      </c>
      <c r="AG756" s="2">
        <v>109.867309654518</v>
      </c>
      <c r="AH756" s="2">
        <v>113.242123723454</v>
      </c>
      <c r="AI756" s="2">
        <v>196.14111184602299</v>
      </c>
      <c r="AJ756" s="2">
        <v>0</v>
      </c>
      <c r="AK756" s="2">
        <v>0</v>
      </c>
      <c r="AL756" s="2">
        <v>309.681317493096</v>
      </c>
      <c r="AM756" s="2">
        <v>218.300481039365</v>
      </c>
      <c r="AN756"/>
      <c r="AO756"/>
    </row>
    <row r="757" spans="1:41" ht="15.75" hidden="1" customHeight="1" x14ac:dyDescent="0.45">
      <c r="A757" s="2" t="s">
        <v>165</v>
      </c>
      <c r="B757" s="2" t="s">
        <v>122</v>
      </c>
      <c r="C757" s="2">
        <v>0.3</v>
      </c>
      <c r="D757" s="2"/>
      <c r="E757" s="2" t="s">
        <v>85</v>
      </c>
      <c r="F757" s="2" t="s">
        <v>84</v>
      </c>
      <c r="G757" s="2" t="s">
        <v>86</v>
      </c>
      <c r="H757" s="2">
        <v>0.05</v>
      </c>
      <c r="I757" s="2">
        <v>3539</v>
      </c>
      <c r="J757" s="2">
        <v>0.05</v>
      </c>
      <c r="K757" s="2">
        <v>0</v>
      </c>
      <c r="L757" s="2"/>
      <c r="M757" s="2">
        <v>0</v>
      </c>
      <c r="N757" s="2">
        <v>49.4444444444444</v>
      </c>
      <c r="O757" s="2">
        <v>7.5135679742518997</v>
      </c>
      <c r="P757" s="2">
        <v>0.19499178981666601</v>
      </c>
      <c r="Q757" s="2">
        <v>0.16894578851529901</v>
      </c>
      <c r="R757" s="2">
        <v>0.104821802933333</v>
      </c>
      <c r="S757" s="2">
        <v>0.18155668842150499</v>
      </c>
      <c r="T757" s="2">
        <v>29.6354658433333</v>
      </c>
      <c r="U757" s="2">
        <v>6.59055977692576</v>
      </c>
      <c r="V757" s="2">
        <v>0</v>
      </c>
      <c r="W757" s="2">
        <v>0</v>
      </c>
      <c r="X757" s="2">
        <v>0.85391217203999903</v>
      </c>
      <c r="Y757" s="2">
        <v>0.52853043101292196</v>
      </c>
      <c r="Z757" s="7">
        <v>31.917024787473899</v>
      </c>
      <c r="AA757" s="2">
        <v>3.9564174389079501</v>
      </c>
      <c r="AB757" s="7">
        <v>0</v>
      </c>
      <c r="AC757" s="2">
        <v>0</v>
      </c>
      <c r="AD757" s="2">
        <v>411.47588780229597</v>
      </c>
      <c r="AE757" s="2">
        <v>180.964995688491</v>
      </c>
      <c r="AF757" s="2">
        <v>113.685115512937</v>
      </c>
      <c r="AG757" s="2">
        <v>111.310149633755</v>
      </c>
      <c r="AH757" s="2">
        <v>50.080335906830001</v>
      </c>
      <c r="AI757" s="2">
        <v>86.741686250745502</v>
      </c>
      <c r="AJ757" s="2">
        <v>0</v>
      </c>
      <c r="AK757" s="2">
        <v>0</v>
      </c>
      <c r="AL757" s="2">
        <v>234.21080739857899</v>
      </c>
      <c r="AM757" s="2">
        <v>174.74942856470099</v>
      </c>
      <c r="AN757"/>
      <c r="AO757"/>
    </row>
    <row r="758" spans="1:41" ht="15.75" hidden="1" customHeight="1" x14ac:dyDescent="0.45">
      <c r="A758" s="2" t="s">
        <v>165</v>
      </c>
      <c r="B758" s="2" t="s">
        <v>122</v>
      </c>
      <c r="C758" s="2">
        <v>1</v>
      </c>
      <c r="D758" s="2"/>
      <c r="E758" s="2" t="s">
        <v>85</v>
      </c>
      <c r="F758" s="2" t="s">
        <v>84</v>
      </c>
      <c r="G758" s="2" t="s">
        <v>86</v>
      </c>
      <c r="H758" s="2">
        <v>0.05</v>
      </c>
      <c r="I758" s="2">
        <v>3539</v>
      </c>
      <c r="J758" s="2">
        <v>0.05</v>
      </c>
      <c r="K758" s="2">
        <v>0</v>
      </c>
      <c r="L758" s="2"/>
      <c r="M758" s="2">
        <v>0</v>
      </c>
      <c r="N758" s="2">
        <v>33.7777777777777</v>
      </c>
      <c r="O758" s="2">
        <v>5.0230948111180398</v>
      </c>
      <c r="P758" s="2">
        <v>0</v>
      </c>
      <c r="Q758" s="2">
        <v>0</v>
      </c>
      <c r="R758" s="2">
        <v>0.32679738562222199</v>
      </c>
      <c r="S758" s="2">
        <v>0.56602967567836704</v>
      </c>
      <c r="T758" s="2">
        <v>41.664048066333301</v>
      </c>
      <c r="U758" s="2">
        <v>7.1069796197989001</v>
      </c>
      <c r="V758" s="2">
        <v>0</v>
      </c>
      <c r="W758" s="2">
        <v>0</v>
      </c>
      <c r="X758" s="2">
        <v>0.77561744591666604</v>
      </c>
      <c r="Y758" s="2">
        <v>0.68341409822064303</v>
      </c>
      <c r="Z758" s="7">
        <v>21.9363042425327</v>
      </c>
      <c r="AA758" s="2">
        <v>3.9550102945818701</v>
      </c>
      <c r="AB758" s="7">
        <v>0</v>
      </c>
      <c r="AC758" s="2">
        <v>0</v>
      </c>
      <c r="AD758" s="2">
        <v>561.90750785295495</v>
      </c>
      <c r="AE758" s="2">
        <v>218.306667611878</v>
      </c>
      <c r="AF758" s="2">
        <v>0</v>
      </c>
      <c r="AG758" s="2">
        <v>0</v>
      </c>
      <c r="AH758" s="2">
        <v>156.13281194794499</v>
      </c>
      <c r="AI758" s="2">
        <v>270.42996302243802</v>
      </c>
      <c r="AJ758" s="2">
        <v>0</v>
      </c>
      <c r="AK758" s="2">
        <v>0</v>
      </c>
      <c r="AL758" s="2">
        <v>219.047704708456</v>
      </c>
      <c r="AM758" s="2">
        <v>210.61143873471599</v>
      </c>
      <c r="AN758"/>
      <c r="AO758"/>
    </row>
    <row r="759" spans="1:41" ht="15.75" hidden="1" customHeight="1" x14ac:dyDescent="0.45">
      <c r="A759" s="2" t="s">
        <v>165</v>
      </c>
      <c r="B759" s="2" t="s">
        <v>122</v>
      </c>
      <c r="C759" s="2">
        <v>3</v>
      </c>
      <c r="D759" s="2"/>
      <c r="E759" s="2" t="s">
        <v>85</v>
      </c>
      <c r="F759" s="2" t="s">
        <v>84</v>
      </c>
      <c r="G759" s="2" t="s">
        <v>86</v>
      </c>
      <c r="H759" s="2">
        <v>0.05</v>
      </c>
      <c r="I759" s="2">
        <v>3539</v>
      </c>
      <c r="J759" s="2">
        <v>0.05</v>
      </c>
      <c r="K759" s="2">
        <v>0</v>
      </c>
      <c r="L759" s="2"/>
      <c r="M759" s="2">
        <v>0</v>
      </c>
      <c r="N759" s="2">
        <v>32.3888888888888</v>
      </c>
      <c r="O759" s="2">
        <v>3.2375116187408399</v>
      </c>
      <c r="P759" s="2">
        <v>6.5359477122222204E-2</v>
      </c>
      <c r="Q759" s="2">
        <v>0.113205935131824</v>
      </c>
      <c r="R759" s="2">
        <v>0.168240135561111</v>
      </c>
      <c r="S759" s="2">
        <v>0.15619281438933599</v>
      </c>
      <c r="T759" s="2">
        <v>44.206519710666598</v>
      </c>
      <c r="U759" s="2">
        <v>0.30968759964965697</v>
      </c>
      <c r="V759" s="2">
        <v>0</v>
      </c>
      <c r="W759" s="2">
        <v>0</v>
      </c>
      <c r="X759" s="2">
        <v>1.1982224988722201</v>
      </c>
      <c r="Y759" s="2">
        <v>1.11455479559627</v>
      </c>
      <c r="Z759" s="7">
        <v>21.011144494875101</v>
      </c>
      <c r="AA759" s="2">
        <v>2.7035437815769501</v>
      </c>
      <c r="AB759" s="7">
        <v>0</v>
      </c>
      <c r="AC759" s="2">
        <v>0</v>
      </c>
      <c r="AD759" s="2">
        <v>594.164355103106</v>
      </c>
      <c r="AE759" s="2">
        <v>180.68282200234401</v>
      </c>
      <c r="AF759" s="2">
        <v>26.975167142815799</v>
      </c>
      <c r="AG759" s="2">
        <v>46.722360034019601</v>
      </c>
      <c r="AH759" s="2">
        <v>53.455571860630698</v>
      </c>
      <c r="AI759" s="2">
        <v>48.221100451969697</v>
      </c>
      <c r="AJ759" s="2">
        <v>0</v>
      </c>
      <c r="AK759" s="2">
        <v>0</v>
      </c>
      <c r="AL759" s="2">
        <v>272.97552079916102</v>
      </c>
      <c r="AM759" s="2">
        <v>205.15912395383901</v>
      </c>
      <c r="AN759"/>
      <c r="AO759"/>
    </row>
    <row r="760" spans="1:41" ht="15.75" hidden="1" customHeight="1" x14ac:dyDescent="0.45">
      <c r="A760" s="2" t="s">
        <v>165</v>
      </c>
      <c r="B760" s="2" t="s">
        <v>122</v>
      </c>
      <c r="C760" s="2">
        <v>10</v>
      </c>
      <c r="D760" s="2"/>
      <c r="E760" s="2" t="s">
        <v>85</v>
      </c>
      <c r="F760" s="2" t="s">
        <v>84</v>
      </c>
      <c r="G760" s="2" t="s">
        <v>86</v>
      </c>
      <c r="H760" s="2">
        <v>0.05</v>
      </c>
      <c r="I760" s="2">
        <v>3539</v>
      </c>
      <c r="J760" s="2">
        <v>0.05</v>
      </c>
      <c r="K760" s="2">
        <v>0</v>
      </c>
      <c r="L760" s="2"/>
      <c r="M760" s="2">
        <v>0</v>
      </c>
      <c r="N760" s="2">
        <v>36.244444444444397</v>
      </c>
      <c r="O760" s="2">
        <v>11.015208341870499</v>
      </c>
      <c r="P760" s="2">
        <v>0</v>
      </c>
      <c r="Q760" s="2">
        <v>0</v>
      </c>
      <c r="R760" s="2">
        <v>1.54953145916888</v>
      </c>
      <c r="S760" s="2">
        <v>2.2792786359640602</v>
      </c>
      <c r="T760" s="2">
        <v>42.535461834577703</v>
      </c>
      <c r="U760" s="2">
        <v>6.8044694680499997</v>
      </c>
      <c r="V760" s="2">
        <v>0</v>
      </c>
      <c r="W760" s="2">
        <v>0</v>
      </c>
      <c r="X760" s="2">
        <v>0.59736244031777697</v>
      </c>
      <c r="Y760" s="2">
        <v>0.36449188520092102</v>
      </c>
      <c r="Z760" s="7">
        <v>23.6932102262166</v>
      </c>
      <c r="AA760" s="2">
        <v>8.3160480794981506</v>
      </c>
      <c r="AB760" s="7">
        <v>0</v>
      </c>
      <c r="AC760" s="2">
        <v>0</v>
      </c>
      <c r="AD760" s="2">
        <v>585.26492654223102</v>
      </c>
      <c r="AE760" s="2">
        <v>233.50655126943099</v>
      </c>
      <c r="AF760" s="2">
        <v>0</v>
      </c>
      <c r="AG760" s="2">
        <v>0</v>
      </c>
      <c r="AH760" s="2">
        <v>698.273843878398</v>
      </c>
      <c r="AI760" s="2">
        <v>1120.47838390481</v>
      </c>
      <c r="AJ760" s="2">
        <v>0</v>
      </c>
      <c r="AK760" s="2">
        <v>0</v>
      </c>
      <c r="AL760" s="2">
        <v>167.70584389374301</v>
      </c>
      <c r="AM760" s="2">
        <v>118.89159543089799</v>
      </c>
      <c r="AN760"/>
      <c r="AO760"/>
    </row>
    <row r="761" spans="1:41" ht="15.75" hidden="1" customHeight="1" x14ac:dyDescent="0.45">
      <c r="A761" s="2" t="s">
        <v>166</v>
      </c>
      <c r="B761" s="2" t="s">
        <v>167</v>
      </c>
      <c r="C761" s="2">
        <v>3.0000000000000001E-3</v>
      </c>
      <c r="D761" s="2"/>
      <c r="E761" s="2" t="s">
        <v>109</v>
      </c>
      <c r="F761" s="2" t="s">
        <v>84</v>
      </c>
      <c r="H761" s="2">
        <v>1.1000000000000001</v>
      </c>
      <c r="J761" s="2">
        <v>1.1000000000000001</v>
      </c>
      <c r="K761" s="2">
        <v>26.1111111111111</v>
      </c>
      <c r="L761" s="2"/>
      <c r="M761" s="2">
        <v>22.615342219469099</v>
      </c>
      <c r="N761" s="2">
        <v>159.666666666666</v>
      </c>
      <c r="O761" s="2">
        <v>7.9074507761840502</v>
      </c>
      <c r="P761" s="2">
        <v>18</v>
      </c>
      <c r="Q761" s="2">
        <v>1.92209376577845</v>
      </c>
      <c r="R761" s="2">
        <v>2.1666666666666599</v>
      </c>
      <c r="S761" s="2">
        <v>0.33333333333333598</v>
      </c>
      <c r="T761" s="2">
        <v>4.3333333333333304</v>
      </c>
      <c r="U761" s="2">
        <v>1.20185042515466</v>
      </c>
      <c r="V761" s="2">
        <v>0.66666666666666596</v>
      </c>
      <c r="W761" s="2">
        <v>0.16666666666666699</v>
      </c>
      <c r="X761" s="2">
        <v>2.4444444444444402</v>
      </c>
      <c r="Y761" s="2">
        <v>0.67357531405456506</v>
      </c>
      <c r="Z761" s="7">
        <v>111.212150527232</v>
      </c>
      <c r="AA761" s="2">
        <v>5.5077532735343997</v>
      </c>
      <c r="AB761" s="7">
        <v>73.4375</v>
      </c>
      <c r="AC761" s="2">
        <v>63.6056499922569</v>
      </c>
      <c r="AD761" s="2">
        <v>88.636363636363598</v>
      </c>
      <c r="AE761" s="2">
        <v>24.5833041508909</v>
      </c>
      <c r="AF761" s="2">
        <v>107.28476821192</v>
      </c>
      <c r="AG761" s="2">
        <v>11.456188007951001</v>
      </c>
      <c r="AH761" s="2">
        <v>92.857142857142804</v>
      </c>
      <c r="AI761" s="2">
        <v>14.2857142857144</v>
      </c>
      <c r="AJ761" s="2">
        <v>109.09090909090899</v>
      </c>
      <c r="AK761" s="2">
        <v>27.272727272727298</v>
      </c>
      <c r="AL761" s="2">
        <v>108.64197530864099</v>
      </c>
      <c r="AM761" s="2">
        <v>29.936680624647298</v>
      </c>
      <c r="AN761"/>
      <c r="AO761"/>
    </row>
    <row r="762" spans="1:41" ht="15.75" hidden="1" customHeight="1" x14ac:dyDescent="0.45">
      <c r="A762" s="2" t="s">
        <v>166</v>
      </c>
      <c r="B762" s="2" t="s">
        <v>167</v>
      </c>
      <c r="C762" s="2">
        <v>0.01</v>
      </c>
      <c r="D762" s="2"/>
      <c r="E762" s="2" t="s">
        <v>109</v>
      </c>
      <c r="F762" s="2" t="s">
        <v>84</v>
      </c>
      <c r="H762" s="2">
        <v>1.1000000000000001</v>
      </c>
      <c r="J762" s="2">
        <v>1.1000000000000001</v>
      </c>
      <c r="K762" s="2">
        <v>36</v>
      </c>
      <c r="L762" s="2"/>
      <c r="M762" s="2">
        <v>4.2524502740576198</v>
      </c>
      <c r="N762" s="2">
        <v>167.666666666666</v>
      </c>
      <c r="O762" s="2">
        <v>7.5956859100706096</v>
      </c>
      <c r="P762" s="2">
        <v>19.4444444444444</v>
      </c>
      <c r="Q762" s="2">
        <v>2.8690558519278402</v>
      </c>
      <c r="R762" s="2">
        <v>2.55555555555555</v>
      </c>
      <c r="S762" s="2">
        <v>0.58531409738070805</v>
      </c>
      <c r="T762" s="2">
        <v>5.5</v>
      </c>
      <c r="U762" s="2">
        <v>0.44095855184411198</v>
      </c>
      <c r="V762" s="2">
        <v>0.38888888888888801</v>
      </c>
      <c r="W762" s="2">
        <v>0.38490017945975002</v>
      </c>
      <c r="X762" s="2">
        <v>2.1666666666666599</v>
      </c>
      <c r="Y762" s="2">
        <v>0.86602540378443904</v>
      </c>
      <c r="Z762" s="7">
        <v>116.784366837573</v>
      </c>
      <c r="AA762" s="2">
        <v>5.2906006145408098</v>
      </c>
      <c r="AB762" s="7">
        <v>101.25</v>
      </c>
      <c r="AC762" s="2">
        <v>11.960016395786999</v>
      </c>
      <c r="AD762" s="2">
        <v>112.5</v>
      </c>
      <c r="AE762" s="2">
        <v>9.0196067422659407</v>
      </c>
      <c r="AF762" s="2">
        <v>115.894039735099</v>
      </c>
      <c r="AG762" s="2">
        <v>17.100332892285099</v>
      </c>
      <c r="AH762" s="2">
        <v>109.52380952380901</v>
      </c>
      <c r="AI762" s="2">
        <v>25.084889887744598</v>
      </c>
      <c r="AJ762" s="2">
        <v>63.636363636363598</v>
      </c>
      <c r="AK762" s="2">
        <v>62.9836657297773</v>
      </c>
      <c r="AL762" s="2">
        <v>96.296296296296305</v>
      </c>
      <c r="AM762" s="2">
        <v>38.490017945974998</v>
      </c>
      <c r="AN762"/>
      <c r="AO762"/>
    </row>
    <row r="763" spans="1:41" ht="15.75" hidden="1" customHeight="1" x14ac:dyDescent="0.45">
      <c r="A763" s="2" t="s">
        <v>166</v>
      </c>
      <c r="B763" s="2" t="s">
        <v>167</v>
      </c>
      <c r="C763" s="2">
        <v>0.03</v>
      </c>
      <c r="D763" s="2"/>
      <c r="E763" s="2" t="s">
        <v>109</v>
      </c>
      <c r="F763" s="2" t="s">
        <v>84</v>
      </c>
      <c r="H763" s="2">
        <v>1.1000000000000001</v>
      </c>
      <c r="J763" s="2">
        <v>1.1000000000000001</v>
      </c>
      <c r="K763" s="2">
        <v>27.2777777777777</v>
      </c>
      <c r="L763" s="2"/>
      <c r="M763" s="2">
        <v>13.2385520076501</v>
      </c>
      <c r="N763" s="2">
        <v>158.222222222222</v>
      </c>
      <c r="O763" s="2">
        <v>17.2275081493821</v>
      </c>
      <c r="P763" s="2">
        <v>18.2222222222222</v>
      </c>
      <c r="Q763" s="2">
        <v>3.9592835116881901</v>
      </c>
      <c r="R763" s="2">
        <v>2.2777777777777701</v>
      </c>
      <c r="S763" s="2">
        <v>1.1097213530798899</v>
      </c>
      <c r="T763" s="2">
        <v>4.4444444444444402</v>
      </c>
      <c r="U763" s="2">
        <v>1.0844011831079401</v>
      </c>
      <c r="V763" s="2">
        <v>0.72222222222222199</v>
      </c>
      <c r="W763" s="2">
        <v>9.6225044864937201E-2</v>
      </c>
      <c r="X763" s="2">
        <v>2.1666666666666599</v>
      </c>
      <c r="Y763" s="2">
        <v>0.44095855184410099</v>
      </c>
      <c r="Z763" s="7">
        <v>110.206055915642</v>
      </c>
      <c r="AA763" s="2">
        <v>11.999425237065999</v>
      </c>
      <c r="AB763" s="7">
        <v>76.71875</v>
      </c>
      <c r="AC763" s="2">
        <v>37.233427521516099</v>
      </c>
      <c r="AD763" s="2">
        <v>90.909090909090907</v>
      </c>
      <c r="AE763" s="2">
        <v>22.180933290844301</v>
      </c>
      <c r="AF763" s="2">
        <v>108.60927152317799</v>
      </c>
      <c r="AG763" s="2">
        <v>23.5983785464859</v>
      </c>
      <c r="AH763" s="2">
        <v>97.619047619047606</v>
      </c>
      <c r="AI763" s="2">
        <v>47.559486560567002</v>
      </c>
      <c r="AJ763" s="2">
        <v>118.181818181818</v>
      </c>
      <c r="AK763" s="2">
        <v>15.745916432444201</v>
      </c>
      <c r="AL763" s="2">
        <v>96.296296296296305</v>
      </c>
      <c r="AM763" s="2">
        <v>19.5981578597378</v>
      </c>
      <c r="AN763"/>
      <c r="AO763"/>
    </row>
    <row r="764" spans="1:41" ht="15.75" hidden="1" customHeight="1" x14ac:dyDescent="0.45">
      <c r="A764" s="2" t="s">
        <v>166</v>
      </c>
      <c r="B764" s="2" t="s">
        <v>167</v>
      </c>
      <c r="C764" s="2">
        <v>0.1</v>
      </c>
      <c r="D764" s="2"/>
      <c r="E764" s="2" t="s">
        <v>109</v>
      </c>
      <c r="F764" s="2" t="s">
        <v>84</v>
      </c>
      <c r="H764" s="2">
        <v>1.1000000000000001</v>
      </c>
      <c r="J764" s="2">
        <v>1.1000000000000001</v>
      </c>
      <c r="K764" s="2">
        <v>41.4444444444444</v>
      </c>
      <c r="L764" s="2"/>
      <c r="M764" s="2">
        <v>1.1824331474327801</v>
      </c>
      <c r="N764" s="2">
        <v>153.388888888888</v>
      </c>
      <c r="O764" s="2">
        <v>15.000308638799901</v>
      </c>
      <c r="P764" s="2">
        <v>20.4444444444444</v>
      </c>
      <c r="Q764" s="2">
        <v>2.2628235393795699</v>
      </c>
      <c r="R764" s="2">
        <v>2</v>
      </c>
      <c r="S764" s="2">
        <v>0.57735026918962395</v>
      </c>
      <c r="T764" s="2">
        <v>4.8888888888888804</v>
      </c>
      <c r="U764" s="2">
        <v>1.0183501544346301</v>
      </c>
      <c r="V764" s="2">
        <v>0.66666666666666596</v>
      </c>
      <c r="W764" s="2">
        <v>1.05367121277235E-8</v>
      </c>
      <c r="X764" s="2">
        <v>2.38888888888888</v>
      </c>
      <c r="Y764" s="2">
        <v>0.53575837561072004</v>
      </c>
      <c r="Z764" s="7">
        <v>106.839508561478</v>
      </c>
      <c r="AA764" s="2">
        <v>10.4481205571596</v>
      </c>
      <c r="AB764" s="7">
        <v>116.5625</v>
      </c>
      <c r="AC764" s="2">
        <v>3.3255932271547102</v>
      </c>
      <c r="AD764" s="2">
        <v>100</v>
      </c>
      <c r="AE764" s="2">
        <v>20.8298895225265</v>
      </c>
      <c r="AF764" s="2">
        <v>121.854304635761</v>
      </c>
      <c r="AG764" s="2">
        <v>13.4870277181564</v>
      </c>
      <c r="AH764" s="2">
        <v>85.714285714285694</v>
      </c>
      <c r="AI764" s="2">
        <v>24.743582965269599</v>
      </c>
      <c r="AJ764" s="2">
        <v>109.09090909090899</v>
      </c>
      <c r="AK764" s="2">
        <v>1.72418925726384E-6</v>
      </c>
      <c r="AL764" s="2">
        <v>106.172839506172</v>
      </c>
      <c r="AM764" s="2">
        <v>23.811483360476402</v>
      </c>
      <c r="AN764"/>
      <c r="AO764"/>
    </row>
    <row r="765" spans="1:41" ht="15.75" hidden="1" customHeight="1" x14ac:dyDescent="0.45">
      <c r="A765" s="2" t="s">
        <v>166</v>
      </c>
      <c r="B765" s="2" t="s">
        <v>167</v>
      </c>
      <c r="C765" s="2">
        <v>0.3</v>
      </c>
      <c r="D765" s="2"/>
      <c r="E765" s="2" t="s">
        <v>109</v>
      </c>
      <c r="F765" s="2" t="s">
        <v>84</v>
      </c>
      <c r="H765" s="2">
        <v>1.1000000000000001</v>
      </c>
      <c r="J765" s="2">
        <v>1.1000000000000001</v>
      </c>
      <c r="K765" s="2">
        <v>34.5555555555555</v>
      </c>
      <c r="L765" s="2"/>
      <c r="M765" s="2">
        <v>3.9381796885438498</v>
      </c>
      <c r="N765" s="2">
        <v>144.333333333333</v>
      </c>
      <c r="O765" s="2">
        <v>6.5255906501508099</v>
      </c>
      <c r="P765" s="2">
        <v>20.6111111111111</v>
      </c>
      <c r="Q765" s="2">
        <v>2.7905263010831902</v>
      </c>
      <c r="R765" s="2">
        <v>2.1666666666666599</v>
      </c>
      <c r="S765" s="2">
        <v>0.66666666666666696</v>
      </c>
      <c r="T765" s="2">
        <v>3.3333333333333299</v>
      </c>
      <c r="U765" s="2">
        <v>0.88191710368819698</v>
      </c>
      <c r="V765" s="2">
        <v>0.5</v>
      </c>
      <c r="W765" s="2">
        <v>0.16666666666666599</v>
      </c>
      <c r="X765" s="2">
        <v>2.7777777777777701</v>
      </c>
      <c r="Y765" s="2">
        <v>0.41943524640392998</v>
      </c>
      <c r="Z765" s="7">
        <v>100.532069265744</v>
      </c>
      <c r="AA765" s="2">
        <v>4.5452503319227899</v>
      </c>
      <c r="AB765" s="7">
        <v>97.1875</v>
      </c>
      <c r="AC765" s="2">
        <v>11.0761303740295</v>
      </c>
      <c r="AD765" s="2">
        <v>68.181818181818102</v>
      </c>
      <c r="AE765" s="2">
        <v>18.039213484531299</v>
      </c>
      <c r="AF765" s="2">
        <v>122.847682119205</v>
      </c>
      <c r="AG765" s="2">
        <v>16.632275966721</v>
      </c>
      <c r="AH765" s="2">
        <v>92.857142857142804</v>
      </c>
      <c r="AI765" s="2">
        <v>28.571428571428601</v>
      </c>
      <c r="AJ765" s="2">
        <v>81.818181818181799</v>
      </c>
      <c r="AK765" s="2">
        <v>27.272727272727199</v>
      </c>
      <c r="AL765" s="2">
        <v>123.456790123456</v>
      </c>
      <c r="AM765" s="2">
        <v>18.641566506841301</v>
      </c>
      <c r="AN765"/>
      <c r="AO765"/>
    </row>
    <row r="766" spans="1:41" ht="15.75" hidden="1" customHeight="1" x14ac:dyDescent="0.45">
      <c r="A766" s="2" t="s">
        <v>166</v>
      </c>
      <c r="B766" s="2" t="s">
        <v>167</v>
      </c>
      <c r="C766" s="2">
        <v>1</v>
      </c>
      <c r="D766" s="2"/>
      <c r="E766" s="2" t="s">
        <v>109</v>
      </c>
      <c r="F766" s="2" t="s">
        <v>84</v>
      </c>
      <c r="H766" s="2">
        <v>1.1000000000000001</v>
      </c>
      <c r="J766" s="2">
        <v>1.1000000000000001</v>
      </c>
      <c r="K766" s="2">
        <v>9.2222222222222197</v>
      </c>
      <c r="L766" s="2"/>
      <c r="M766" s="2">
        <v>10.363307780247901</v>
      </c>
      <c r="N766" s="2">
        <v>63.6666666666666</v>
      </c>
      <c r="O766" s="2">
        <v>29.7634190090975</v>
      </c>
      <c r="P766" s="2">
        <v>17.9444444444444</v>
      </c>
      <c r="Q766" s="2">
        <v>4.9450686247719204</v>
      </c>
      <c r="R766" s="2">
        <v>0.38888888888888801</v>
      </c>
      <c r="S766" s="2">
        <v>0.41943524640392998</v>
      </c>
      <c r="T766" s="2">
        <v>7.7777777777777697</v>
      </c>
      <c r="U766" s="2">
        <v>4.0322771803609001</v>
      </c>
      <c r="V766" s="2">
        <v>0.33333333333333298</v>
      </c>
      <c r="W766" s="2">
        <v>0.28867513459481298</v>
      </c>
      <c r="X766" s="2">
        <v>4.6111111111111098</v>
      </c>
      <c r="Y766" s="2">
        <v>1.61875580937038</v>
      </c>
      <c r="Z766" s="7">
        <v>44.345554803134299</v>
      </c>
      <c r="AA766" s="2">
        <v>20.731026106752601</v>
      </c>
      <c r="AB766" s="7">
        <v>25.9375</v>
      </c>
      <c r="AC766" s="2">
        <v>29.146803131947401</v>
      </c>
      <c r="AD766" s="2">
        <v>159.09090909090901</v>
      </c>
      <c r="AE766" s="2">
        <v>82.478396871018404</v>
      </c>
      <c r="AF766" s="2">
        <v>106.953642384105</v>
      </c>
      <c r="AG766" s="2">
        <v>29.4739189555942</v>
      </c>
      <c r="AH766" s="2">
        <v>16.6666666666666</v>
      </c>
      <c r="AI766" s="2">
        <v>17.975796274454101</v>
      </c>
      <c r="AJ766" s="2">
        <v>54.545454545454497</v>
      </c>
      <c r="AK766" s="2">
        <v>47.237749297333004</v>
      </c>
      <c r="AL766" s="2">
        <v>204.938271604938</v>
      </c>
      <c r="AM766" s="2">
        <v>71.944702638683694</v>
      </c>
      <c r="AN766"/>
      <c r="AO766"/>
    </row>
    <row r="767" spans="1:41" ht="15.75" hidden="1" customHeight="1" x14ac:dyDescent="0.45">
      <c r="A767" s="2" t="s">
        <v>166</v>
      </c>
      <c r="B767" s="2" t="s">
        <v>167</v>
      </c>
      <c r="C767" s="2">
        <v>3</v>
      </c>
      <c r="D767" s="2"/>
      <c r="E767" s="2" t="s">
        <v>109</v>
      </c>
      <c r="F767" s="2" t="s">
        <v>84</v>
      </c>
      <c r="H767" s="2">
        <v>1.1000000000000001</v>
      </c>
      <c r="J767" s="2">
        <v>1.1000000000000001</v>
      </c>
      <c r="K767" s="2">
        <v>0</v>
      </c>
      <c r="L767" s="2"/>
      <c r="M767" s="2">
        <v>0</v>
      </c>
      <c r="N767" s="2">
        <v>25.8888888888888</v>
      </c>
      <c r="O767" s="2">
        <v>1.456149158009</v>
      </c>
      <c r="P767" s="2">
        <v>0</v>
      </c>
      <c r="Q767" s="2">
        <v>0</v>
      </c>
      <c r="R767" s="2">
        <v>0</v>
      </c>
      <c r="S767" s="2">
        <v>0</v>
      </c>
      <c r="T767" s="2">
        <v>84</v>
      </c>
      <c r="U767" s="2">
        <v>14.4952099367726</v>
      </c>
      <c r="V767" s="2">
        <v>0</v>
      </c>
      <c r="W767" s="2">
        <v>0</v>
      </c>
      <c r="X767" s="2">
        <v>2</v>
      </c>
      <c r="Y767" s="2">
        <v>0.88191710368819598</v>
      </c>
      <c r="Z767" s="7">
        <v>18.0323111154106</v>
      </c>
      <c r="AA767" s="2">
        <v>1.0142472610684701</v>
      </c>
      <c r="AB767" s="7">
        <v>0</v>
      </c>
      <c r="AC767" s="2">
        <v>0</v>
      </c>
      <c r="AD767" s="2">
        <v>1718.1818181818101</v>
      </c>
      <c r="AE767" s="2">
        <v>296.49293052489401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88.8888888888888</v>
      </c>
      <c r="AM767" s="2">
        <v>39.1963157194754</v>
      </c>
      <c r="AN767"/>
      <c r="AO767"/>
    </row>
    <row r="768" spans="1:41" ht="15.75" hidden="1" customHeight="1" x14ac:dyDescent="0.45">
      <c r="A768" s="2" t="s">
        <v>166</v>
      </c>
      <c r="B768" s="2" t="s">
        <v>167</v>
      </c>
      <c r="C768" s="2">
        <v>10</v>
      </c>
      <c r="D768" s="2"/>
      <c r="E768" s="2" t="s">
        <v>109</v>
      </c>
      <c r="F768" s="2" t="s">
        <v>84</v>
      </c>
      <c r="H768" s="2">
        <v>1.1000000000000001</v>
      </c>
      <c r="J768" s="2">
        <v>1.1000000000000001</v>
      </c>
      <c r="K768" s="2">
        <v>0</v>
      </c>
      <c r="L768" s="2"/>
      <c r="M768" s="2">
        <v>0</v>
      </c>
      <c r="N768" s="2">
        <v>31.5</v>
      </c>
      <c r="O768" s="2">
        <v>3.2829526005987</v>
      </c>
      <c r="P768" s="2">
        <v>0</v>
      </c>
      <c r="Q768" s="2">
        <v>0</v>
      </c>
      <c r="R768" s="2">
        <v>0</v>
      </c>
      <c r="S768" s="2">
        <v>0</v>
      </c>
      <c r="T768" s="2">
        <v>89</v>
      </c>
      <c r="U768" s="2">
        <v>2.9202359113227798</v>
      </c>
      <c r="V768" s="2">
        <v>0</v>
      </c>
      <c r="W768" s="2">
        <v>0</v>
      </c>
      <c r="X768" s="2">
        <v>1.2777777777777699</v>
      </c>
      <c r="Y768" s="2">
        <v>1.13447654759234</v>
      </c>
      <c r="Z768" s="7">
        <v>21.9406017219696</v>
      </c>
      <c r="AA768" s="2">
        <v>2.2866652533917602</v>
      </c>
      <c r="AB768" s="7">
        <v>0</v>
      </c>
      <c r="AC768" s="2">
        <v>0</v>
      </c>
      <c r="AD768" s="2">
        <v>1820.45454545454</v>
      </c>
      <c r="AE768" s="2">
        <v>59.732098186147702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56.790123456790099</v>
      </c>
      <c r="AM768" s="2">
        <v>50.421179892992903</v>
      </c>
      <c r="AN768"/>
      <c r="AO768"/>
    </row>
    <row r="769" spans="1:41" ht="15.75" hidden="1" customHeight="1" x14ac:dyDescent="0.45">
      <c r="A769" s="2" t="s">
        <v>166</v>
      </c>
      <c r="B769" s="2" t="s">
        <v>167</v>
      </c>
      <c r="C769" s="2">
        <v>3.0000000000000001E-3</v>
      </c>
      <c r="D769" s="2"/>
      <c r="E769" s="2" t="s">
        <v>109</v>
      </c>
      <c r="F769" s="2" t="s">
        <v>84</v>
      </c>
      <c r="H769" s="2">
        <v>1.4</v>
      </c>
      <c r="J769" s="2">
        <v>1.4</v>
      </c>
      <c r="K769" s="2">
        <v>33.8333333333333</v>
      </c>
      <c r="L769" s="2"/>
      <c r="M769" s="2">
        <v>1.92209376577849</v>
      </c>
      <c r="N769" s="2">
        <v>256.77777777777698</v>
      </c>
      <c r="O769" s="2">
        <v>29.575859775862799</v>
      </c>
      <c r="P769" s="2">
        <v>14</v>
      </c>
      <c r="Q769" s="2">
        <v>1.4529663145135401</v>
      </c>
      <c r="R769" s="2">
        <v>2.2777777777777701</v>
      </c>
      <c r="S769" s="2">
        <v>0.38490017945975102</v>
      </c>
      <c r="T769" s="2">
        <v>8.2222222222222197</v>
      </c>
      <c r="U769" s="2">
        <v>1.3471506281091199</v>
      </c>
      <c r="V769" s="2">
        <v>0.72222222222222199</v>
      </c>
      <c r="W769" s="2">
        <v>0.50917507721731503</v>
      </c>
      <c r="X769" s="2">
        <v>4</v>
      </c>
      <c r="Y769" s="2">
        <v>0.72648315725678103</v>
      </c>
      <c r="Z769" s="7">
        <v>108.351403621871</v>
      </c>
      <c r="AA769" s="2">
        <v>12.479997092317401</v>
      </c>
      <c r="AB769" s="7">
        <v>96.590007930214099</v>
      </c>
      <c r="AC769" s="2">
        <v>5.4873414407633598</v>
      </c>
      <c r="AD769" s="2">
        <v>103.135888501742</v>
      </c>
      <c r="AE769" s="2">
        <v>16.8980566592085</v>
      </c>
      <c r="AF769" s="2">
        <v>100.8</v>
      </c>
      <c r="AG769" s="2">
        <v>10.4613574644975</v>
      </c>
      <c r="AH769" s="2">
        <v>125.19083969465601</v>
      </c>
      <c r="AI769" s="2">
        <v>21.154819023742</v>
      </c>
      <c r="AJ769" s="2">
        <v>110.63829787234</v>
      </c>
      <c r="AK769" s="2">
        <v>78.001288424780199</v>
      </c>
      <c r="AL769" s="2">
        <v>104.72727272727199</v>
      </c>
      <c r="AM769" s="2">
        <v>19.020649935450201</v>
      </c>
      <c r="AN769"/>
      <c r="AO769"/>
    </row>
    <row r="770" spans="1:41" ht="15.75" hidden="1" customHeight="1" x14ac:dyDescent="0.45">
      <c r="A770" s="2" t="s">
        <v>166</v>
      </c>
      <c r="B770" s="2" t="s">
        <v>167</v>
      </c>
      <c r="C770" s="2">
        <v>0.01</v>
      </c>
      <c r="D770" s="2"/>
      <c r="E770" s="2" t="s">
        <v>109</v>
      </c>
      <c r="F770" s="2" t="s">
        <v>84</v>
      </c>
      <c r="H770" s="2">
        <v>1.4</v>
      </c>
      <c r="J770" s="2">
        <v>1.4</v>
      </c>
      <c r="K770" s="2">
        <v>37.4444444444444</v>
      </c>
      <c r="L770" s="2"/>
      <c r="M770" s="2">
        <v>3.8018026913168299</v>
      </c>
      <c r="N770" s="2">
        <v>251.222222222222</v>
      </c>
      <c r="O770" s="2">
        <v>34.5857763528006</v>
      </c>
      <c r="P770" s="2">
        <v>13.1111111111111</v>
      </c>
      <c r="Q770" s="2">
        <v>0.25458753860859101</v>
      </c>
      <c r="R770" s="2">
        <v>2.1111111111111098</v>
      </c>
      <c r="S770" s="2">
        <v>0.34694433324435198</v>
      </c>
      <c r="T770" s="2">
        <v>6.4444444444444402</v>
      </c>
      <c r="U770" s="2">
        <v>0.75154162547047398</v>
      </c>
      <c r="V770" s="2">
        <v>0.77777777777777701</v>
      </c>
      <c r="W770" s="2">
        <v>0.53575837561071904</v>
      </c>
      <c r="X770" s="2">
        <v>3.1666666666666599</v>
      </c>
      <c r="Y770" s="2">
        <v>0.76376261582597305</v>
      </c>
      <c r="Z770" s="7">
        <v>106.00714997362699</v>
      </c>
      <c r="AA770" s="2">
        <v>14.594009830637299</v>
      </c>
      <c r="AB770" s="7">
        <v>106.899286280729</v>
      </c>
      <c r="AC770" s="2">
        <v>10.8536793725143</v>
      </c>
      <c r="AD770" s="2">
        <v>80.836236933797906</v>
      </c>
      <c r="AE770" s="2">
        <v>9.4270029675738893</v>
      </c>
      <c r="AF770" s="2">
        <v>94.399999999999906</v>
      </c>
      <c r="AG770" s="2">
        <v>1.8330302779818499</v>
      </c>
      <c r="AH770" s="2">
        <v>116.03053435114499</v>
      </c>
      <c r="AI770" s="2">
        <v>19.068696178315498</v>
      </c>
      <c r="AJ770" s="2">
        <v>119.148936170212</v>
      </c>
      <c r="AK770" s="2">
        <v>82.073623497812306</v>
      </c>
      <c r="AL770" s="2">
        <v>82.909090909090907</v>
      </c>
      <c r="AM770" s="2">
        <v>19.996693941625399</v>
      </c>
      <c r="AN770"/>
      <c r="AO770"/>
    </row>
    <row r="771" spans="1:41" ht="15.75" hidden="1" customHeight="1" x14ac:dyDescent="0.45">
      <c r="A771" s="2" t="s">
        <v>166</v>
      </c>
      <c r="B771" s="2" t="s">
        <v>167</v>
      </c>
      <c r="C771" s="2">
        <v>0.03</v>
      </c>
      <c r="D771" s="2"/>
      <c r="E771" s="2" t="s">
        <v>109</v>
      </c>
      <c r="F771" s="2" t="s">
        <v>84</v>
      </c>
      <c r="H771" s="2">
        <v>1.4</v>
      </c>
      <c r="J771" s="2">
        <v>1.4</v>
      </c>
      <c r="K771" s="2">
        <v>37.9444444444444</v>
      </c>
      <c r="L771" s="2"/>
      <c r="M771" s="2">
        <v>1.50308325094092</v>
      </c>
      <c r="N771" s="2">
        <v>266.5</v>
      </c>
      <c r="O771" s="2">
        <v>15.0950690992482</v>
      </c>
      <c r="P771" s="2">
        <v>13.0555555555555</v>
      </c>
      <c r="Q771" s="2">
        <v>1.7821127702606101</v>
      </c>
      <c r="R771" s="2">
        <v>3.05555555555555</v>
      </c>
      <c r="S771" s="2">
        <v>0.50917507721731503</v>
      </c>
      <c r="T771" s="2">
        <v>8.5</v>
      </c>
      <c r="U771" s="2">
        <v>0.44095855184411198</v>
      </c>
      <c r="V771" s="2">
        <v>0.77777777777777701</v>
      </c>
      <c r="W771" s="2">
        <v>0.25458753860865702</v>
      </c>
      <c r="X771" s="2">
        <v>3.1666666666666599</v>
      </c>
      <c r="Y771" s="2">
        <v>0.44095855184409999</v>
      </c>
      <c r="Z771" s="7">
        <v>112.45384750629999</v>
      </c>
      <c r="AA771" s="2">
        <v>6.3696007451554602</v>
      </c>
      <c r="AB771" s="7">
        <v>108.32672482157</v>
      </c>
      <c r="AC771" s="2">
        <v>4.2911179249701101</v>
      </c>
      <c r="AD771" s="2">
        <v>106.62020905923301</v>
      </c>
      <c r="AE771" s="2">
        <v>5.5311874098913103</v>
      </c>
      <c r="AF771" s="2">
        <v>93.999999999999901</v>
      </c>
      <c r="AG771" s="2">
        <v>12.831211945876399</v>
      </c>
      <c r="AH771" s="2">
        <v>167.93893129770899</v>
      </c>
      <c r="AI771" s="2">
        <v>27.9851950836998</v>
      </c>
      <c r="AJ771" s="2">
        <v>119.148936170212</v>
      </c>
      <c r="AK771" s="2">
        <v>39.0006442123901</v>
      </c>
      <c r="AL771" s="2">
        <v>82.909090909090907</v>
      </c>
      <c r="AM771" s="2">
        <v>11.5450966301</v>
      </c>
      <c r="AN771"/>
      <c r="AO771"/>
    </row>
    <row r="772" spans="1:41" ht="15.75" hidden="1" customHeight="1" x14ac:dyDescent="0.45">
      <c r="A772" s="2" t="s">
        <v>166</v>
      </c>
      <c r="B772" s="2" t="s">
        <v>167</v>
      </c>
      <c r="C772" s="2">
        <v>0.1</v>
      </c>
      <c r="D772" s="2"/>
      <c r="E772" s="2" t="s">
        <v>109</v>
      </c>
      <c r="F772" s="2" t="s">
        <v>84</v>
      </c>
      <c r="H772" s="2">
        <v>1.4</v>
      </c>
      <c r="J772" s="2">
        <v>1.4</v>
      </c>
      <c r="K772" s="2">
        <v>38.2777777777777</v>
      </c>
      <c r="L772" s="2"/>
      <c r="M772" s="2">
        <v>4.0357201385920396</v>
      </c>
      <c r="N772" s="2">
        <v>234</v>
      </c>
      <c r="O772" s="2">
        <v>27.764385660610401</v>
      </c>
      <c r="P772" s="2">
        <v>14.3888888888888</v>
      </c>
      <c r="Q772" s="2">
        <v>0.69388866648865899</v>
      </c>
      <c r="R772" s="2">
        <v>1.88888888888888</v>
      </c>
      <c r="S772" s="2">
        <v>0.82214714371937303</v>
      </c>
      <c r="T772" s="2">
        <v>9.1666666666666607</v>
      </c>
      <c r="U772" s="2">
        <v>1.1666666666666601</v>
      </c>
      <c r="V772" s="2">
        <v>0.72222222222222199</v>
      </c>
      <c r="W772" s="2">
        <v>0.41943524640392998</v>
      </c>
      <c r="X772" s="2">
        <v>3.3333333333333299</v>
      </c>
      <c r="Y772" s="2">
        <v>0.28867513459480998</v>
      </c>
      <c r="Z772" s="7">
        <v>98.739963664068398</v>
      </c>
      <c r="AA772" s="2">
        <v>11.7156172277087</v>
      </c>
      <c r="AB772" s="7">
        <v>109.278350515463</v>
      </c>
      <c r="AC772" s="2">
        <v>11.5214849317457</v>
      </c>
      <c r="AD772" s="2">
        <v>114.982578397212</v>
      </c>
      <c r="AE772" s="2">
        <v>14.6341463414633</v>
      </c>
      <c r="AF772" s="2">
        <v>103.6</v>
      </c>
      <c r="AG772" s="2">
        <v>4.9959983987183403</v>
      </c>
      <c r="AH772" s="2">
        <v>103.816793893129</v>
      </c>
      <c r="AI772" s="2">
        <v>45.186713242591502</v>
      </c>
      <c r="AJ772" s="2">
        <v>110.63829787234</v>
      </c>
      <c r="AK772" s="2">
        <v>64.253910087410603</v>
      </c>
      <c r="AL772" s="2">
        <v>87.272727272727195</v>
      </c>
      <c r="AM772" s="2">
        <v>7.55803988757323</v>
      </c>
      <c r="AN772"/>
      <c r="AO772"/>
    </row>
    <row r="773" spans="1:41" ht="15.75" hidden="1" customHeight="1" x14ac:dyDescent="0.45">
      <c r="A773" s="2" t="s">
        <v>166</v>
      </c>
      <c r="B773" s="2" t="s">
        <v>167</v>
      </c>
      <c r="C773" s="2">
        <v>0.3</v>
      </c>
      <c r="D773" s="2"/>
      <c r="E773" s="2" t="s">
        <v>109</v>
      </c>
      <c r="F773" s="2" t="s">
        <v>84</v>
      </c>
      <c r="H773" s="2">
        <v>1.4</v>
      </c>
      <c r="J773" s="2">
        <v>1.4</v>
      </c>
      <c r="K773" s="2">
        <v>38.3888888888888</v>
      </c>
      <c r="L773" s="2"/>
      <c r="M773" s="2">
        <v>2.2194427061598301</v>
      </c>
      <c r="N773" s="2">
        <v>222.555555555555</v>
      </c>
      <c r="O773" s="2">
        <v>26.687665343402699</v>
      </c>
      <c r="P773" s="2">
        <v>14.1111111111111</v>
      </c>
      <c r="Q773" s="2">
        <v>3.2588909724583299</v>
      </c>
      <c r="R773" s="2">
        <v>2.5</v>
      </c>
      <c r="S773" s="2">
        <v>0.16666666666666899</v>
      </c>
      <c r="T773" s="2">
        <v>7.6666666666666599</v>
      </c>
      <c r="U773" s="2">
        <v>2.3511226632776401</v>
      </c>
      <c r="V773" s="2">
        <v>0.55555555555555503</v>
      </c>
      <c r="W773" s="2">
        <v>0.25458753860865702</v>
      </c>
      <c r="X773" s="2">
        <v>3.7777777777777701</v>
      </c>
      <c r="Y773" s="2">
        <v>0.41943524640393198</v>
      </c>
      <c r="Z773" s="7">
        <v>93.9108011486843</v>
      </c>
      <c r="AA773" s="2">
        <v>11.261278231993099</v>
      </c>
      <c r="AB773" s="7">
        <v>109.595559080095</v>
      </c>
      <c r="AC773" s="2">
        <v>6.3362361159202196</v>
      </c>
      <c r="AD773" s="2">
        <v>96.167247386759499</v>
      </c>
      <c r="AE773" s="2">
        <v>29.4914341038311</v>
      </c>
      <c r="AF773" s="2">
        <v>101.6</v>
      </c>
      <c r="AG773" s="2">
        <v>23.464015001700002</v>
      </c>
      <c r="AH773" s="2">
        <v>137.404580152671</v>
      </c>
      <c r="AI773" s="2">
        <v>9.1603053435115793</v>
      </c>
      <c r="AJ773" s="2">
        <v>85.106382978723303</v>
      </c>
      <c r="AK773" s="2">
        <v>39.0006442123901</v>
      </c>
      <c r="AL773" s="2">
        <v>98.909090909090907</v>
      </c>
      <c r="AM773" s="2">
        <v>10.9815773603938</v>
      </c>
      <c r="AN773"/>
      <c r="AO773"/>
    </row>
    <row r="774" spans="1:41" ht="15.75" hidden="1" customHeight="1" x14ac:dyDescent="0.45">
      <c r="A774" s="2" t="s">
        <v>166</v>
      </c>
      <c r="B774" s="2" t="s">
        <v>167</v>
      </c>
      <c r="C774" s="2">
        <v>1</v>
      </c>
      <c r="D774" s="2"/>
      <c r="E774" s="2" t="s">
        <v>109</v>
      </c>
      <c r="F774" s="2" t="s">
        <v>84</v>
      </c>
      <c r="H774" s="2">
        <v>1.4</v>
      </c>
      <c r="J774" s="2">
        <v>1.4</v>
      </c>
      <c r="K774" s="2">
        <v>32.8333333333333</v>
      </c>
      <c r="L774" s="2"/>
      <c r="M774" s="2">
        <v>3.0867098629085801</v>
      </c>
      <c r="N774" s="2">
        <v>189.5</v>
      </c>
      <c r="O774" s="2">
        <v>12.789970028632901</v>
      </c>
      <c r="P774" s="2">
        <v>15.5</v>
      </c>
      <c r="Q774" s="2">
        <v>3.03223423311004</v>
      </c>
      <c r="R774" s="2">
        <v>2.1666666666666599</v>
      </c>
      <c r="S774" s="2">
        <v>0.28867513459481298</v>
      </c>
      <c r="T774" s="2">
        <v>7.8888888888888804</v>
      </c>
      <c r="U774" s="2">
        <v>9.6225044864828205E-2</v>
      </c>
      <c r="V774" s="2">
        <v>0.66666666666666596</v>
      </c>
      <c r="W774" s="2">
        <v>0.16666666666666699</v>
      </c>
      <c r="X774" s="2">
        <v>4.4444444444444402</v>
      </c>
      <c r="Y774" s="2">
        <v>0.58531409738070606</v>
      </c>
      <c r="Z774" s="7">
        <v>79.962491941628002</v>
      </c>
      <c r="AA774" s="2">
        <v>5.3969281021014499</v>
      </c>
      <c r="AB774" s="7">
        <v>93.735130848532904</v>
      </c>
      <c r="AC774" s="2">
        <v>8.8121772454170593</v>
      </c>
      <c r="AD774" s="2">
        <v>98.9547038327526</v>
      </c>
      <c r="AE774" s="2">
        <v>1.2070040470849499</v>
      </c>
      <c r="AF774" s="2">
        <v>111.6</v>
      </c>
      <c r="AG774" s="2">
        <v>21.832086478392299</v>
      </c>
      <c r="AH774" s="2">
        <v>119.083969465648</v>
      </c>
      <c r="AI774" s="2">
        <v>15.8661142678065</v>
      </c>
      <c r="AJ774" s="2">
        <v>102.127659574468</v>
      </c>
      <c r="AK774" s="2">
        <v>25.531914893617099</v>
      </c>
      <c r="AL774" s="2">
        <v>116.363636363636</v>
      </c>
      <c r="AM774" s="2">
        <v>15.324587276876599</v>
      </c>
      <c r="AN774"/>
      <c r="AO774"/>
    </row>
    <row r="775" spans="1:41" ht="15.75" hidden="1" customHeight="1" x14ac:dyDescent="0.45">
      <c r="A775" s="2" t="s">
        <v>166</v>
      </c>
      <c r="B775" s="2" t="s">
        <v>167</v>
      </c>
      <c r="C775" s="2">
        <v>3</v>
      </c>
      <c r="D775" s="2"/>
      <c r="E775" s="2" t="s">
        <v>109</v>
      </c>
      <c r="F775" s="2" t="s">
        <v>84</v>
      </c>
      <c r="H775" s="2">
        <v>1.4</v>
      </c>
      <c r="J775" s="2">
        <v>1.4</v>
      </c>
      <c r="K775" s="2">
        <v>0</v>
      </c>
      <c r="L775" s="2"/>
      <c r="M775" s="2">
        <v>0</v>
      </c>
      <c r="N775" s="2">
        <v>37.7777777777777</v>
      </c>
      <c r="O775" s="2">
        <v>20.3335610187616</v>
      </c>
      <c r="P775" s="2">
        <v>3.7777777777777701</v>
      </c>
      <c r="Q775" s="2">
        <v>5.1108091698253002</v>
      </c>
      <c r="R775" s="2">
        <v>0</v>
      </c>
      <c r="S775" s="2">
        <v>0</v>
      </c>
      <c r="T775" s="2">
        <v>62.5</v>
      </c>
      <c r="U775" s="2">
        <v>32.359096265364201</v>
      </c>
      <c r="V775" s="2">
        <v>0.38888888888888801</v>
      </c>
      <c r="W775" s="2">
        <v>0.67357531405456295</v>
      </c>
      <c r="X775" s="2">
        <v>4.05555555555555</v>
      </c>
      <c r="Y775" s="2">
        <v>1.0046189622236199</v>
      </c>
      <c r="Z775" s="7">
        <v>15.940924808064199</v>
      </c>
      <c r="AA775" s="2">
        <v>8.5800644280070202</v>
      </c>
      <c r="AB775" s="7">
        <v>0</v>
      </c>
      <c r="AC775" s="2">
        <v>0</v>
      </c>
      <c r="AD775" s="2">
        <v>783.97212543553997</v>
      </c>
      <c r="AE775" s="2">
        <v>405.89807162129398</v>
      </c>
      <c r="AF775" s="2">
        <v>27.1999999999999</v>
      </c>
      <c r="AG775" s="2">
        <v>36.7978260227421</v>
      </c>
      <c r="AH775" s="2">
        <v>0</v>
      </c>
      <c r="AI775" s="2">
        <v>0</v>
      </c>
      <c r="AJ775" s="2">
        <v>59.574468085106297</v>
      </c>
      <c r="AK775" s="2">
        <v>103.186005557294</v>
      </c>
      <c r="AL775" s="2">
        <v>106.181818181818</v>
      </c>
      <c r="AM775" s="2">
        <v>26.302751010945599</v>
      </c>
      <c r="AN775"/>
      <c r="AO775"/>
    </row>
    <row r="776" spans="1:41" ht="15.75" hidden="1" customHeight="1" x14ac:dyDescent="0.45">
      <c r="A776" s="2" t="s">
        <v>166</v>
      </c>
      <c r="B776" s="2" t="s">
        <v>167</v>
      </c>
      <c r="C776" s="2">
        <v>10</v>
      </c>
      <c r="D776" s="2"/>
      <c r="E776" s="2" t="s">
        <v>109</v>
      </c>
      <c r="F776" s="2" t="s">
        <v>84</v>
      </c>
      <c r="H776" s="2">
        <v>1.4</v>
      </c>
      <c r="J776" s="2">
        <v>1.4</v>
      </c>
      <c r="K776" s="2">
        <v>0</v>
      </c>
      <c r="L776" s="2"/>
      <c r="M776" s="2">
        <v>0</v>
      </c>
      <c r="N776" s="2">
        <v>22.8333333333333</v>
      </c>
      <c r="O776" s="2">
        <v>9.1393532472367909</v>
      </c>
      <c r="P776" s="2">
        <v>1.2777777777777699</v>
      </c>
      <c r="Q776" s="2">
        <v>2.21317603189356</v>
      </c>
      <c r="R776" s="2">
        <v>0.5</v>
      </c>
      <c r="S776" s="2">
        <v>0.86602540378443804</v>
      </c>
      <c r="T776" s="2">
        <v>67.6111111111111</v>
      </c>
      <c r="U776" s="2">
        <v>9.8803021396297002</v>
      </c>
      <c r="V776" s="2">
        <v>0.88888888888888895</v>
      </c>
      <c r="W776" s="2">
        <v>0.78763593770876805</v>
      </c>
      <c r="X776" s="2">
        <v>2.2222222222222201</v>
      </c>
      <c r="Y776" s="2">
        <v>1.6694421334796301</v>
      </c>
      <c r="Z776" s="7">
        <v>9.6348824942858808</v>
      </c>
      <c r="AA776" s="2">
        <v>3.8564931946378</v>
      </c>
      <c r="AB776" s="7">
        <v>0</v>
      </c>
      <c r="AC776" s="2">
        <v>0</v>
      </c>
      <c r="AD776" s="2">
        <v>848.08362369337897</v>
      </c>
      <c r="AE776" s="2">
        <v>123.93410349361299</v>
      </c>
      <c r="AF776" s="2">
        <v>9.1999999999999993</v>
      </c>
      <c r="AG776" s="2">
        <v>15.9348674296336</v>
      </c>
      <c r="AH776" s="2">
        <v>27.480916030534299</v>
      </c>
      <c r="AI776" s="2">
        <v>47.598342803419499</v>
      </c>
      <c r="AJ776" s="2">
        <v>136.17021276595699</v>
      </c>
      <c r="AK776" s="2">
        <v>120.659122372407</v>
      </c>
      <c r="AL776" s="2">
        <v>58.181818181818102</v>
      </c>
      <c r="AM776" s="2">
        <v>43.709030403830397</v>
      </c>
      <c r="AN776"/>
      <c r="AO776"/>
    </row>
    <row r="777" spans="1:41" ht="15.75" hidden="1" customHeight="1" x14ac:dyDescent="0.45">
      <c r="A777" s="2" t="s">
        <v>168</v>
      </c>
      <c r="B777" s="2" t="s">
        <v>98</v>
      </c>
      <c r="C777" s="2">
        <v>3.0000000000000001E-3</v>
      </c>
      <c r="D777" s="2"/>
      <c r="E777" s="2" t="s">
        <v>83</v>
      </c>
      <c r="F777" s="2" t="s">
        <v>84</v>
      </c>
      <c r="H777" s="2" t="s">
        <v>87</v>
      </c>
      <c r="K777" s="2">
        <v>38.5356558427777</v>
      </c>
      <c r="L777" s="2"/>
      <c r="M777" s="2">
        <v>2.7667763059416699</v>
      </c>
      <c r="N777" s="2">
        <v>288.05555555555497</v>
      </c>
      <c r="O777" s="2">
        <v>9.7757257947853695</v>
      </c>
      <c r="P777" s="2">
        <v>33.610438651666598</v>
      </c>
      <c r="Q777" s="2">
        <v>0.62951576253673802</v>
      </c>
      <c r="R777" s="2">
        <v>10.3251604317777</v>
      </c>
      <c r="S777" s="2">
        <v>11.5906992655779</v>
      </c>
      <c r="T777" s="2">
        <v>5.0473620969999899</v>
      </c>
      <c r="U777" s="2">
        <v>2.5486972354337301</v>
      </c>
      <c r="V777" s="2">
        <v>0.42192949766666599</v>
      </c>
      <c r="W777" s="2">
        <v>8.0252472985118894E-2</v>
      </c>
      <c r="X777" s="2">
        <v>3.2060565455000001</v>
      </c>
      <c r="Y777" s="2">
        <v>0.234478124348178</v>
      </c>
      <c r="Z777" s="7">
        <v>103.286852589641</v>
      </c>
      <c r="AA777" s="2">
        <v>3.5052403248234398</v>
      </c>
      <c r="AB777" s="7">
        <v>96.531678145724001</v>
      </c>
      <c r="AC777" s="2">
        <v>6.9307646133245298</v>
      </c>
      <c r="AD777" s="2">
        <v>114.002561899803</v>
      </c>
      <c r="AE777" s="2">
        <v>57.566310631664798</v>
      </c>
      <c r="AF777" s="2">
        <v>99.392307202436896</v>
      </c>
      <c r="AG777" s="2">
        <v>1.8615949856317899</v>
      </c>
      <c r="AH777" s="2">
        <v>276.42074650017901</v>
      </c>
      <c r="AI777" s="2">
        <v>310.30120690323099</v>
      </c>
      <c r="AJ777" s="2">
        <v>89.715213230926096</v>
      </c>
      <c r="AK777" s="2">
        <v>17.064148787855402</v>
      </c>
      <c r="AL777" s="2">
        <v>95.221248997979799</v>
      </c>
      <c r="AM777" s="2">
        <v>6.9641004599484004</v>
      </c>
      <c r="AN777"/>
      <c r="AO777"/>
    </row>
    <row r="778" spans="1:41" ht="15.75" hidden="1" customHeight="1" x14ac:dyDescent="0.45">
      <c r="A778" s="2" t="s">
        <v>168</v>
      </c>
      <c r="B778" s="2" t="s">
        <v>98</v>
      </c>
      <c r="C778" s="2">
        <v>0.01</v>
      </c>
      <c r="D778" s="2"/>
      <c r="E778" s="2" t="s">
        <v>83</v>
      </c>
      <c r="F778" s="2" t="s">
        <v>84</v>
      </c>
      <c r="H778" s="2" t="s">
        <v>87</v>
      </c>
      <c r="K778" s="2">
        <v>38.624558947222198</v>
      </c>
      <c r="L778" s="2"/>
      <c r="M778" s="2">
        <v>2.6588341678777399</v>
      </c>
      <c r="N778" s="2">
        <v>281.222222222222</v>
      </c>
      <c r="O778" s="2">
        <v>10.1466104539239</v>
      </c>
      <c r="P778" s="2">
        <v>32.64630769</v>
      </c>
      <c r="Q778" s="2">
        <v>0.50725381398929104</v>
      </c>
      <c r="R778" s="2">
        <v>2.87510050222222</v>
      </c>
      <c r="S778" s="2">
        <v>0.36012183390559799</v>
      </c>
      <c r="T778" s="2">
        <v>4.9702252973333296</v>
      </c>
      <c r="U778" s="2">
        <v>1.5720128110429401</v>
      </c>
      <c r="V778" s="2">
        <v>0.40985012611111099</v>
      </c>
      <c r="W778" s="2">
        <v>0.120071052684232</v>
      </c>
      <c r="X778" s="2">
        <v>3.43470524749999</v>
      </c>
      <c r="Y778" s="2">
        <v>7.4782996131015998E-3</v>
      </c>
      <c r="Z778" s="7">
        <v>100.836653386454</v>
      </c>
      <c r="AA778" s="2">
        <v>3.6382268559886701</v>
      </c>
      <c r="AB778" s="7">
        <v>96.7543800999713</v>
      </c>
      <c r="AC778" s="2">
        <v>6.6603699489010104</v>
      </c>
      <c r="AD778" s="2">
        <v>112.260306715857</v>
      </c>
      <c r="AE778" s="2">
        <v>35.506366366052198</v>
      </c>
      <c r="AF778" s="2">
        <v>96.541192948365705</v>
      </c>
      <c r="AG778" s="2">
        <v>1.5000437046402899</v>
      </c>
      <c r="AH778" s="2">
        <v>76.970951912896396</v>
      </c>
      <c r="AI778" s="2">
        <v>9.6410265793864998</v>
      </c>
      <c r="AJ778" s="2">
        <v>87.146766604664407</v>
      </c>
      <c r="AK778" s="2">
        <v>25.5308058668558</v>
      </c>
      <c r="AL778" s="2">
        <v>102.01221312391399</v>
      </c>
      <c r="AM778" s="2">
        <v>0.22210869316704099</v>
      </c>
      <c r="AN778"/>
      <c r="AO778"/>
    </row>
    <row r="779" spans="1:41" ht="15.75" hidden="1" customHeight="1" x14ac:dyDescent="0.45">
      <c r="A779" s="2" t="s">
        <v>168</v>
      </c>
      <c r="B779" s="2" t="s">
        <v>98</v>
      </c>
      <c r="C779" s="2">
        <v>0.03</v>
      </c>
      <c r="D779" s="2"/>
      <c r="E779" s="2" t="s">
        <v>83</v>
      </c>
      <c r="F779" s="2" t="s">
        <v>84</v>
      </c>
      <c r="H779" s="2" t="s">
        <v>87</v>
      </c>
      <c r="K779" s="2">
        <v>37.858790434444401</v>
      </c>
      <c r="L779" s="2"/>
      <c r="M779" s="2">
        <v>0.29732787452673698</v>
      </c>
      <c r="N779" s="2">
        <v>256.11111111111097</v>
      </c>
      <c r="O779" s="2">
        <v>17.340009398090899</v>
      </c>
      <c r="P779" s="2">
        <v>32.977734855555497</v>
      </c>
      <c r="Q779" s="2">
        <v>2.2779080923956601</v>
      </c>
      <c r="R779" s="2">
        <v>3.1978054332777699</v>
      </c>
      <c r="S779" s="2">
        <v>0.69509119310252399</v>
      </c>
      <c r="T779" s="2">
        <v>3.6787494818888802</v>
      </c>
      <c r="U779" s="2">
        <v>1.5168811298931</v>
      </c>
      <c r="V779" s="2">
        <v>0.50312209916666595</v>
      </c>
      <c r="W779" s="2">
        <v>0.14746878798389901</v>
      </c>
      <c r="X779" s="2">
        <v>3.5290511314444402</v>
      </c>
      <c r="Y779" s="2">
        <v>0.52161269175924296</v>
      </c>
      <c r="Z779" s="7">
        <v>91.832669322709194</v>
      </c>
      <c r="AA779" s="2">
        <v>6.2175332503114999</v>
      </c>
      <c r="AB779" s="7">
        <v>94.8361327523412</v>
      </c>
      <c r="AC779" s="2">
        <v>0.74480524750031896</v>
      </c>
      <c r="AD779" s="2">
        <v>83.090306869835999</v>
      </c>
      <c r="AE779" s="2">
        <v>34.261131177425597</v>
      </c>
      <c r="AF779" s="2">
        <v>97.521284609635799</v>
      </c>
      <c r="AG779" s="2">
        <v>6.7361971453198999</v>
      </c>
      <c r="AH779" s="2">
        <v>85.6102692901962</v>
      </c>
      <c r="AI779" s="2">
        <v>18.6086819427771</v>
      </c>
      <c r="AJ779" s="2">
        <v>106.97926231170599</v>
      </c>
      <c r="AK779" s="2">
        <v>31.356408670279599</v>
      </c>
      <c r="AL779" s="2">
        <v>104.814326180721</v>
      </c>
      <c r="AM779" s="2">
        <v>15.4921197731924</v>
      </c>
      <c r="AN779"/>
      <c r="AO779"/>
    </row>
    <row r="780" spans="1:41" ht="15.75" hidden="1" customHeight="1" x14ac:dyDescent="0.45">
      <c r="A780" s="2" t="s">
        <v>168</v>
      </c>
      <c r="B780" s="2" t="s">
        <v>98</v>
      </c>
      <c r="C780" s="2">
        <v>0.1</v>
      </c>
      <c r="D780" s="2"/>
      <c r="E780" s="2" t="s">
        <v>83</v>
      </c>
      <c r="F780" s="2" t="s">
        <v>84</v>
      </c>
      <c r="H780" s="2" t="s">
        <v>87</v>
      </c>
      <c r="K780" s="2">
        <v>40.995623322777703</v>
      </c>
      <c r="L780" s="2"/>
      <c r="M780" s="2">
        <v>0.62020784273479901</v>
      </c>
      <c r="N780" s="2">
        <v>299.222222222222</v>
      </c>
      <c r="O780" s="2">
        <v>28.223971949259401</v>
      </c>
      <c r="P780" s="2">
        <v>30.813880466111101</v>
      </c>
      <c r="Q780" s="2">
        <v>0.91188971814064501</v>
      </c>
      <c r="R780" s="2">
        <v>3.1217392563888802</v>
      </c>
      <c r="S780" s="2">
        <v>0.16873383688950899</v>
      </c>
      <c r="T780" s="2">
        <v>4.2417511593888797</v>
      </c>
      <c r="U780" s="2">
        <v>1.4999912137000899</v>
      </c>
      <c r="V780" s="2">
        <v>0.34562576961111102</v>
      </c>
      <c r="W780" s="2">
        <v>0.109610873875561</v>
      </c>
      <c r="X780" s="2">
        <v>3.83691582505555</v>
      </c>
      <c r="Y780" s="2">
        <v>0.63203042304761203</v>
      </c>
      <c r="Z780" s="7">
        <v>107.29083665338599</v>
      </c>
      <c r="AA780" s="2">
        <v>10.1201493045153</v>
      </c>
      <c r="AB780" s="7">
        <v>102.69388776263401</v>
      </c>
      <c r="AC780" s="2">
        <v>1.5536183970137301</v>
      </c>
      <c r="AD780" s="2">
        <v>95.8065797179908</v>
      </c>
      <c r="AE780" s="2">
        <v>33.879646021561499</v>
      </c>
      <c r="AF780" s="2">
        <v>91.122365439137596</v>
      </c>
      <c r="AG780" s="2">
        <v>2.6966271978626501</v>
      </c>
      <c r="AH780" s="2">
        <v>83.573858375521297</v>
      </c>
      <c r="AI780" s="2">
        <v>4.5172695824937303</v>
      </c>
      <c r="AJ780" s="2">
        <v>73.490689298193303</v>
      </c>
      <c r="AK780" s="2">
        <v>23.306649515040601</v>
      </c>
      <c r="AL780" s="2">
        <v>113.958039097818</v>
      </c>
      <c r="AM780" s="2">
        <v>18.771573561853501</v>
      </c>
      <c r="AN780"/>
      <c r="AO780"/>
    </row>
    <row r="781" spans="1:41" ht="15.75" hidden="1" customHeight="1" x14ac:dyDescent="0.45">
      <c r="A781" s="2" t="s">
        <v>168</v>
      </c>
      <c r="B781" s="2" t="s">
        <v>98</v>
      </c>
      <c r="C781" s="2">
        <v>0.3</v>
      </c>
      <c r="D781" s="2"/>
      <c r="E781" s="2" t="s">
        <v>83</v>
      </c>
      <c r="F781" s="2" t="s">
        <v>84</v>
      </c>
      <c r="H781" s="2" t="s">
        <v>87</v>
      </c>
      <c r="K781" s="2">
        <v>39.653750162777698</v>
      </c>
      <c r="L781" s="2"/>
      <c r="M781" s="2">
        <v>2.36727653423441</v>
      </c>
      <c r="N781" s="2">
        <v>284.55555555555497</v>
      </c>
      <c r="O781" s="2">
        <v>31.002389394176198</v>
      </c>
      <c r="P781" s="2">
        <v>31.437160823888799</v>
      </c>
      <c r="Q781" s="2">
        <v>1.4225302881764299</v>
      </c>
      <c r="R781" s="2">
        <v>3.0887242856111099</v>
      </c>
      <c r="S781" s="2">
        <v>0.44015663680705103</v>
      </c>
      <c r="T781" s="2">
        <v>5.1569134889999999</v>
      </c>
      <c r="U781" s="2">
        <v>1.64394533633843</v>
      </c>
      <c r="V781" s="2">
        <v>0.56066263811111094</v>
      </c>
      <c r="W781" s="2">
        <v>0.24403787175847699</v>
      </c>
      <c r="X781" s="2">
        <v>3.4484625003888798</v>
      </c>
      <c r="Y781" s="2">
        <v>0.32505662907064398</v>
      </c>
      <c r="Z781" s="7">
        <v>102.03187250996</v>
      </c>
      <c r="AA781" s="2">
        <v>11.1163946034894</v>
      </c>
      <c r="AB781" s="7">
        <v>99.332500362819601</v>
      </c>
      <c r="AC781" s="2">
        <v>5.9300191338892096</v>
      </c>
      <c r="AD781" s="2">
        <v>116.47695131504101</v>
      </c>
      <c r="AE781" s="2">
        <v>37.131074879135198</v>
      </c>
      <c r="AF781" s="2">
        <v>92.965521175232794</v>
      </c>
      <c r="AG781" s="2">
        <v>4.2066861689171002</v>
      </c>
      <c r="AH781" s="2">
        <v>82.689995802307706</v>
      </c>
      <c r="AI781" s="2">
        <v>11.7836838397933</v>
      </c>
      <c r="AJ781" s="2">
        <v>119.214154039758</v>
      </c>
      <c r="AK781" s="2">
        <v>51.889971718758197</v>
      </c>
      <c r="AL781" s="2">
        <v>102.42080941168</v>
      </c>
      <c r="AM781" s="2">
        <v>9.6543207444747701</v>
      </c>
      <c r="AN781"/>
      <c r="AO781"/>
    </row>
    <row r="782" spans="1:41" ht="15.75" hidden="1" customHeight="1" x14ac:dyDescent="0.45">
      <c r="A782" s="2" t="s">
        <v>168</v>
      </c>
      <c r="B782" s="2" t="s">
        <v>98</v>
      </c>
      <c r="C782" s="2">
        <v>1</v>
      </c>
      <c r="D782" s="2"/>
      <c r="E782" s="2" t="s">
        <v>83</v>
      </c>
      <c r="F782" s="2" t="s">
        <v>84</v>
      </c>
      <c r="H782" s="2" t="s">
        <v>87</v>
      </c>
      <c r="K782" s="2">
        <v>37.795409707777701</v>
      </c>
      <c r="L782" s="2"/>
      <c r="M782" s="2">
        <v>2.4234167552871502</v>
      </c>
      <c r="N782" s="2">
        <v>278.388888888888</v>
      </c>
      <c r="O782" s="2">
        <v>9.43005439676317</v>
      </c>
      <c r="P782" s="2">
        <v>33.212359339444397</v>
      </c>
      <c r="Q782" s="2">
        <v>4.0911527445939599</v>
      </c>
      <c r="R782" s="2">
        <v>3.6567323393333302</v>
      </c>
      <c r="S782" s="2">
        <v>0.67751803572004299</v>
      </c>
      <c r="T782" s="2">
        <v>2.7599723887777698</v>
      </c>
      <c r="U782" s="2">
        <v>0.78077607605987298</v>
      </c>
      <c r="V782" s="2">
        <v>0.32004685111111097</v>
      </c>
      <c r="W782" s="2">
        <v>3.4266397931814199E-2</v>
      </c>
      <c r="X782" s="2">
        <v>3.9378062168333301</v>
      </c>
      <c r="Y782" s="2">
        <v>0.38550309691092599</v>
      </c>
      <c r="Z782" s="7">
        <v>99.820717131474098</v>
      </c>
      <c r="AA782" s="2">
        <v>3.3812944052138798</v>
      </c>
      <c r="AB782" s="7">
        <v>94.677364261876406</v>
      </c>
      <c r="AC782" s="2">
        <v>6.0706501840470803</v>
      </c>
      <c r="AD782" s="2">
        <v>62.338290189325299</v>
      </c>
      <c r="AE782" s="2">
        <v>17.635048017222001</v>
      </c>
      <c r="AF782" s="2">
        <v>98.215112768845003</v>
      </c>
      <c r="AG782" s="2">
        <v>12.0982982286252</v>
      </c>
      <c r="AH782" s="2">
        <v>97.896462691169106</v>
      </c>
      <c r="AI782" s="2">
        <v>18.138220944701001</v>
      </c>
      <c r="AJ782" s="2">
        <v>68.051822994380302</v>
      </c>
      <c r="AK782" s="2">
        <v>7.2860921412448301</v>
      </c>
      <c r="AL782" s="2">
        <v>116.95452683302599</v>
      </c>
      <c r="AM782" s="2">
        <v>11.4496066614829</v>
      </c>
      <c r="AN782"/>
      <c r="AO782"/>
    </row>
    <row r="783" spans="1:41" ht="15.75" hidden="1" customHeight="1" x14ac:dyDescent="0.45">
      <c r="A783" s="2" t="s">
        <v>168</v>
      </c>
      <c r="B783" s="2" t="s">
        <v>98</v>
      </c>
      <c r="C783" s="2">
        <v>3</v>
      </c>
      <c r="D783" s="2"/>
      <c r="E783" s="2" t="s">
        <v>83</v>
      </c>
      <c r="F783" s="2" t="s">
        <v>84</v>
      </c>
      <c r="H783" s="2" t="s">
        <v>87</v>
      </c>
      <c r="K783" s="2">
        <v>38.170215959444398</v>
      </c>
      <c r="L783" s="2"/>
      <c r="M783" s="2">
        <v>0.74229554639453699</v>
      </c>
      <c r="N783" s="2">
        <v>335.722222222222</v>
      </c>
      <c r="O783" s="2">
        <v>51.021328147412298</v>
      </c>
      <c r="P783" s="2">
        <v>29.9473658105555</v>
      </c>
      <c r="Q783" s="2">
        <v>4.7227137359409701</v>
      </c>
      <c r="R783" s="2">
        <v>3.9344198205000001</v>
      </c>
      <c r="S783" s="2">
        <v>1.05406831444759</v>
      </c>
      <c r="T783" s="2">
        <v>5.8540642151111104</v>
      </c>
      <c r="U783" s="2">
        <v>1.64895601262701</v>
      </c>
      <c r="V783" s="2">
        <v>0.32626828555555498</v>
      </c>
      <c r="W783" s="2">
        <v>0.114070936556496</v>
      </c>
      <c r="X783" s="2">
        <v>3.1661233182222199</v>
      </c>
      <c r="Y783" s="2">
        <v>9.2361052526429205E-2</v>
      </c>
      <c r="Z783" s="7">
        <v>120.37848605577599</v>
      </c>
      <c r="AA783" s="2">
        <v>18.2945001325382</v>
      </c>
      <c r="AB783" s="7">
        <v>95.6162525631553</v>
      </c>
      <c r="AC783" s="2">
        <v>1.85944765195922</v>
      </c>
      <c r="AD783" s="2">
        <v>132.223190098705</v>
      </c>
      <c r="AE783" s="2">
        <v>37.2442488347126</v>
      </c>
      <c r="AF783" s="2">
        <v>88.559920725666998</v>
      </c>
      <c r="AG783" s="2">
        <v>13.965941335565899</v>
      </c>
      <c r="AH783" s="2">
        <v>105.33059229574199</v>
      </c>
      <c r="AI783" s="2">
        <v>28.219062770690801</v>
      </c>
      <c r="AJ783" s="2">
        <v>69.374691674745705</v>
      </c>
      <c r="AK783" s="2">
        <v>24.254996280687799</v>
      </c>
      <c r="AL783" s="2">
        <v>94.0352150887378</v>
      </c>
      <c r="AM783" s="2">
        <v>2.74316271579141</v>
      </c>
      <c r="AN783"/>
      <c r="AO783"/>
    </row>
    <row r="784" spans="1:41" ht="15.75" hidden="1" customHeight="1" x14ac:dyDescent="0.45">
      <c r="A784" s="2" t="s">
        <v>168</v>
      </c>
      <c r="B784" s="2" t="s">
        <v>98</v>
      </c>
      <c r="C784" s="2">
        <v>10</v>
      </c>
      <c r="D784" s="2"/>
      <c r="E784" s="2" t="s">
        <v>83</v>
      </c>
      <c r="F784" s="2" t="s">
        <v>84</v>
      </c>
      <c r="H784" s="2" t="s">
        <v>87</v>
      </c>
      <c r="K784" s="2">
        <v>23.303840083333299</v>
      </c>
      <c r="L784" s="2"/>
      <c r="M784" s="2">
        <v>3.0157092371674201</v>
      </c>
      <c r="N784" s="2">
        <v>200.5</v>
      </c>
      <c r="O784" s="2">
        <v>50.385458660653597</v>
      </c>
      <c r="P784" s="2">
        <v>32.691395499444397</v>
      </c>
      <c r="Q784" s="2">
        <v>2.3369269848185898</v>
      </c>
      <c r="R784" s="2">
        <v>2.3697757904444399</v>
      </c>
      <c r="S784" s="2">
        <v>1.13706305420024</v>
      </c>
      <c r="T784" s="2">
        <v>3.5608677424444402</v>
      </c>
      <c r="U784" s="2">
        <v>0.50010024902836603</v>
      </c>
      <c r="V784" s="2">
        <v>0.35897513955555499</v>
      </c>
      <c r="W784" s="2">
        <v>0.212297044594638</v>
      </c>
      <c r="X784" s="2">
        <v>3.3667387433333298</v>
      </c>
      <c r="Y784" s="2">
        <v>0.209757264530607</v>
      </c>
      <c r="Z784" s="7">
        <v>94.118158406589203</v>
      </c>
      <c r="AA784" s="2">
        <v>23.651803389586199</v>
      </c>
      <c r="AB784" s="7">
        <v>122.231547044389</v>
      </c>
      <c r="AC784" s="2">
        <v>15.8177709843906</v>
      </c>
      <c r="AD784" s="2">
        <v>91.237940802477993</v>
      </c>
      <c r="AE784" s="2">
        <v>12.8137634465558</v>
      </c>
      <c r="AF784" s="2">
        <v>94.398054164672104</v>
      </c>
      <c r="AG784" s="2">
        <v>6.7479945937315096</v>
      </c>
      <c r="AH784" s="2">
        <v>79.498240514890298</v>
      </c>
      <c r="AI784" s="2">
        <v>38.144752987983402</v>
      </c>
      <c r="AJ784" s="2">
        <v>115.390311002437</v>
      </c>
      <c r="AK784" s="2">
        <v>68.241555755095504</v>
      </c>
      <c r="AL784" s="2">
        <v>93.697958981021202</v>
      </c>
      <c r="AM784" s="2">
        <v>5.8376455871064099</v>
      </c>
      <c r="AN784"/>
      <c r="AO784"/>
    </row>
    <row r="785" spans="1:41" ht="15.75" hidden="1" customHeight="1" x14ac:dyDescent="0.45">
      <c r="A785" s="2" t="s">
        <v>169</v>
      </c>
      <c r="B785" s="2" t="s">
        <v>170</v>
      </c>
      <c r="C785" s="2">
        <v>3.0000000000000001E-3</v>
      </c>
      <c r="D785" s="2"/>
      <c r="E785" s="2" t="s">
        <v>109</v>
      </c>
      <c r="F785" s="2" t="s">
        <v>84</v>
      </c>
      <c r="H785" s="2">
        <v>24</v>
      </c>
      <c r="J785" s="2">
        <v>24</v>
      </c>
      <c r="K785" s="2">
        <v>33.2777777777777</v>
      </c>
      <c r="L785" s="2"/>
      <c r="M785" s="2">
        <v>1.3877773329773999</v>
      </c>
      <c r="N785" s="2">
        <v>152.166666666666</v>
      </c>
      <c r="O785" s="2">
        <v>17.176372660657599</v>
      </c>
      <c r="P785" s="2">
        <v>18.7222222222222</v>
      </c>
      <c r="Q785" s="2">
        <v>3.6980976090316799</v>
      </c>
      <c r="R785" s="2">
        <v>1.94444444444444</v>
      </c>
      <c r="S785" s="2">
        <v>0.82214714371937403</v>
      </c>
      <c r="T785" s="2">
        <v>4.05555555555555</v>
      </c>
      <c r="U785" s="2">
        <v>0.41943524640392299</v>
      </c>
      <c r="V785" s="2">
        <v>0.77777777777777701</v>
      </c>
      <c r="W785" s="2">
        <v>9.6225044864937201E-2</v>
      </c>
      <c r="X785" s="2">
        <v>2.1666666666666599</v>
      </c>
      <c r="Y785" s="2">
        <v>0.76376261582597305</v>
      </c>
      <c r="Z785" s="7">
        <v>105.98819773628701</v>
      </c>
      <c r="AA785" s="2">
        <v>11.963807986527501</v>
      </c>
      <c r="AB785" s="7">
        <v>93.59375</v>
      </c>
      <c r="AC785" s="2">
        <v>3.9031237489989401</v>
      </c>
      <c r="AD785" s="2">
        <v>82.954545454545396</v>
      </c>
      <c r="AE785" s="2">
        <v>8.5793573128075291</v>
      </c>
      <c r="AF785" s="2">
        <v>111.58940397350899</v>
      </c>
      <c r="AG785" s="2">
        <v>22.0416413783345</v>
      </c>
      <c r="AH785" s="2">
        <v>83.3333333333333</v>
      </c>
      <c r="AI785" s="2">
        <v>35.234877587973202</v>
      </c>
      <c r="AJ785" s="2">
        <v>127.272727272727</v>
      </c>
      <c r="AK785" s="2">
        <v>15.745916432444201</v>
      </c>
      <c r="AL785" s="2">
        <v>96.296296296296205</v>
      </c>
      <c r="AM785" s="2">
        <v>33.945005147821</v>
      </c>
      <c r="AN785"/>
      <c r="AO785"/>
    </row>
    <row r="786" spans="1:41" ht="15.75" hidden="1" customHeight="1" x14ac:dyDescent="0.45">
      <c r="A786" s="2" t="s">
        <v>169</v>
      </c>
      <c r="B786" s="2" t="s">
        <v>170</v>
      </c>
      <c r="C786" s="2">
        <v>0.01</v>
      </c>
      <c r="D786" s="2"/>
      <c r="E786" s="2" t="s">
        <v>109</v>
      </c>
      <c r="F786" s="2" t="s">
        <v>84</v>
      </c>
      <c r="H786" s="2">
        <v>24</v>
      </c>
      <c r="J786" s="2">
        <v>24</v>
      </c>
      <c r="K786" s="2">
        <v>37.2222222222222</v>
      </c>
      <c r="L786" s="2"/>
      <c r="M786" s="2">
        <v>4.00115724000689</v>
      </c>
      <c r="N786" s="2">
        <v>186.333333333333</v>
      </c>
      <c r="O786" s="2">
        <v>10.6809799800078</v>
      </c>
      <c r="P786" s="2">
        <v>17.4444444444444</v>
      </c>
      <c r="Q786" s="2">
        <v>2.08388881483455</v>
      </c>
      <c r="R786" s="2">
        <v>1.8333333333333299</v>
      </c>
      <c r="S786" s="2">
        <v>0.33333333333333098</v>
      </c>
      <c r="T786" s="2">
        <v>6.3888888888888804</v>
      </c>
      <c r="U786" s="2">
        <v>2.2628235393795899</v>
      </c>
      <c r="V786" s="2">
        <v>0.38888888888888801</v>
      </c>
      <c r="W786" s="2">
        <v>0.19245008972987501</v>
      </c>
      <c r="X786" s="2">
        <v>2.2222222222222201</v>
      </c>
      <c r="Y786" s="2">
        <v>0.34694433324435597</v>
      </c>
      <c r="Z786" s="7">
        <v>129.786204895037</v>
      </c>
      <c r="AA786" s="2">
        <v>7.4395913568788297</v>
      </c>
      <c r="AB786" s="7">
        <v>104.6875</v>
      </c>
      <c r="AC786" s="2">
        <v>11.253254737519301</v>
      </c>
      <c r="AD786" s="2">
        <v>130.68181818181799</v>
      </c>
      <c r="AE786" s="2">
        <v>46.2850269418552</v>
      </c>
      <c r="AF786" s="2">
        <v>103.973509933774</v>
      </c>
      <c r="AG786" s="2">
        <v>12.420529359941</v>
      </c>
      <c r="AH786" s="2">
        <v>78.571428571428498</v>
      </c>
      <c r="AI786" s="2">
        <v>14.285714285714199</v>
      </c>
      <c r="AJ786" s="2">
        <v>63.636363636363598</v>
      </c>
      <c r="AK786" s="2">
        <v>31.4918328648886</v>
      </c>
      <c r="AL786" s="2">
        <v>98.765432098765402</v>
      </c>
      <c r="AM786" s="2">
        <v>15.4197481441936</v>
      </c>
      <c r="AN786"/>
      <c r="AO786"/>
    </row>
    <row r="787" spans="1:41" ht="15.75" hidden="1" customHeight="1" x14ac:dyDescent="0.45">
      <c r="A787" s="2" t="s">
        <v>169</v>
      </c>
      <c r="B787" s="2" t="s">
        <v>170</v>
      </c>
      <c r="C787" s="2">
        <v>0.03</v>
      </c>
      <c r="D787" s="2"/>
      <c r="E787" s="2" t="s">
        <v>109</v>
      </c>
      <c r="F787" s="2" t="s">
        <v>84</v>
      </c>
      <c r="H787" s="2">
        <v>24</v>
      </c>
      <c r="J787" s="2">
        <v>24</v>
      </c>
      <c r="K787" s="2">
        <v>36.8333333333333</v>
      </c>
      <c r="L787" s="2"/>
      <c r="M787" s="2">
        <v>2.08166599946611</v>
      </c>
      <c r="N787" s="2">
        <v>160.666666666666</v>
      </c>
      <c r="O787" s="2">
        <v>24.386357752736298</v>
      </c>
      <c r="P787" s="2">
        <v>18.7222222222222</v>
      </c>
      <c r="Q787" s="2">
        <v>0.96225044864940401</v>
      </c>
      <c r="R787" s="2">
        <v>2.4444444444444402</v>
      </c>
      <c r="S787" s="2">
        <v>0.58531409738070805</v>
      </c>
      <c r="T787" s="2">
        <v>4.3888888888888804</v>
      </c>
      <c r="U787" s="2">
        <v>1.61875580937038</v>
      </c>
      <c r="V787" s="2">
        <v>0.83333333333333304</v>
      </c>
      <c r="W787" s="2">
        <v>0.57735026918962495</v>
      </c>
      <c r="X787" s="2">
        <v>2.6111111111111098</v>
      </c>
      <c r="Y787" s="2">
        <v>0.41943524640392799</v>
      </c>
      <c r="Z787" s="7">
        <v>111.908677566024</v>
      </c>
      <c r="AA787" s="2">
        <v>16.985757552452501</v>
      </c>
      <c r="AB787" s="7">
        <v>103.59375</v>
      </c>
      <c r="AC787" s="2">
        <v>5.8546856234984403</v>
      </c>
      <c r="AD787" s="2">
        <v>89.772727272727195</v>
      </c>
      <c r="AE787" s="2">
        <v>33.110914282575997</v>
      </c>
      <c r="AF787" s="2">
        <v>111.58940397350899</v>
      </c>
      <c r="AG787" s="2">
        <v>5.7352675747315498</v>
      </c>
      <c r="AH787" s="2">
        <v>104.76190476190401</v>
      </c>
      <c r="AI787" s="2">
        <v>25.084889887744598</v>
      </c>
      <c r="AJ787" s="2">
        <v>136.363636363636</v>
      </c>
      <c r="AK787" s="2">
        <v>94.475498594666007</v>
      </c>
      <c r="AL787" s="2">
        <v>116.049382716049</v>
      </c>
      <c r="AM787" s="2">
        <v>18.641566506841201</v>
      </c>
      <c r="AN787"/>
      <c r="AO787"/>
    </row>
    <row r="788" spans="1:41" ht="15.75" hidden="1" customHeight="1" x14ac:dyDescent="0.45">
      <c r="A788" s="2" t="s">
        <v>169</v>
      </c>
      <c r="B788" s="2" t="s">
        <v>170</v>
      </c>
      <c r="C788" s="2">
        <v>0.1</v>
      </c>
      <c r="D788" s="2"/>
      <c r="E788" s="2" t="s">
        <v>109</v>
      </c>
      <c r="F788" s="2" t="s">
        <v>84</v>
      </c>
      <c r="H788" s="2">
        <v>24</v>
      </c>
      <c r="J788" s="2">
        <v>24</v>
      </c>
      <c r="K788" s="2">
        <v>35.9444444444444</v>
      </c>
      <c r="L788" s="2"/>
      <c r="M788" s="2">
        <v>2.6994512473902801</v>
      </c>
      <c r="N788" s="2">
        <v>168.888888888888</v>
      </c>
      <c r="O788" s="2">
        <v>2.5513250007100599</v>
      </c>
      <c r="P788" s="2">
        <v>20.5</v>
      </c>
      <c r="Q788" s="2">
        <v>1.8333333333333499</v>
      </c>
      <c r="R788" s="2">
        <v>2.05555555555555</v>
      </c>
      <c r="S788" s="2">
        <v>0.63098981620003003</v>
      </c>
      <c r="T788" s="2">
        <v>4.1111111111111098</v>
      </c>
      <c r="U788" s="2">
        <v>0.41943524640392799</v>
      </c>
      <c r="V788" s="2">
        <v>0.61111111111111105</v>
      </c>
      <c r="W788" s="2">
        <v>9.6225044864937798E-2</v>
      </c>
      <c r="X788" s="2">
        <v>2.88888888888888</v>
      </c>
      <c r="Y788" s="2">
        <v>0.25458753860865702</v>
      </c>
      <c r="Z788" s="7">
        <v>117.635677662764</v>
      </c>
      <c r="AA788" s="2">
        <v>1.7770668477423199</v>
      </c>
      <c r="AB788" s="7">
        <v>101.09375</v>
      </c>
      <c r="AC788" s="2">
        <v>7.5922066332851701</v>
      </c>
      <c r="AD788" s="2">
        <v>84.090909090909093</v>
      </c>
      <c r="AE788" s="2">
        <v>8.5793573128076197</v>
      </c>
      <c r="AF788" s="2">
        <v>122.185430463576</v>
      </c>
      <c r="AG788" s="2">
        <v>10.9271523178809</v>
      </c>
      <c r="AH788" s="2">
        <v>88.095238095238003</v>
      </c>
      <c r="AI788" s="2">
        <v>27.042420694286999</v>
      </c>
      <c r="AJ788" s="2">
        <v>100</v>
      </c>
      <c r="AK788" s="2">
        <v>15.7459164324443</v>
      </c>
      <c r="AL788" s="2">
        <v>128.39506172839501</v>
      </c>
      <c r="AM788" s="2">
        <v>11.3150017159403</v>
      </c>
      <c r="AN788"/>
      <c r="AO788"/>
    </row>
    <row r="789" spans="1:41" ht="15.75" hidden="1" customHeight="1" x14ac:dyDescent="0.45">
      <c r="A789" s="2" t="s">
        <v>169</v>
      </c>
      <c r="B789" s="2" t="s">
        <v>170</v>
      </c>
      <c r="C789" s="2">
        <v>0.3</v>
      </c>
      <c r="D789" s="2"/>
      <c r="E789" s="2" t="s">
        <v>109</v>
      </c>
      <c r="F789" s="2" t="s">
        <v>84</v>
      </c>
      <c r="H789" s="2">
        <v>24</v>
      </c>
      <c r="J789" s="2">
        <v>24</v>
      </c>
      <c r="K789" s="2">
        <v>36.7777777777777</v>
      </c>
      <c r="L789" s="2"/>
      <c r="M789" s="2">
        <v>4.6706332348852602</v>
      </c>
      <c r="N789" s="2">
        <v>160.777777777777</v>
      </c>
      <c r="O789" s="2">
        <v>19.134272141118199</v>
      </c>
      <c r="P789" s="2">
        <v>23.6111111111111</v>
      </c>
      <c r="Q789" s="2">
        <v>5.5934816560919298</v>
      </c>
      <c r="R789" s="2">
        <v>2.2222222222222201</v>
      </c>
      <c r="S789" s="2">
        <v>1.0046189622236099</v>
      </c>
      <c r="T789" s="2">
        <v>4.5</v>
      </c>
      <c r="U789" s="2">
        <v>1.8027756377319899</v>
      </c>
      <c r="V789" s="2">
        <v>0.88888888888888795</v>
      </c>
      <c r="W789" s="2">
        <v>0.38490017945975002</v>
      </c>
      <c r="X789" s="2">
        <v>2.7777777777777701</v>
      </c>
      <c r="Y789" s="2">
        <v>0.48112522432468702</v>
      </c>
      <c r="Z789" s="7">
        <v>111.986069459224</v>
      </c>
      <c r="AA789" s="2">
        <v>13.327537913906401</v>
      </c>
      <c r="AB789" s="7">
        <v>103.4375</v>
      </c>
      <c r="AC789" s="2">
        <v>13.1361559731148</v>
      </c>
      <c r="AD789" s="2">
        <v>92.045454545454504</v>
      </c>
      <c r="AE789" s="2">
        <v>36.874956226336202</v>
      </c>
      <c r="AF789" s="2">
        <v>140.728476821192</v>
      </c>
      <c r="AG789" s="2">
        <v>33.338632387302901</v>
      </c>
      <c r="AH789" s="2">
        <v>95.238095238095198</v>
      </c>
      <c r="AI789" s="2">
        <v>43.055098381012201</v>
      </c>
      <c r="AJ789" s="2">
        <v>145.45454545454501</v>
      </c>
      <c r="AK789" s="2">
        <v>62.9836657297773</v>
      </c>
      <c r="AL789" s="2">
        <v>123.456790123456</v>
      </c>
      <c r="AM789" s="2">
        <v>21.3833433033194</v>
      </c>
      <c r="AN789"/>
      <c r="AO789"/>
    </row>
    <row r="790" spans="1:41" ht="15.75" hidden="1" customHeight="1" x14ac:dyDescent="0.45">
      <c r="A790" s="2" t="s">
        <v>169</v>
      </c>
      <c r="B790" s="2" t="s">
        <v>170</v>
      </c>
      <c r="C790" s="2">
        <v>1</v>
      </c>
      <c r="D790" s="2"/>
      <c r="E790" s="2" t="s">
        <v>109</v>
      </c>
      <c r="F790" s="2" t="s">
        <v>84</v>
      </c>
      <c r="H790" s="2">
        <v>24</v>
      </c>
      <c r="J790" s="2">
        <v>24</v>
      </c>
      <c r="K790" s="2">
        <v>39.3333333333333</v>
      </c>
      <c r="L790" s="2"/>
      <c r="M790" s="2">
        <v>2.6457513110646702</v>
      </c>
      <c r="N790" s="2">
        <v>161.166666666666</v>
      </c>
      <c r="O790" s="2">
        <v>30.8922859842605</v>
      </c>
      <c r="P790" s="2">
        <v>21.7222222222222</v>
      </c>
      <c r="Q790" s="2">
        <v>1.0183501544346401</v>
      </c>
      <c r="R790" s="2">
        <v>1.94444444444444</v>
      </c>
      <c r="S790" s="2">
        <v>0.38490017945975102</v>
      </c>
      <c r="T790" s="2">
        <v>5.7222222222222197</v>
      </c>
      <c r="U790" s="2">
        <v>1.5840641588203599</v>
      </c>
      <c r="V790" s="2">
        <v>0.61111111111111105</v>
      </c>
      <c r="W790" s="2">
        <v>9.6225044864937201E-2</v>
      </c>
      <c r="X790" s="2">
        <v>1.44444444444444</v>
      </c>
      <c r="Y790" s="2">
        <v>0.58531409738070805</v>
      </c>
      <c r="Z790" s="7">
        <v>112.256941085421</v>
      </c>
      <c r="AA790" s="2">
        <v>21.517312478153801</v>
      </c>
      <c r="AB790" s="7">
        <v>110.625</v>
      </c>
      <c r="AC790" s="2">
        <v>7.4411755623694003</v>
      </c>
      <c r="AD790" s="2">
        <v>117.04545454545401</v>
      </c>
      <c r="AE790" s="2">
        <v>32.401312339507399</v>
      </c>
      <c r="AF790" s="2">
        <v>129.47019867549599</v>
      </c>
      <c r="AG790" s="2">
        <v>6.0696366820607999</v>
      </c>
      <c r="AH790" s="2">
        <v>83.3333333333333</v>
      </c>
      <c r="AI790" s="2">
        <v>16.495721976846401</v>
      </c>
      <c r="AJ790" s="2">
        <v>100</v>
      </c>
      <c r="AK790" s="2">
        <v>15.745916432444201</v>
      </c>
      <c r="AL790" s="2">
        <v>64.197530864197503</v>
      </c>
      <c r="AM790" s="2">
        <v>26.013959883586999</v>
      </c>
      <c r="AN790"/>
      <c r="AO790"/>
    </row>
    <row r="791" spans="1:41" ht="15.75" hidden="1" customHeight="1" x14ac:dyDescent="0.45">
      <c r="A791" s="2" t="s">
        <v>169</v>
      </c>
      <c r="B791" s="2" t="s">
        <v>170</v>
      </c>
      <c r="C791" s="2">
        <v>3</v>
      </c>
      <c r="D791" s="2"/>
      <c r="E791" s="2" t="s">
        <v>109</v>
      </c>
      <c r="F791" s="2" t="s">
        <v>84</v>
      </c>
      <c r="H791" s="2">
        <v>24</v>
      </c>
      <c r="J791" s="2">
        <v>24</v>
      </c>
      <c r="K791" s="2">
        <v>38.7777777777777</v>
      </c>
      <c r="L791" s="2"/>
      <c r="M791" s="2">
        <v>3.9311199045188001</v>
      </c>
      <c r="N791" s="2">
        <v>142.833333333333</v>
      </c>
      <c r="O791" s="2">
        <v>12.662279942148301</v>
      </c>
      <c r="P791" s="2">
        <v>21.1111111111111</v>
      </c>
      <c r="Q791" s="2">
        <v>3.6565517048676202</v>
      </c>
      <c r="R791" s="2">
        <v>2.38888888888888</v>
      </c>
      <c r="S791" s="2">
        <v>0.76980035891950205</v>
      </c>
      <c r="T791" s="2">
        <v>4</v>
      </c>
      <c r="U791" s="2">
        <v>1.96497102042526</v>
      </c>
      <c r="V791" s="2">
        <v>0.5</v>
      </c>
      <c r="W791" s="2">
        <v>0.33333333333333298</v>
      </c>
      <c r="X791" s="2">
        <v>1.94444444444444</v>
      </c>
      <c r="Y791" s="2">
        <v>0.63098981620002903</v>
      </c>
      <c r="Z791" s="7">
        <v>99.487278707555305</v>
      </c>
      <c r="AA791" s="2">
        <v>8.8196203524686094</v>
      </c>
      <c r="AB791" s="7">
        <v>109.0625</v>
      </c>
      <c r="AC791" s="2">
        <v>11.0562747314591</v>
      </c>
      <c r="AD791" s="2">
        <v>81.818181818181799</v>
      </c>
      <c r="AE791" s="2">
        <v>40.192589054153103</v>
      </c>
      <c r="AF791" s="2">
        <v>125.827814569536</v>
      </c>
      <c r="AG791" s="2">
        <v>21.794016783979199</v>
      </c>
      <c r="AH791" s="2">
        <v>102.380952380952</v>
      </c>
      <c r="AI791" s="2">
        <v>32.991443953692901</v>
      </c>
      <c r="AJ791" s="2">
        <v>81.818181818181799</v>
      </c>
      <c r="AK791" s="2">
        <v>54.545454545454497</v>
      </c>
      <c r="AL791" s="2">
        <v>86.419753086419703</v>
      </c>
      <c r="AM791" s="2">
        <v>28.0439918311124</v>
      </c>
      <c r="AN791"/>
      <c r="AO791"/>
    </row>
    <row r="792" spans="1:41" ht="15.75" hidden="1" customHeight="1" x14ac:dyDescent="0.45">
      <c r="A792" s="2" t="s">
        <v>169</v>
      </c>
      <c r="B792" s="2" t="s">
        <v>170</v>
      </c>
      <c r="C792" s="2">
        <v>10</v>
      </c>
      <c r="D792" s="2"/>
      <c r="E792" s="2" t="s">
        <v>109</v>
      </c>
      <c r="F792" s="2" t="s">
        <v>84</v>
      </c>
      <c r="H792" s="2">
        <v>24</v>
      </c>
      <c r="J792" s="2">
        <v>24</v>
      </c>
      <c r="K792" s="2">
        <v>28.7777777777777</v>
      </c>
      <c r="L792" s="2"/>
      <c r="M792" s="2">
        <v>0.50917507721718303</v>
      </c>
      <c r="N792" s="2">
        <v>92.2777777777777</v>
      </c>
      <c r="O792" s="2">
        <v>32.895598039408902</v>
      </c>
      <c r="P792" s="2">
        <v>18.5</v>
      </c>
      <c r="Q792" s="2">
        <v>4.8676939555034098</v>
      </c>
      <c r="R792" s="2">
        <v>1.05555555555555</v>
      </c>
      <c r="S792" s="2">
        <v>0.41943524640392998</v>
      </c>
      <c r="T792" s="2">
        <v>13.2777777777777</v>
      </c>
      <c r="U792" s="2">
        <v>7.6763224219626096</v>
      </c>
      <c r="V792" s="2">
        <v>0.5</v>
      </c>
      <c r="W792" s="2">
        <v>0.28867513459481298</v>
      </c>
      <c r="X792" s="2">
        <v>2.6666666666666599</v>
      </c>
      <c r="Y792" s="2">
        <v>1.32287565553229</v>
      </c>
      <c r="Z792" s="7">
        <v>64.273967301925097</v>
      </c>
      <c r="AA792" s="2">
        <v>22.912673491703998</v>
      </c>
      <c r="AB792" s="7">
        <v>80.9375</v>
      </c>
      <c r="AC792" s="2">
        <v>1.43205490467332</v>
      </c>
      <c r="AD792" s="2">
        <v>271.59090909090901</v>
      </c>
      <c r="AE792" s="2">
        <v>157.01568590378</v>
      </c>
      <c r="AF792" s="2">
        <v>110.26490066225099</v>
      </c>
      <c r="AG792" s="2">
        <v>29.012745430152702</v>
      </c>
      <c r="AH792" s="2">
        <v>45.238095238095198</v>
      </c>
      <c r="AI792" s="2">
        <v>17.975796274454101</v>
      </c>
      <c r="AJ792" s="2">
        <v>81.818181818181799</v>
      </c>
      <c r="AK792" s="2">
        <v>47.237749297333004</v>
      </c>
      <c r="AL792" s="2">
        <v>118.51851851851799</v>
      </c>
      <c r="AM792" s="2">
        <v>58.794473579213097</v>
      </c>
      <c r="AN792"/>
      <c r="AO792"/>
    </row>
    <row r="793" spans="1:41" ht="15.75" hidden="1" customHeight="1" x14ac:dyDescent="0.45">
      <c r="A793" s="2" t="s">
        <v>169</v>
      </c>
      <c r="B793" s="2" t="s">
        <v>170</v>
      </c>
      <c r="C793" s="2">
        <v>3.0000000000000001E-3</v>
      </c>
      <c r="D793" s="2"/>
      <c r="E793" s="2" t="s">
        <v>109</v>
      </c>
      <c r="F793" s="2" t="s">
        <v>84</v>
      </c>
      <c r="H793" s="2" t="s">
        <v>87</v>
      </c>
      <c r="K793" s="2">
        <v>33.5555555555555</v>
      </c>
      <c r="L793" s="2"/>
      <c r="M793" s="2">
        <v>2.1751968833834998</v>
      </c>
      <c r="N793" s="2">
        <v>244.388888888888</v>
      </c>
      <c r="O793" s="2">
        <v>10.7423530079861</v>
      </c>
      <c r="P793" s="2">
        <v>13</v>
      </c>
      <c r="Q793" s="2">
        <v>1.5275252316519601</v>
      </c>
      <c r="R793" s="2">
        <v>2.5</v>
      </c>
      <c r="S793" s="2">
        <v>0.57735026918962595</v>
      </c>
      <c r="T793" s="2">
        <v>9.4444444444444393</v>
      </c>
      <c r="U793" s="2">
        <v>1.3471506281091199</v>
      </c>
      <c r="V793" s="2">
        <v>0.38888888888888801</v>
      </c>
      <c r="W793" s="2">
        <v>0.25458753860865702</v>
      </c>
      <c r="X793" s="2">
        <v>3.6111111111111098</v>
      </c>
      <c r="Y793" s="2">
        <v>0.50917507721731503</v>
      </c>
      <c r="Z793" s="7">
        <v>103.123717986286</v>
      </c>
      <c r="AA793" s="2">
        <v>4.5329040413468</v>
      </c>
      <c r="AB793" s="7">
        <v>95.796986518636004</v>
      </c>
      <c r="AC793" s="2">
        <v>6.2099197305159404</v>
      </c>
      <c r="AD793" s="2">
        <v>118.466898954703</v>
      </c>
      <c r="AE793" s="2">
        <v>16.8980566592085</v>
      </c>
      <c r="AF793" s="2">
        <v>93.6</v>
      </c>
      <c r="AG793" s="2">
        <v>10.9981816678941</v>
      </c>
      <c r="AH793" s="2">
        <v>137.404580152671</v>
      </c>
      <c r="AI793" s="2">
        <v>31.732228535613</v>
      </c>
      <c r="AJ793" s="2">
        <v>59.574468085106297</v>
      </c>
      <c r="AK793" s="2">
        <v>39.0006442123901</v>
      </c>
      <c r="AL793" s="2">
        <v>94.545454545454504</v>
      </c>
      <c r="AM793" s="2">
        <v>13.331129294417</v>
      </c>
      <c r="AN793"/>
      <c r="AO793"/>
    </row>
    <row r="794" spans="1:41" ht="15.75" hidden="1" customHeight="1" x14ac:dyDescent="0.45">
      <c r="A794" s="2" t="s">
        <v>169</v>
      </c>
      <c r="B794" s="2" t="s">
        <v>170</v>
      </c>
      <c r="C794" s="2">
        <v>0.01</v>
      </c>
      <c r="D794" s="2"/>
      <c r="E794" s="2" t="s">
        <v>109</v>
      </c>
      <c r="F794" s="2" t="s">
        <v>84</v>
      </c>
      <c r="H794" s="2" t="s">
        <v>87</v>
      </c>
      <c r="K794" s="2">
        <v>33.6111111111111</v>
      </c>
      <c r="L794" s="2"/>
      <c r="M794" s="2">
        <v>0.34694433324445201</v>
      </c>
      <c r="N794" s="2">
        <v>219.777777777777</v>
      </c>
      <c r="O794" s="2">
        <v>23.7371797756959</v>
      </c>
      <c r="P794" s="2">
        <v>13.5555555555555</v>
      </c>
      <c r="Q794" s="2">
        <v>1.79763218748482</v>
      </c>
      <c r="R794" s="2">
        <v>2.1111111111111098</v>
      </c>
      <c r="S794" s="2">
        <v>0.69388866648870995</v>
      </c>
      <c r="T794" s="2">
        <v>6.5</v>
      </c>
      <c r="U794" s="2">
        <v>0.66666666666667596</v>
      </c>
      <c r="V794" s="2">
        <v>0.55555555555555503</v>
      </c>
      <c r="W794" s="2">
        <v>0.25458753860865702</v>
      </c>
      <c r="X794" s="2">
        <v>3.5</v>
      </c>
      <c r="Y794" s="2">
        <v>0.28867513459481697</v>
      </c>
      <c r="Z794" s="7">
        <v>92.738674324561899</v>
      </c>
      <c r="AA794" s="2">
        <v>10.0162746518789</v>
      </c>
      <c r="AB794" s="7">
        <v>95.955590800951597</v>
      </c>
      <c r="AC794" s="2">
        <v>0.99048342559875402</v>
      </c>
      <c r="AD794" s="2">
        <v>81.533101045296107</v>
      </c>
      <c r="AE794" s="2">
        <v>8.3623693379792101</v>
      </c>
      <c r="AF794" s="2">
        <v>97.599999999999895</v>
      </c>
      <c r="AG794" s="2">
        <v>12.9429517498907</v>
      </c>
      <c r="AH794" s="2">
        <v>116.03053435114499</v>
      </c>
      <c r="AI794" s="2">
        <v>38.137392356631402</v>
      </c>
      <c r="AJ794" s="2">
        <v>85.106382978723303</v>
      </c>
      <c r="AK794" s="2">
        <v>39.0006442123901</v>
      </c>
      <c r="AL794" s="2">
        <v>91.636363636363598</v>
      </c>
      <c r="AM794" s="2">
        <v>7.5580398875733898</v>
      </c>
      <c r="AN794"/>
      <c r="AO794"/>
    </row>
    <row r="795" spans="1:41" ht="15.75" hidden="1" customHeight="1" x14ac:dyDescent="0.45">
      <c r="A795" s="2" t="s">
        <v>169</v>
      </c>
      <c r="B795" s="2" t="s">
        <v>170</v>
      </c>
      <c r="C795" s="2">
        <v>0.03</v>
      </c>
      <c r="D795" s="2"/>
      <c r="E795" s="2" t="s">
        <v>109</v>
      </c>
      <c r="F795" s="2" t="s">
        <v>84</v>
      </c>
      <c r="H795" s="2" t="s">
        <v>87</v>
      </c>
      <c r="K795" s="2">
        <v>35</v>
      </c>
      <c r="L795" s="2"/>
      <c r="M795" s="2">
        <v>4.25245027405765</v>
      </c>
      <c r="N795" s="2">
        <v>263.83333333333297</v>
      </c>
      <c r="O795" s="2">
        <v>11.512070959553499</v>
      </c>
      <c r="P795" s="2">
        <v>15.3333333333333</v>
      </c>
      <c r="Q795" s="2">
        <v>1.85592145427669</v>
      </c>
      <c r="R795" s="2">
        <v>1.94444444444444</v>
      </c>
      <c r="S795" s="2">
        <v>0.19245008972987299</v>
      </c>
      <c r="T795" s="2">
        <v>8.7777777777777697</v>
      </c>
      <c r="U795" s="2">
        <v>0.50917507721730804</v>
      </c>
      <c r="V795" s="2">
        <v>0.44444444444444398</v>
      </c>
      <c r="W795" s="2">
        <v>0.25458753860865702</v>
      </c>
      <c r="X795" s="2">
        <v>3.3333333333333299</v>
      </c>
      <c r="Y795" s="2">
        <v>0.33333333333333198</v>
      </c>
      <c r="Z795" s="7">
        <v>111.32860575514199</v>
      </c>
      <c r="AA795" s="2">
        <v>4.8576985822414196</v>
      </c>
      <c r="AB795" s="7">
        <v>99.920697858842203</v>
      </c>
      <c r="AC795" s="2">
        <v>12.1402228283961</v>
      </c>
      <c r="AD795" s="2">
        <v>110.10452961672399</v>
      </c>
      <c r="AE795" s="2">
        <v>6.3868650800777402</v>
      </c>
      <c r="AF795" s="2">
        <v>110.4</v>
      </c>
      <c r="AG795" s="2">
        <v>13.3626344707921</v>
      </c>
      <c r="AH795" s="2">
        <v>106.870229007633</v>
      </c>
      <c r="AI795" s="2">
        <v>10.577409511870901</v>
      </c>
      <c r="AJ795" s="2">
        <v>68.085106382978694</v>
      </c>
      <c r="AK795" s="2">
        <v>39.0006442123901</v>
      </c>
      <c r="AL795" s="2">
        <v>87.272727272727195</v>
      </c>
      <c r="AM795" s="2">
        <v>8.7272727272727106</v>
      </c>
      <c r="AN795"/>
      <c r="AO795"/>
    </row>
    <row r="796" spans="1:41" ht="15.75" hidden="1" customHeight="1" x14ac:dyDescent="0.45">
      <c r="A796" s="2" t="s">
        <v>169</v>
      </c>
      <c r="B796" s="2" t="s">
        <v>170</v>
      </c>
      <c r="C796" s="2">
        <v>0.1</v>
      </c>
      <c r="D796" s="2"/>
      <c r="E796" s="2" t="s">
        <v>109</v>
      </c>
      <c r="F796" s="2" t="s">
        <v>84</v>
      </c>
      <c r="H796" s="2" t="s">
        <v>87</v>
      </c>
      <c r="K796" s="2">
        <v>39.3333333333333</v>
      </c>
      <c r="L796" s="2"/>
      <c r="M796" s="2">
        <v>2.12785755580073</v>
      </c>
      <c r="N796" s="2">
        <v>260.888888888888</v>
      </c>
      <c r="O796" s="2">
        <v>17.591296248534601</v>
      </c>
      <c r="P796" s="2">
        <v>13.1666666666666</v>
      </c>
      <c r="Q796" s="2">
        <v>1.85592145427666</v>
      </c>
      <c r="R796" s="2">
        <v>2.1111111111111098</v>
      </c>
      <c r="S796" s="2">
        <v>0.38490017945975102</v>
      </c>
      <c r="T796" s="2">
        <v>8.55555555555555</v>
      </c>
      <c r="U796" s="2">
        <v>1.13447654759233</v>
      </c>
      <c r="V796" s="2">
        <v>0.72222222222222199</v>
      </c>
      <c r="W796" s="2">
        <v>0.41943524640392998</v>
      </c>
      <c r="X796" s="2">
        <v>2.9444444444444402</v>
      </c>
      <c r="Y796" s="2">
        <v>0.34694433324435198</v>
      </c>
      <c r="Z796" s="7">
        <v>110.086151321573</v>
      </c>
      <c r="AA796" s="2">
        <v>7.4229228734366304</v>
      </c>
      <c r="AB796" s="7">
        <v>112.29183187946001</v>
      </c>
      <c r="AC796" s="2">
        <v>6.0747717691377003</v>
      </c>
      <c r="AD796" s="2">
        <v>107.31707317073101</v>
      </c>
      <c r="AE796" s="2">
        <v>14.2303678443637</v>
      </c>
      <c r="AF796" s="2">
        <v>94.8</v>
      </c>
      <c r="AG796" s="2">
        <v>13.3626344707919</v>
      </c>
      <c r="AH796" s="2">
        <v>116.03053435114499</v>
      </c>
      <c r="AI796" s="2">
        <v>21.154819023742</v>
      </c>
      <c r="AJ796" s="2">
        <v>110.63829787234</v>
      </c>
      <c r="AK796" s="2">
        <v>64.253910087410603</v>
      </c>
      <c r="AL796" s="2">
        <v>77.090909090909093</v>
      </c>
      <c r="AM796" s="2">
        <v>9.0836334522157802</v>
      </c>
      <c r="AN796"/>
      <c r="AO796"/>
    </row>
    <row r="797" spans="1:41" ht="15.75" hidden="1" customHeight="1" x14ac:dyDescent="0.45">
      <c r="A797" s="2" t="s">
        <v>169</v>
      </c>
      <c r="B797" s="2" t="s">
        <v>170</v>
      </c>
      <c r="C797" s="2">
        <v>0.3</v>
      </c>
      <c r="D797" s="2"/>
      <c r="E797" s="2" t="s">
        <v>109</v>
      </c>
      <c r="F797" s="2" t="s">
        <v>84</v>
      </c>
      <c r="H797" s="2" t="s">
        <v>87</v>
      </c>
      <c r="K797" s="2">
        <v>35.6111111111111</v>
      </c>
      <c r="L797" s="2"/>
      <c r="M797" s="2">
        <v>6.1017605231180196</v>
      </c>
      <c r="N797" s="2">
        <v>235.166666666666</v>
      </c>
      <c r="O797" s="2">
        <v>65.198628138260005</v>
      </c>
      <c r="P797" s="2">
        <v>16.1666666666666</v>
      </c>
      <c r="Q797" s="2">
        <v>1.96497102042525</v>
      </c>
      <c r="R797" s="2">
        <v>2.7777777777777701</v>
      </c>
      <c r="S797" s="2">
        <v>9.6225044864938894E-2</v>
      </c>
      <c r="T797" s="2">
        <v>8.6111111111111107</v>
      </c>
      <c r="U797" s="2">
        <v>2.5513250007122301</v>
      </c>
      <c r="V797" s="2">
        <v>0.61111111111111105</v>
      </c>
      <c r="W797" s="2">
        <v>0.19245008972987501</v>
      </c>
      <c r="X797" s="2">
        <v>3.55555555555555</v>
      </c>
      <c r="Y797" s="2">
        <v>0.25458753860866101</v>
      </c>
      <c r="Z797" s="7">
        <v>99.232256930199796</v>
      </c>
      <c r="AA797" s="2">
        <v>27.5115819372602</v>
      </c>
      <c r="AB797" s="7">
        <v>101.665344964314</v>
      </c>
      <c r="AC797" s="2">
        <v>17.4197762753567</v>
      </c>
      <c r="AD797" s="2">
        <v>108.01393728222899</v>
      </c>
      <c r="AE797" s="2">
        <v>32.002682935763197</v>
      </c>
      <c r="AF797" s="2">
        <v>116.399999999999</v>
      </c>
      <c r="AG797" s="2">
        <v>14.1477913470618</v>
      </c>
      <c r="AH797" s="2">
        <v>152.67175572519</v>
      </c>
      <c r="AI797" s="2">
        <v>5.28870475593558</v>
      </c>
      <c r="AJ797" s="2">
        <v>93.617021276595693</v>
      </c>
      <c r="AK797" s="2">
        <v>29.481715873512801</v>
      </c>
      <c r="AL797" s="2">
        <v>93.090909090909093</v>
      </c>
      <c r="AM797" s="2">
        <v>6.6655646472085897</v>
      </c>
      <c r="AN797"/>
      <c r="AO797"/>
    </row>
    <row r="798" spans="1:41" ht="15.75" hidden="1" customHeight="1" x14ac:dyDescent="0.45">
      <c r="A798" s="2" t="s">
        <v>169</v>
      </c>
      <c r="B798" s="2" t="s">
        <v>170</v>
      </c>
      <c r="C798" s="2">
        <v>1</v>
      </c>
      <c r="D798" s="2"/>
      <c r="E798" s="2" t="s">
        <v>109</v>
      </c>
      <c r="F798" s="2" t="s">
        <v>84</v>
      </c>
      <c r="H798" s="2" t="s">
        <v>87</v>
      </c>
      <c r="K798" s="2">
        <v>39.7777777777777</v>
      </c>
      <c r="L798" s="2"/>
      <c r="M798" s="2">
        <v>1.1824331474329799</v>
      </c>
      <c r="N798" s="2">
        <v>235.388888888888</v>
      </c>
      <c r="O798" s="2">
        <v>23.963127539648699</v>
      </c>
      <c r="P798" s="2">
        <v>15.7222222222222</v>
      </c>
      <c r="Q798" s="2">
        <v>1.50308325094095</v>
      </c>
      <c r="R798" s="2">
        <v>3.05555555555555</v>
      </c>
      <c r="S798" s="2">
        <v>1.2509255832441799</v>
      </c>
      <c r="T798" s="2">
        <v>8.55555555555555</v>
      </c>
      <c r="U798" s="2">
        <v>2.7097218662793701</v>
      </c>
      <c r="V798" s="2">
        <v>0.94444444444444398</v>
      </c>
      <c r="W798" s="2">
        <v>0.25458753860865702</v>
      </c>
      <c r="X798" s="2">
        <v>3.1666666666666599</v>
      </c>
      <c r="Y798" s="2">
        <v>0.500000000000001</v>
      </c>
      <c r="Z798" s="7">
        <v>99.326027076129606</v>
      </c>
      <c r="AA798" s="2">
        <v>10.1116168484716</v>
      </c>
      <c r="AB798" s="7">
        <v>113.560666137985</v>
      </c>
      <c r="AC798" s="2">
        <v>3.37570129322659</v>
      </c>
      <c r="AD798" s="2">
        <v>107.31707317073101</v>
      </c>
      <c r="AE798" s="2">
        <v>33.989542573539097</v>
      </c>
      <c r="AF798" s="2">
        <v>113.19999999999899</v>
      </c>
      <c r="AG798" s="2">
        <v>10.8221994067748</v>
      </c>
      <c r="AH798" s="2">
        <v>167.93893129770899</v>
      </c>
      <c r="AI798" s="2">
        <v>68.753161827161506</v>
      </c>
      <c r="AJ798" s="2">
        <v>144.68085106382901</v>
      </c>
      <c r="AK798" s="2">
        <v>39.0006442123901</v>
      </c>
      <c r="AL798" s="2">
        <v>82.909090909090907</v>
      </c>
      <c r="AM798" s="2">
        <v>13.090909090909101</v>
      </c>
      <c r="AN798"/>
      <c r="AO798"/>
    </row>
    <row r="799" spans="1:41" ht="15.75" hidden="1" customHeight="1" x14ac:dyDescent="0.45">
      <c r="A799" s="2" t="s">
        <v>169</v>
      </c>
      <c r="B799" s="2" t="s">
        <v>170</v>
      </c>
      <c r="C799" s="2">
        <v>3</v>
      </c>
      <c r="D799" s="2"/>
      <c r="E799" s="2" t="s">
        <v>109</v>
      </c>
      <c r="F799" s="2" t="s">
        <v>84</v>
      </c>
      <c r="H799" s="2" t="s">
        <v>87</v>
      </c>
      <c r="K799" s="2">
        <v>43.4444444444444</v>
      </c>
      <c r="L799" s="2"/>
      <c r="M799" s="2">
        <v>1.3574213025406801</v>
      </c>
      <c r="N799" s="2">
        <v>216.833333333333</v>
      </c>
      <c r="O799" s="2">
        <v>50.9986383260485</v>
      </c>
      <c r="P799" s="2">
        <v>15.7777777777777</v>
      </c>
      <c r="Q799" s="2">
        <v>0.83887049280788994</v>
      </c>
      <c r="R799" s="2">
        <v>3.1111111111111098</v>
      </c>
      <c r="S799" s="2">
        <v>0.91792842454768298</v>
      </c>
      <c r="T799" s="2">
        <v>10.7222222222222</v>
      </c>
      <c r="U799" s="2">
        <v>2.1688023662159002</v>
      </c>
      <c r="V799" s="2">
        <v>0.66666666666666596</v>
      </c>
      <c r="W799" s="2">
        <v>0.44095855184409799</v>
      </c>
      <c r="X799" s="2">
        <v>3.1666666666666599</v>
      </c>
      <c r="Y799" s="2">
        <v>0.16666666666667401</v>
      </c>
      <c r="Z799" s="7">
        <v>91.496219890992194</v>
      </c>
      <c r="AA799" s="2">
        <v>21.519673911243601</v>
      </c>
      <c r="AB799" s="7">
        <v>124.028548770816</v>
      </c>
      <c r="AC799" s="2">
        <v>3.8752709668092402</v>
      </c>
      <c r="AD799" s="2">
        <v>134.494773519163</v>
      </c>
      <c r="AE799" s="2">
        <v>27.2044896110705</v>
      </c>
      <c r="AF799" s="2">
        <v>113.6</v>
      </c>
      <c r="AG799" s="2">
        <v>6.0398675482168001</v>
      </c>
      <c r="AH799" s="2">
        <v>170.99236641221299</v>
      </c>
      <c r="AI799" s="2">
        <v>50.451027914071098</v>
      </c>
      <c r="AJ799" s="2">
        <v>102.127659574468</v>
      </c>
      <c r="AK799" s="2">
        <v>67.5510973037768</v>
      </c>
      <c r="AL799" s="2">
        <v>82.909090909090907</v>
      </c>
      <c r="AM799" s="2">
        <v>4.3636363636365596</v>
      </c>
      <c r="AN799"/>
      <c r="AO799"/>
    </row>
    <row r="800" spans="1:41" ht="15.75" hidden="1" customHeight="1" x14ac:dyDescent="0.45">
      <c r="A800" s="2" t="s">
        <v>169</v>
      </c>
      <c r="B800" s="2" t="s">
        <v>170</v>
      </c>
      <c r="C800" s="2">
        <v>10</v>
      </c>
      <c r="D800" s="2"/>
      <c r="E800" s="2" t="s">
        <v>109</v>
      </c>
      <c r="F800" s="2" t="s">
        <v>84</v>
      </c>
      <c r="H800" s="2" t="s">
        <v>87</v>
      </c>
      <c r="K800" s="2">
        <v>49.6111111111111</v>
      </c>
      <c r="L800" s="2"/>
      <c r="M800" s="2">
        <v>2.7403027678082799</v>
      </c>
      <c r="N800" s="2">
        <v>228</v>
      </c>
      <c r="O800" s="2">
        <v>27.925993466860199</v>
      </c>
      <c r="P800" s="2">
        <v>15.1666666666666</v>
      </c>
      <c r="Q800" s="2">
        <v>3.9999999999999898</v>
      </c>
      <c r="R800" s="2">
        <v>3.55555555555555</v>
      </c>
      <c r="S800" s="2">
        <v>0.67357531405456506</v>
      </c>
      <c r="T800" s="2">
        <v>8.7222222222222197</v>
      </c>
      <c r="U800" s="2">
        <v>1.29457557752568</v>
      </c>
      <c r="V800" s="2">
        <v>1.1666666666666601</v>
      </c>
      <c r="W800" s="2">
        <v>0.28867513459481298</v>
      </c>
      <c r="X800" s="2">
        <v>3.4444444444444402</v>
      </c>
      <c r="Y800" s="2">
        <v>0.53575837561072004</v>
      </c>
      <c r="Z800" s="7">
        <v>96.208169723964104</v>
      </c>
      <c r="AA800" s="2">
        <v>11.7838101717982</v>
      </c>
      <c r="AB800" s="7">
        <v>141.63362410785001</v>
      </c>
      <c r="AC800" s="2">
        <v>7.8232275686834498</v>
      </c>
      <c r="AD800" s="2">
        <v>109.40766550522601</v>
      </c>
      <c r="AE800" s="2">
        <v>16.238578672795999</v>
      </c>
      <c r="AF800" s="2">
        <v>109.19999999999899</v>
      </c>
      <c r="AG800" s="2">
        <v>28.799999999999901</v>
      </c>
      <c r="AH800" s="2">
        <v>195.419847328244</v>
      </c>
      <c r="AI800" s="2">
        <v>37.020933291548602</v>
      </c>
      <c r="AJ800" s="2">
        <v>178.723404255319</v>
      </c>
      <c r="AK800" s="2">
        <v>44.222573810269203</v>
      </c>
      <c r="AL800" s="2">
        <v>90.181818181818201</v>
      </c>
      <c r="AM800" s="2">
        <v>14.027128379626101</v>
      </c>
      <c r="AN800"/>
      <c r="AO800"/>
    </row>
    <row r="801" spans="1:41" ht="15.75" hidden="1" customHeight="1" x14ac:dyDescent="0.45">
      <c r="A801" s="2" t="s">
        <v>171</v>
      </c>
      <c r="B801" s="2" t="s">
        <v>108</v>
      </c>
      <c r="C801" s="2">
        <v>3.0000000000000001E-3</v>
      </c>
      <c r="D801" s="2"/>
      <c r="E801" s="2" t="s">
        <v>83</v>
      </c>
      <c r="F801" s="2" t="s">
        <v>84</v>
      </c>
      <c r="H801" s="2">
        <v>0.2</v>
      </c>
      <c r="J801" s="2">
        <v>0.189410523</v>
      </c>
      <c r="K801" s="2">
        <v>37.412114267777703</v>
      </c>
      <c r="L801" s="2"/>
      <c r="M801" s="2">
        <v>0.73578847654669299</v>
      </c>
      <c r="N801" s="2">
        <v>301.33333333333297</v>
      </c>
      <c r="O801" s="2">
        <v>22.653795365112799</v>
      </c>
      <c r="P801" s="2">
        <v>33.666576532777697</v>
      </c>
      <c r="Q801" s="2">
        <v>3.5396362481079802</v>
      </c>
      <c r="R801" s="2">
        <v>2.8844733582222202</v>
      </c>
      <c r="S801" s="2">
        <v>0.288365260348525</v>
      </c>
      <c r="T801" s="2">
        <v>3.2456667027222199</v>
      </c>
      <c r="U801" s="2">
        <v>0.408562443930717</v>
      </c>
      <c r="V801" s="2">
        <v>0.41557688527777698</v>
      </c>
      <c r="W801" s="2">
        <v>0.20888411234183701</v>
      </c>
      <c r="X801" s="2">
        <v>2.93338612033333</v>
      </c>
      <c r="Y801" s="2">
        <v>0.45853272882832602</v>
      </c>
      <c r="Z801" s="7">
        <v>108.04780876494</v>
      </c>
      <c r="AA801" s="2">
        <v>8.1228748321121795</v>
      </c>
      <c r="AB801" s="7">
        <v>93.717210574606597</v>
      </c>
      <c r="AC801" s="2">
        <v>1.8431474655867199</v>
      </c>
      <c r="AD801" s="2">
        <v>73.308455401515005</v>
      </c>
      <c r="AE801" s="2">
        <v>9.2280213721600592</v>
      </c>
      <c r="AF801" s="2">
        <v>99.558317339433799</v>
      </c>
      <c r="AG801" s="2">
        <v>10.4673615540386</v>
      </c>
      <c r="AH801" s="2">
        <v>77.221877975447896</v>
      </c>
      <c r="AI801" s="2">
        <v>7.7199905083250702</v>
      </c>
      <c r="AJ801" s="2">
        <v>88.364452077239605</v>
      </c>
      <c r="AK801" s="2">
        <v>44.415199181228402</v>
      </c>
      <c r="AL801" s="2">
        <v>87.122820888337401</v>
      </c>
      <c r="AM801" s="2">
        <v>13.618617926988501</v>
      </c>
      <c r="AN801"/>
      <c r="AO801"/>
    </row>
    <row r="802" spans="1:41" ht="15.75" hidden="1" customHeight="1" x14ac:dyDescent="0.45">
      <c r="A802" s="2" t="s">
        <v>171</v>
      </c>
      <c r="B802" s="2" t="s">
        <v>108</v>
      </c>
      <c r="C802" s="2">
        <v>0.01</v>
      </c>
      <c r="D802" s="2"/>
      <c r="E802" s="2" t="s">
        <v>83</v>
      </c>
      <c r="F802" s="2" t="s">
        <v>84</v>
      </c>
      <c r="H802" s="2">
        <v>0.2</v>
      </c>
      <c r="J802" s="2">
        <v>0.189410523</v>
      </c>
      <c r="K802" s="2">
        <v>40.357741707222203</v>
      </c>
      <c r="L802" s="2"/>
      <c r="M802" s="2">
        <v>2.4276558542303701</v>
      </c>
      <c r="N802" s="2">
        <v>304.27777777777698</v>
      </c>
      <c r="O802" s="2">
        <v>60.017667152017196</v>
      </c>
      <c r="P802" s="2">
        <v>31.220303489444401</v>
      </c>
      <c r="Q802" s="2">
        <v>3.29629218580925</v>
      </c>
      <c r="R802" s="2">
        <v>6.0915537889444398</v>
      </c>
      <c r="S802" s="2">
        <v>5.2336664349957296</v>
      </c>
      <c r="T802" s="2">
        <v>3.94950253605555</v>
      </c>
      <c r="U802" s="2">
        <v>0.751581063540534</v>
      </c>
      <c r="V802" s="2">
        <v>0.516246224333333</v>
      </c>
      <c r="W802" s="2">
        <v>0.13667369754170999</v>
      </c>
      <c r="X802" s="2">
        <v>3.6148232784999998</v>
      </c>
      <c r="Y802" s="2">
        <v>0.30916067162093502</v>
      </c>
      <c r="Z802" s="7">
        <v>109.10358565737</v>
      </c>
      <c r="AA802" s="2">
        <v>21.5202790584922</v>
      </c>
      <c r="AB802" s="7">
        <v>101.095996628794</v>
      </c>
      <c r="AC802" s="2">
        <v>6.0812691115277602</v>
      </c>
      <c r="AD802" s="2">
        <v>89.205687780498707</v>
      </c>
      <c r="AE802" s="2">
        <v>16.975633028176599</v>
      </c>
      <c r="AF802" s="2">
        <v>92.324233775577397</v>
      </c>
      <c r="AG802" s="2">
        <v>9.7477479825958504</v>
      </c>
      <c r="AH802" s="2">
        <v>163.080453501108</v>
      </c>
      <c r="AI802" s="2">
        <v>140.11346288063001</v>
      </c>
      <c r="AJ802" s="2">
        <v>109.76985575043901</v>
      </c>
      <c r="AK802" s="2">
        <v>29.061039784662501</v>
      </c>
      <c r="AL802" s="2">
        <v>107.36179558931001</v>
      </c>
      <c r="AM802" s="2">
        <v>9.1822040176177495</v>
      </c>
      <c r="AN802"/>
      <c r="AO802"/>
    </row>
    <row r="803" spans="1:41" ht="15.75" hidden="1" customHeight="1" x14ac:dyDescent="0.45">
      <c r="A803" s="2" t="s">
        <v>171</v>
      </c>
      <c r="B803" s="2" t="s">
        <v>108</v>
      </c>
      <c r="C803" s="2">
        <v>0.03</v>
      </c>
      <c r="D803" s="2"/>
      <c r="E803" s="2" t="s">
        <v>83</v>
      </c>
      <c r="F803" s="2" t="s">
        <v>84</v>
      </c>
      <c r="H803" s="2">
        <v>0.2</v>
      </c>
      <c r="J803" s="2">
        <v>0.189410523</v>
      </c>
      <c r="K803" s="2">
        <v>36.6688381988888</v>
      </c>
      <c r="L803" s="2"/>
      <c r="M803" s="2">
        <v>1.7709023985630801</v>
      </c>
      <c r="N803" s="2">
        <v>273.83333333333297</v>
      </c>
      <c r="O803" s="2">
        <v>18.4984984375611</v>
      </c>
      <c r="P803" s="2">
        <v>33.890387000555499</v>
      </c>
      <c r="Q803" s="2">
        <v>2.5304310041239999</v>
      </c>
      <c r="R803" s="2">
        <v>8.0277692248888801</v>
      </c>
      <c r="S803" s="2">
        <v>8.2824665593256093</v>
      </c>
      <c r="T803" s="2">
        <v>3.43579051927777</v>
      </c>
      <c r="U803" s="2">
        <v>1.78888893895423</v>
      </c>
      <c r="V803" s="2">
        <v>0.31058419344444399</v>
      </c>
      <c r="W803" s="2">
        <v>0.13799918969384101</v>
      </c>
      <c r="X803" s="2">
        <v>3.7510127611666602</v>
      </c>
      <c r="Y803" s="2">
        <v>0.42106779023114099</v>
      </c>
      <c r="Z803" s="7">
        <v>98.187250996015905</v>
      </c>
      <c r="AA803" s="2">
        <v>6.6329277266155504</v>
      </c>
      <c r="AB803" s="7">
        <v>91.855306717354694</v>
      </c>
      <c r="AC803" s="2">
        <v>4.4361040866421604</v>
      </c>
      <c r="AD803" s="2">
        <v>77.602698958636495</v>
      </c>
      <c r="AE803" s="2">
        <v>40.404852688539698</v>
      </c>
      <c r="AF803" s="2">
        <v>100.22016644527299</v>
      </c>
      <c r="AG803" s="2">
        <v>7.4829542786699799</v>
      </c>
      <c r="AH803" s="2">
        <v>214.91597893679199</v>
      </c>
      <c r="AI803" s="2">
        <v>221.73462623838</v>
      </c>
      <c r="AJ803" s="2">
        <v>66.039770376606398</v>
      </c>
      <c r="AK803" s="2">
        <v>29.342880262092802</v>
      </c>
      <c r="AL803" s="2">
        <v>111.406681403352</v>
      </c>
      <c r="AM803" s="2">
        <v>12.5058932459894</v>
      </c>
      <c r="AN803"/>
      <c r="AO803"/>
    </row>
    <row r="804" spans="1:41" ht="15.75" hidden="1" customHeight="1" x14ac:dyDescent="0.45">
      <c r="A804" s="2" t="s">
        <v>171</v>
      </c>
      <c r="B804" s="2" t="s">
        <v>108</v>
      </c>
      <c r="C804" s="2">
        <v>0.1</v>
      </c>
      <c r="D804" s="2"/>
      <c r="E804" s="2" t="s">
        <v>83</v>
      </c>
      <c r="F804" s="2" t="s">
        <v>84</v>
      </c>
      <c r="H804" s="2">
        <v>0.2</v>
      </c>
      <c r="J804" s="2">
        <v>0.189410523</v>
      </c>
      <c r="K804" s="2">
        <v>22.298887023888799</v>
      </c>
      <c r="L804" s="2"/>
      <c r="M804" s="2">
        <v>1.5051022573352799</v>
      </c>
      <c r="N804" s="2">
        <v>242.111111111111</v>
      </c>
      <c r="O804" s="2">
        <v>43.350103592511601</v>
      </c>
      <c r="P804" s="2">
        <v>38.435526017222202</v>
      </c>
      <c r="Q804" s="2">
        <v>3.81346276138812</v>
      </c>
      <c r="R804" s="2">
        <v>1.8467138434999999</v>
      </c>
      <c r="S804" s="2">
        <v>0.197725007243716</v>
      </c>
      <c r="T804" s="2">
        <v>3.0179359588888799</v>
      </c>
      <c r="U804" s="2">
        <v>0.96814189594648303</v>
      </c>
      <c r="V804" s="2">
        <v>0.33382818133333297</v>
      </c>
      <c r="W804" s="2">
        <v>0.20861213524429001</v>
      </c>
      <c r="X804" s="2">
        <v>2.6213831924444402</v>
      </c>
      <c r="Y804" s="2">
        <v>0.52960351471210998</v>
      </c>
      <c r="Z804" s="7">
        <v>86.812749003983996</v>
      </c>
      <c r="AA804" s="2">
        <v>15.5438618459205</v>
      </c>
      <c r="AB804" s="7">
        <v>55.858631133206103</v>
      </c>
      <c r="AC804" s="2">
        <v>3.7702756967278099</v>
      </c>
      <c r="AD804" s="2">
        <v>68.164800612852503</v>
      </c>
      <c r="AE804" s="2">
        <v>21.866997908874598</v>
      </c>
      <c r="AF804" s="2">
        <v>113.66098636744699</v>
      </c>
      <c r="AG804" s="2">
        <v>11.277117392401101</v>
      </c>
      <c r="AH804" s="2">
        <v>49.439427364383697</v>
      </c>
      <c r="AI804" s="2">
        <v>5.2934087044157403</v>
      </c>
      <c r="AJ804" s="2">
        <v>70.982158480118798</v>
      </c>
      <c r="AK804" s="2">
        <v>44.357368469142102</v>
      </c>
      <c r="AL804" s="2">
        <v>77.856200645376802</v>
      </c>
      <c r="AM804" s="2">
        <v>15.729450628495499</v>
      </c>
      <c r="AN804"/>
      <c r="AO804"/>
    </row>
    <row r="805" spans="1:41" ht="15.75" hidden="1" customHeight="1" x14ac:dyDescent="0.45">
      <c r="A805" s="2" t="s">
        <v>171</v>
      </c>
      <c r="B805" s="2" t="s">
        <v>108</v>
      </c>
      <c r="C805" s="2">
        <v>0.3</v>
      </c>
      <c r="D805" s="2"/>
      <c r="E805" s="2" t="s">
        <v>83</v>
      </c>
      <c r="F805" s="2" t="s">
        <v>84</v>
      </c>
      <c r="H805" s="2">
        <v>0.2</v>
      </c>
      <c r="J805" s="2">
        <v>0.189410523</v>
      </c>
      <c r="K805" s="2">
        <v>0</v>
      </c>
      <c r="L805" s="2"/>
      <c r="M805" s="2">
        <v>0</v>
      </c>
      <c r="N805" s="2">
        <v>57.2222222222222</v>
      </c>
      <c r="O805" s="2">
        <v>10.0834481168856</v>
      </c>
      <c r="P805" s="2">
        <v>72.806007434444396</v>
      </c>
      <c r="Q805" s="2">
        <v>7.9705655477469497</v>
      </c>
      <c r="R805" s="2">
        <v>0.994406083055555</v>
      </c>
      <c r="S805" s="2">
        <v>0.252553265337565</v>
      </c>
      <c r="T805" s="2">
        <v>4.0007327477222203</v>
      </c>
      <c r="U805" s="2">
        <v>1.8696213232332599</v>
      </c>
      <c r="V805" s="2">
        <v>0.81608286738888802</v>
      </c>
      <c r="W805" s="2">
        <v>0.45347247847237998</v>
      </c>
      <c r="X805" s="2">
        <v>2.80725000766666</v>
      </c>
      <c r="Y805" s="2">
        <v>0.79679640153884501</v>
      </c>
      <c r="Z805" s="7">
        <v>20.517928286852499</v>
      </c>
      <c r="AA805" s="2">
        <v>3.6155790060545998</v>
      </c>
      <c r="AB805" s="7">
        <v>0</v>
      </c>
      <c r="AC805" s="2">
        <v>0</v>
      </c>
      <c r="AD805" s="2">
        <v>90.362802182918998</v>
      </c>
      <c r="AE805" s="2">
        <v>42.228319770792297</v>
      </c>
      <c r="AF805" s="2">
        <v>215.30088113706799</v>
      </c>
      <c r="AG805" s="2">
        <v>23.5704421388008</v>
      </c>
      <c r="AH805" s="2">
        <v>26.621811217243099</v>
      </c>
      <c r="AI805" s="2">
        <v>6.76124720743422</v>
      </c>
      <c r="AJ805" s="2">
        <v>173.52436572173701</v>
      </c>
      <c r="AK805" s="2">
        <v>96.422222967323606</v>
      </c>
      <c r="AL805" s="2">
        <v>83.376524457998997</v>
      </c>
      <c r="AM805" s="2">
        <v>23.665193509489999</v>
      </c>
      <c r="AN805"/>
      <c r="AO805"/>
    </row>
    <row r="806" spans="1:41" ht="15.75" hidden="1" customHeight="1" x14ac:dyDescent="0.45">
      <c r="A806" s="2" t="s">
        <v>171</v>
      </c>
      <c r="B806" s="2" t="s">
        <v>108</v>
      </c>
      <c r="C806" s="2">
        <v>1</v>
      </c>
      <c r="D806" s="2"/>
      <c r="E806" s="2" t="s">
        <v>83</v>
      </c>
      <c r="F806" s="2" t="s">
        <v>84</v>
      </c>
      <c r="H806" s="2">
        <v>0.2</v>
      </c>
      <c r="J806" s="2">
        <v>0.189410523</v>
      </c>
      <c r="K806" s="2">
        <v>0</v>
      </c>
      <c r="L806" s="2"/>
      <c r="M806" s="2">
        <v>0</v>
      </c>
      <c r="N806" s="2">
        <v>13.3888888888888</v>
      </c>
      <c r="O806" s="2">
        <v>3.8598119317070498</v>
      </c>
      <c r="P806" s="2">
        <v>58.277816953888802</v>
      </c>
      <c r="Q806" s="2">
        <v>13.361765977928</v>
      </c>
      <c r="R806" s="2">
        <v>2.0080839355000002</v>
      </c>
      <c r="S806" s="2">
        <v>2.51847344535773</v>
      </c>
      <c r="T806" s="2">
        <v>5.3460428463333303</v>
      </c>
      <c r="U806" s="2">
        <v>2.5831695054233901</v>
      </c>
      <c r="V806" s="2">
        <v>0</v>
      </c>
      <c r="W806" s="2">
        <v>0</v>
      </c>
      <c r="X806" s="2">
        <v>6.2208350265555499</v>
      </c>
      <c r="Y806" s="2">
        <v>1.83748797074314</v>
      </c>
      <c r="Z806" s="7">
        <v>4.8007968127489997</v>
      </c>
      <c r="AA806" s="2">
        <v>1.3839963101738399</v>
      </c>
      <c r="AB806" s="7">
        <v>0</v>
      </c>
      <c r="AC806" s="2">
        <v>0</v>
      </c>
      <c r="AD806" s="2">
        <v>120.748733456306</v>
      </c>
      <c r="AE806" s="2">
        <v>58.344920728938902</v>
      </c>
      <c r="AF806" s="2">
        <v>172.33832458420099</v>
      </c>
      <c r="AG806" s="2">
        <v>39.513222740383299</v>
      </c>
      <c r="AH806" s="2">
        <v>53.759557941353599</v>
      </c>
      <c r="AI806" s="2">
        <v>67.423485998735202</v>
      </c>
      <c r="AJ806" s="2">
        <v>0</v>
      </c>
      <c r="AK806" s="2">
        <v>0</v>
      </c>
      <c r="AL806" s="2">
        <v>184.761457769803</v>
      </c>
      <c r="AM806" s="2">
        <v>54.574177688322301</v>
      </c>
      <c r="AN806"/>
      <c r="AO806"/>
    </row>
    <row r="807" spans="1:41" ht="15.75" hidden="1" customHeight="1" x14ac:dyDescent="0.45">
      <c r="A807" s="2" t="s">
        <v>171</v>
      </c>
      <c r="B807" s="2" t="s">
        <v>108</v>
      </c>
      <c r="C807" s="2">
        <v>3</v>
      </c>
      <c r="D807" s="2"/>
      <c r="E807" s="2" t="s">
        <v>83</v>
      </c>
      <c r="F807" s="2" t="s">
        <v>84</v>
      </c>
      <c r="H807" s="2">
        <v>0.2</v>
      </c>
      <c r="J807" s="2">
        <v>0.189410523</v>
      </c>
      <c r="K807" s="2">
        <v>0</v>
      </c>
      <c r="L807" s="2"/>
      <c r="M807" s="2">
        <v>0</v>
      </c>
      <c r="N807" s="2">
        <v>10.5</v>
      </c>
      <c r="O807" s="2">
        <v>2.04803428790742</v>
      </c>
      <c r="P807" s="2">
        <v>45.520991353888803</v>
      </c>
      <c r="Q807" s="2">
        <v>8.2956474963367306</v>
      </c>
      <c r="R807" s="2">
        <v>5.2843915344444401</v>
      </c>
      <c r="S807" s="2">
        <v>5.2419309818730397</v>
      </c>
      <c r="T807" s="2">
        <v>10.026655442999999</v>
      </c>
      <c r="U807" s="2">
        <v>3.07853144782396</v>
      </c>
      <c r="V807" s="2">
        <v>1.1223344556111099</v>
      </c>
      <c r="W807" s="2">
        <v>1.9439403002036</v>
      </c>
      <c r="X807" s="2">
        <v>9.2176342179444397</v>
      </c>
      <c r="Y807" s="2">
        <v>5.11649521263372</v>
      </c>
      <c r="Z807" s="7">
        <v>3.76494023904382</v>
      </c>
      <c r="AA807" s="2">
        <v>0.73435492395086799</v>
      </c>
      <c r="AB807" s="7">
        <v>0</v>
      </c>
      <c r="AC807" s="2">
        <v>0</v>
      </c>
      <c r="AD807" s="2">
        <v>226.467684668</v>
      </c>
      <c r="AE807" s="2">
        <v>69.533444440145203</v>
      </c>
      <c r="AF807" s="2">
        <v>134.61402285449901</v>
      </c>
      <c r="AG807" s="2">
        <v>24.531769815451099</v>
      </c>
      <c r="AH807" s="2">
        <v>141.471453388241</v>
      </c>
      <c r="AI807" s="2">
        <v>140.33471776886299</v>
      </c>
      <c r="AJ807" s="2">
        <v>238.64289071610199</v>
      </c>
      <c r="AK807" s="2">
        <v>413.34161158539598</v>
      </c>
      <c r="AL807" s="2">
        <v>273.76767395794701</v>
      </c>
      <c r="AM807" s="2">
        <v>151.96209353294</v>
      </c>
      <c r="AN807"/>
      <c r="AO807"/>
    </row>
    <row r="808" spans="1:41" ht="15.75" hidden="1" customHeight="1" x14ac:dyDescent="0.45">
      <c r="A808" s="2" t="s">
        <v>171</v>
      </c>
      <c r="B808" s="2" t="s">
        <v>108</v>
      </c>
      <c r="C808" s="2">
        <v>10</v>
      </c>
      <c r="D808" s="2"/>
      <c r="E808" s="2" t="s">
        <v>83</v>
      </c>
      <c r="F808" s="2" t="s">
        <v>84</v>
      </c>
      <c r="H808" s="2">
        <v>0.2</v>
      </c>
      <c r="J808" s="2">
        <v>0.189410523</v>
      </c>
      <c r="K808" s="2">
        <v>0</v>
      </c>
      <c r="L808" s="2"/>
      <c r="M808" s="2">
        <v>0</v>
      </c>
      <c r="N808" s="2">
        <v>12.0277777777777</v>
      </c>
      <c r="O808" s="2">
        <v>1.40023146234762</v>
      </c>
      <c r="P808" s="2">
        <v>4.5808966860833298</v>
      </c>
      <c r="Q808" s="2">
        <v>4.8852800947188602</v>
      </c>
      <c r="R808" s="2">
        <v>29.911471897777702</v>
      </c>
      <c r="S808" s="2">
        <v>12.2625125990961</v>
      </c>
      <c r="T808" s="2">
        <v>35.796947434444398</v>
      </c>
      <c r="U808" s="2">
        <v>12.442458080176699</v>
      </c>
      <c r="V808" s="2">
        <v>0</v>
      </c>
      <c r="W808" s="2">
        <v>0</v>
      </c>
      <c r="X808" s="2">
        <v>8.5789637499166602</v>
      </c>
      <c r="Y808" s="2">
        <v>2.7910688002356698</v>
      </c>
      <c r="Z808" s="7">
        <v>4.3127490039840604</v>
      </c>
      <c r="AA808" s="2">
        <v>0.50207502633978696</v>
      </c>
      <c r="AB808" s="7">
        <v>0</v>
      </c>
      <c r="AC808" s="2">
        <v>0</v>
      </c>
      <c r="AD808" s="2">
        <v>808.53000781236994</v>
      </c>
      <c r="AE808" s="2">
        <v>281.032363086087</v>
      </c>
      <c r="AF808" s="2">
        <v>13.546561989402701</v>
      </c>
      <c r="AG808" s="2">
        <v>14.4466802405201</v>
      </c>
      <c r="AH808" s="2">
        <v>800.77703833598196</v>
      </c>
      <c r="AI808" s="2">
        <v>328.28670401844801</v>
      </c>
      <c r="AJ808" s="2">
        <v>0</v>
      </c>
      <c r="AK808" s="2">
        <v>0</v>
      </c>
      <c r="AL808" s="2">
        <v>254.798888223619</v>
      </c>
      <c r="AM808" s="2">
        <v>82.895935684841703</v>
      </c>
      <c r="AN808"/>
      <c r="AO808"/>
    </row>
    <row r="809" spans="1:41" ht="15.75" hidden="1" customHeight="1" x14ac:dyDescent="0.45">
      <c r="A809" s="2" t="s">
        <v>172</v>
      </c>
      <c r="B809" s="2" t="s">
        <v>173</v>
      </c>
      <c r="C809" s="2">
        <v>3.0000000000000001E-3</v>
      </c>
      <c r="D809" s="2"/>
      <c r="E809" s="2" t="s">
        <v>83</v>
      </c>
      <c r="F809" s="2" t="s">
        <v>84</v>
      </c>
      <c r="H809" s="2" t="s">
        <v>87</v>
      </c>
      <c r="K809" s="2">
        <v>38.114215406666602</v>
      </c>
      <c r="L809" s="2"/>
      <c r="M809" s="2">
        <v>3.8052672401749699</v>
      </c>
      <c r="N809" s="2">
        <v>280.61111111111097</v>
      </c>
      <c r="O809" s="2">
        <v>2.34125638952754</v>
      </c>
      <c r="P809" s="2">
        <v>35.626042726111102</v>
      </c>
      <c r="Q809" s="2">
        <v>3.3311982893950902</v>
      </c>
      <c r="R809" s="2">
        <v>2.6236106322222201</v>
      </c>
      <c r="S809" s="2">
        <v>0.82483884819222997</v>
      </c>
      <c r="T809" s="2">
        <v>4.1907249249444396</v>
      </c>
      <c r="U809" s="2">
        <v>0.38586632291930001</v>
      </c>
      <c r="V809" s="2">
        <v>0.53812866727777697</v>
      </c>
      <c r="W809" s="2">
        <v>0.21118458730755199</v>
      </c>
      <c r="X809" s="2">
        <v>3.2711970805555501</v>
      </c>
      <c r="Y809" s="2">
        <v>0.322810153470518</v>
      </c>
      <c r="Z809" s="7">
        <v>100.617529880478</v>
      </c>
      <c r="AA809" s="2">
        <v>0.83949432293816495</v>
      </c>
      <c r="AB809" s="7">
        <v>95.475971381519699</v>
      </c>
      <c r="AC809" s="2">
        <v>9.5321806377373903</v>
      </c>
      <c r="AD809" s="2">
        <v>94.654072459947201</v>
      </c>
      <c r="AE809" s="2">
        <v>8.7153940054753196</v>
      </c>
      <c r="AF809" s="2">
        <v>105.352822667346</v>
      </c>
      <c r="AG809" s="2">
        <v>9.8509718115616298</v>
      </c>
      <c r="AH809" s="2">
        <v>70.238173467277306</v>
      </c>
      <c r="AI809" s="2">
        <v>22.082230263262598</v>
      </c>
      <c r="AJ809" s="2">
        <v>114.422737441886</v>
      </c>
      <c r="AK809" s="2">
        <v>44.904351049544999</v>
      </c>
      <c r="AL809" s="2">
        <v>97.155950716542094</v>
      </c>
      <c r="AM809" s="2">
        <v>9.5875994594781897</v>
      </c>
      <c r="AN809"/>
      <c r="AO809"/>
    </row>
    <row r="810" spans="1:41" ht="15.75" hidden="1" customHeight="1" x14ac:dyDescent="0.45">
      <c r="A810" s="2" t="s">
        <v>172</v>
      </c>
      <c r="B810" s="2" t="s">
        <v>173</v>
      </c>
      <c r="C810" s="2">
        <v>0.01</v>
      </c>
      <c r="D810" s="2"/>
      <c r="E810" s="2" t="s">
        <v>83</v>
      </c>
      <c r="F810" s="2" t="s">
        <v>84</v>
      </c>
      <c r="H810" s="2" t="s">
        <v>87</v>
      </c>
      <c r="K810" s="2">
        <v>38.817917993333303</v>
      </c>
      <c r="L810" s="2"/>
      <c r="M810" s="2">
        <v>1.8662816205552</v>
      </c>
      <c r="N810" s="2">
        <v>317.27777777777698</v>
      </c>
      <c r="O810" s="2">
        <v>11.540187430278401</v>
      </c>
      <c r="P810" s="2">
        <v>33.9291665738888</v>
      </c>
      <c r="Q810" s="2">
        <v>0.93043933587927297</v>
      </c>
      <c r="R810" s="2">
        <v>3.4889815684444399</v>
      </c>
      <c r="S810" s="2">
        <v>1.4243009162290901</v>
      </c>
      <c r="T810" s="2">
        <v>5.45649243383333</v>
      </c>
      <c r="U810" s="2">
        <v>1.238335190501</v>
      </c>
      <c r="V810" s="2">
        <v>0.42262035527777703</v>
      </c>
      <c r="W810" s="2">
        <v>0.17095977297600101</v>
      </c>
      <c r="X810" s="2">
        <v>2.90965381488888</v>
      </c>
      <c r="Y810" s="2">
        <v>0.17571842483612099</v>
      </c>
      <c r="Z810" s="7">
        <v>113.764940239043</v>
      </c>
      <c r="AA810" s="2">
        <v>4.1379158116536097</v>
      </c>
      <c r="AB810" s="7">
        <v>97.238743809308801</v>
      </c>
      <c r="AC810" s="2">
        <v>4.6750286918622601</v>
      </c>
      <c r="AD810" s="2">
        <v>123.243410020776</v>
      </c>
      <c r="AE810" s="2">
        <v>27.969735773802501</v>
      </c>
      <c r="AF810" s="2">
        <v>100.33484484343001</v>
      </c>
      <c r="AG810" s="2">
        <v>2.7514818614352801</v>
      </c>
      <c r="AH810" s="2">
        <v>93.405511328091507</v>
      </c>
      <c r="AI810" s="2">
        <v>38.130770471442297</v>
      </c>
      <c r="AJ810" s="2">
        <v>89.862110848266894</v>
      </c>
      <c r="AK810" s="2">
        <v>36.351315969308601</v>
      </c>
      <c r="AL810" s="2">
        <v>86.417961278424002</v>
      </c>
      <c r="AM810" s="2">
        <v>5.2189122828598498</v>
      </c>
      <c r="AN810"/>
      <c r="AO810"/>
    </row>
    <row r="811" spans="1:41" ht="15.75" hidden="1" customHeight="1" x14ac:dyDescent="0.45">
      <c r="A811" s="2" t="s">
        <v>172</v>
      </c>
      <c r="B811" s="2" t="s">
        <v>173</v>
      </c>
      <c r="C811" s="2">
        <v>0.03</v>
      </c>
      <c r="D811" s="2"/>
      <c r="E811" s="2" t="s">
        <v>83</v>
      </c>
      <c r="F811" s="2" t="s">
        <v>84</v>
      </c>
      <c r="H811" s="2" t="s">
        <v>87</v>
      </c>
      <c r="K811" s="2">
        <v>40.4362133355555</v>
      </c>
      <c r="L811" s="2"/>
      <c r="M811" s="2">
        <v>2.2745093040972901</v>
      </c>
      <c r="N811" s="2">
        <v>282.166666666666</v>
      </c>
      <c r="O811" s="2">
        <v>8.8049859612475494</v>
      </c>
      <c r="P811" s="2">
        <v>39.802292012777698</v>
      </c>
      <c r="Q811" s="2">
        <v>1.84504796510564</v>
      </c>
      <c r="R811" s="2">
        <v>3.9301766214444398</v>
      </c>
      <c r="S811" s="2">
        <v>1.47980502485764</v>
      </c>
      <c r="T811" s="2">
        <v>3.832267994</v>
      </c>
      <c r="U811" s="2">
        <v>0.94205823279309098</v>
      </c>
      <c r="V811" s="2">
        <v>0.56200909077777705</v>
      </c>
      <c r="W811" s="2">
        <v>4.8945741846340603E-2</v>
      </c>
      <c r="X811" s="2">
        <v>3.5178827852222199</v>
      </c>
      <c r="Y811" s="2">
        <v>0.84418973778892703</v>
      </c>
      <c r="Z811" s="7">
        <v>101.17529880478</v>
      </c>
      <c r="AA811" s="2">
        <v>3.1571662809254102</v>
      </c>
      <c r="AB811" s="7">
        <v>101.29256777321</v>
      </c>
      <c r="AC811" s="2">
        <v>5.6976375587941304</v>
      </c>
      <c r="AD811" s="2">
        <v>86.557762412626403</v>
      </c>
      <c r="AE811" s="2">
        <v>21.277857608243998</v>
      </c>
      <c r="AF811" s="2">
        <v>117.70276716989299</v>
      </c>
      <c r="AG811" s="2">
        <v>5.4561493841710904</v>
      </c>
      <c r="AH811" s="2">
        <v>105.216995198802</v>
      </c>
      <c r="AI811" s="2">
        <v>39.616702553786702</v>
      </c>
      <c r="AJ811" s="2">
        <v>119.50045136849</v>
      </c>
      <c r="AK811" s="2">
        <v>10.407373010832799</v>
      </c>
      <c r="AL811" s="2">
        <v>104.48262152690999</v>
      </c>
      <c r="AM811" s="2">
        <v>25.0727958420965</v>
      </c>
      <c r="AN811"/>
      <c r="AO811"/>
    </row>
    <row r="812" spans="1:41" ht="15.75" hidden="1" customHeight="1" x14ac:dyDescent="0.45">
      <c r="A812" s="2" t="s">
        <v>172</v>
      </c>
      <c r="B812" s="2" t="s">
        <v>173</v>
      </c>
      <c r="C812" s="2">
        <v>0.1</v>
      </c>
      <c r="D812" s="2"/>
      <c r="E812" s="2" t="s">
        <v>83</v>
      </c>
      <c r="F812" s="2" t="s">
        <v>84</v>
      </c>
      <c r="H812" s="2" t="s">
        <v>87</v>
      </c>
      <c r="K812" s="2">
        <v>41.2500915322222</v>
      </c>
      <c r="L812" s="2"/>
      <c r="M812" s="2">
        <v>3.8127537596257399</v>
      </c>
      <c r="N812" s="2">
        <v>325.5</v>
      </c>
      <c r="O812" s="2">
        <v>54.064775963652799</v>
      </c>
      <c r="P812" s="2">
        <v>34.913753887777702</v>
      </c>
      <c r="Q812" s="2">
        <v>5.6488804364984304</v>
      </c>
      <c r="R812" s="2">
        <v>3.3089065633888799</v>
      </c>
      <c r="S812" s="2">
        <v>1.26584994411801</v>
      </c>
      <c r="T812" s="2">
        <v>8.5550643367222197</v>
      </c>
      <c r="U812" s="2">
        <v>1.3953341167781099</v>
      </c>
      <c r="V812" s="2">
        <v>0.73381828599999999</v>
      </c>
      <c r="W812" s="2">
        <v>1.8775649127580899E-2</v>
      </c>
      <c r="X812" s="2">
        <v>3.5155425952222199</v>
      </c>
      <c r="Y812" s="2">
        <v>0.39081810443926401</v>
      </c>
      <c r="Z812" s="7">
        <v>116.713147410358</v>
      </c>
      <c r="AA812" s="2">
        <v>19.385776241947202</v>
      </c>
      <c r="AB812" s="7">
        <v>103.331329704523</v>
      </c>
      <c r="AC812" s="2">
        <v>9.5509343418134698</v>
      </c>
      <c r="AD812" s="2">
        <v>193.22949946144399</v>
      </c>
      <c r="AE812" s="2">
        <v>31.5158019103588</v>
      </c>
      <c r="AF812" s="2">
        <v>103.24645232894601</v>
      </c>
      <c r="AG812" s="2">
        <v>16.704788221097701</v>
      </c>
      <c r="AH812" s="2">
        <v>88.584620877781106</v>
      </c>
      <c r="AI812" s="2">
        <v>33.888789314440302</v>
      </c>
      <c r="AJ812" s="2">
        <v>156.032380682835</v>
      </c>
      <c r="AK812" s="2">
        <v>3.9922815881451599</v>
      </c>
      <c r="AL812" s="2">
        <v>104.413116884204</v>
      </c>
      <c r="AM812" s="2">
        <v>11.6074646555948</v>
      </c>
      <c r="AN812"/>
      <c r="AO812"/>
    </row>
    <row r="813" spans="1:41" ht="15.75" hidden="1" customHeight="1" x14ac:dyDescent="0.45">
      <c r="A813" s="2" t="s">
        <v>172</v>
      </c>
      <c r="B813" s="2" t="s">
        <v>173</v>
      </c>
      <c r="C813" s="2">
        <v>0.3</v>
      </c>
      <c r="D813" s="2"/>
      <c r="E813" s="2" t="s">
        <v>83</v>
      </c>
      <c r="F813" s="2" t="s">
        <v>84</v>
      </c>
      <c r="H813" s="2" t="s">
        <v>87</v>
      </c>
      <c r="K813" s="2">
        <v>42.0807328861111</v>
      </c>
      <c r="L813" s="2"/>
      <c r="M813" s="2">
        <v>3.1183863405390699</v>
      </c>
      <c r="N813" s="2">
        <v>299.888888888888</v>
      </c>
      <c r="O813" s="2">
        <v>23.744785002497501</v>
      </c>
      <c r="P813" s="2">
        <v>37.702345161111097</v>
      </c>
      <c r="Q813" s="2">
        <v>4.30547062669533</v>
      </c>
      <c r="R813" s="2">
        <v>2.59046743427777</v>
      </c>
      <c r="S813" s="2">
        <v>0.31071239590880401</v>
      </c>
      <c r="T813" s="2">
        <v>6.56342755938888</v>
      </c>
      <c r="U813" s="2">
        <v>1.27724213424244</v>
      </c>
      <c r="V813" s="2">
        <v>1.33109148505555</v>
      </c>
      <c r="W813" s="2">
        <v>0.616525436373066</v>
      </c>
      <c r="X813" s="2">
        <v>3.2481219943888799</v>
      </c>
      <c r="Y813" s="2">
        <v>0.57235616463830896</v>
      </c>
      <c r="Z813" s="7">
        <v>107.52988047808699</v>
      </c>
      <c r="AA813" s="2">
        <v>8.5140663355568904</v>
      </c>
      <c r="AB813" s="7">
        <v>105.41208328389099</v>
      </c>
      <c r="AC813" s="2">
        <v>7.8115464749604602</v>
      </c>
      <c r="AD813" s="2">
        <v>148.245269951772</v>
      </c>
      <c r="AE813" s="2">
        <v>28.848509909078299</v>
      </c>
      <c r="AF813" s="2">
        <v>111.492834453668</v>
      </c>
      <c r="AG813" s="2">
        <v>12.732075996227699</v>
      </c>
      <c r="AH813" s="2">
        <v>69.350878051604099</v>
      </c>
      <c r="AI813" s="2">
        <v>8.3182583933161194</v>
      </c>
      <c r="AJ813" s="2">
        <v>283.031068157204</v>
      </c>
      <c r="AK813" s="2">
        <v>131.09230639806299</v>
      </c>
      <c r="AL813" s="2">
        <v>96.470610799936395</v>
      </c>
      <c r="AM813" s="2">
        <v>16.999222594825898</v>
      </c>
      <c r="AN813"/>
      <c r="AO813"/>
    </row>
    <row r="814" spans="1:41" ht="15.75" hidden="1" customHeight="1" x14ac:dyDescent="0.45">
      <c r="A814" s="2" t="s">
        <v>172</v>
      </c>
      <c r="B814" s="2" t="s">
        <v>173</v>
      </c>
      <c r="C814" s="2">
        <v>1</v>
      </c>
      <c r="D814" s="2"/>
      <c r="E814" s="2" t="s">
        <v>83</v>
      </c>
      <c r="F814" s="2" t="s">
        <v>84</v>
      </c>
      <c r="H814" s="2" t="s">
        <v>87</v>
      </c>
      <c r="K814" s="2">
        <v>42.050300464444398</v>
      </c>
      <c r="L814" s="2"/>
      <c r="M814" s="2">
        <v>2.15358436712767</v>
      </c>
      <c r="N814" s="2">
        <v>272.11111111111097</v>
      </c>
      <c r="O814" s="2">
        <v>34.098441367659397</v>
      </c>
      <c r="P814" s="2">
        <v>35.906692185555499</v>
      </c>
      <c r="Q814" s="2">
        <v>2.86212429838905</v>
      </c>
      <c r="R814" s="2">
        <v>3.0003219579444398</v>
      </c>
      <c r="S814" s="2">
        <v>0.51948306575191305</v>
      </c>
      <c r="T814" s="2">
        <v>7.3591193913888802</v>
      </c>
      <c r="U814" s="2">
        <v>0.96499489689217599</v>
      </c>
      <c r="V814" s="2">
        <v>1.3290303720555501</v>
      </c>
      <c r="W814" s="2">
        <v>0.31471443588529502</v>
      </c>
      <c r="X814" s="2">
        <v>3.5289858550000002</v>
      </c>
      <c r="Y814" s="2">
        <v>0.562795428628586</v>
      </c>
      <c r="Z814" s="7">
        <v>97.569721115537803</v>
      </c>
      <c r="AA814" s="2">
        <v>12.2265327613121</v>
      </c>
      <c r="AB814" s="7">
        <v>105.33585017797201</v>
      </c>
      <c r="AC814" s="2">
        <v>5.3947210301908797</v>
      </c>
      <c r="AD814" s="2">
        <v>166.217213629969</v>
      </c>
      <c r="AE814" s="2">
        <v>21.7959180165284</v>
      </c>
      <c r="AF814" s="2">
        <v>106.182755224264</v>
      </c>
      <c r="AG814" s="2">
        <v>8.4638329319435499</v>
      </c>
      <c r="AH814" s="2">
        <v>80.323326774021595</v>
      </c>
      <c r="AI814" s="2">
        <v>13.9073768178361</v>
      </c>
      <c r="AJ814" s="2">
        <v>282.59281201889002</v>
      </c>
      <c r="AK814" s="2">
        <v>66.917987195590399</v>
      </c>
      <c r="AL814" s="2">
        <v>104.81238744243601</v>
      </c>
      <c r="AM814" s="2">
        <v>16.7152646510823</v>
      </c>
      <c r="AN814"/>
      <c r="AO814"/>
    </row>
    <row r="815" spans="1:41" ht="15.75" hidden="1" customHeight="1" x14ac:dyDescent="0.45">
      <c r="A815" s="2" t="s">
        <v>172</v>
      </c>
      <c r="B815" s="2" t="s">
        <v>173</v>
      </c>
      <c r="C815" s="2">
        <v>3</v>
      </c>
      <c r="D815" s="2"/>
      <c r="E815" s="2" t="s">
        <v>83</v>
      </c>
      <c r="F815" s="2" t="s">
        <v>84</v>
      </c>
      <c r="H815" s="2" t="s">
        <v>87</v>
      </c>
      <c r="K815" s="2">
        <v>40.020144747777699</v>
      </c>
      <c r="L815" s="2"/>
      <c r="M815" s="2">
        <v>2.7014208352411102</v>
      </c>
      <c r="N815" s="2">
        <v>220.611111111111</v>
      </c>
      <c r="O815" s="2">
        <v>10.7423530079834</v>
      </c>
      <c r="P815" s="2">
        <v>38.053308567222203</v>
      </c>
      <c r="Q815" s="2">
        <v>3.0262137312832</v>
      </c>
      <c r="R815" s="2">
        <v>3.86810478616666</v>
      </c>
      <c r="S815" s="2">
        <v>1.74057316643326</v>
      </c>
      <c r="T815" s="2">
        <v>9.5118524110555498</v>
      </c>
      <c r="U815" s="2">
        <v>1.30895442480258</v>
      </c>
      <c r="V815" s="2">
        <v>2.3836126862222198</v>
      </c>
      <c r="W815" s="2">
        <v>0.29462801784840897</v>
      </c>
      <c r="X815" s="2">
        <v>3.9526447841111101</v>
      </c>
      <c r="Y815" s="2">
        <v>1.07802948842901</v>
      </c>
      <c r="Z815" s="7">
        <v>79.103585657370502</v>
      </c>
      <c r="AA815" s="2">
        <v>3.8518397239781299</v>
      </c>
      <c r="AB815" s="7">
        <v>100.250317469601</v>
      </c>
      <c r="AC815" s="2">
        <v>6.7670493962157803</v>
      </c>
      <c r="AD815" s="2">
        <v>214.84005356336101</v>
      </c>
      <c r="AE815" s="2">
        <v>29.564781557137199</v>
      </c>
      <c r="AF815" s="2">
        <v>112.530698405357</v>
      </c>
      <c r="AG815" s="2">
        <v>8.9490758498332692</v>
      </c>
      <c r="AH815" s="2">
        <v>103.555234768299</v>
      </c>
      <c r="AI815" s="2">
        <v>46.597874888499398</v>
      </c>
      <c r="AJ815" s="2">
        <v>506.82950963838601</v>
      </c>
      <c r="AK815" s="2">
        <v>62.646995745145801</v>
      </c>
      <c r="AL815" s="2">
        <v>117.39523862007</v>
      </c>
      <c r="AM815" s="2">
        <v>32.017936330207498</v>
      </c>
      <c r="AN815"/>
      <c r="AO815"/>
    </row>
    <row r="816" spans="1:41" ht="15.75" hidden="1" customHeight="1" x14ac:dyDescent="0.45">
      <c r="A816" s="2" t="s">
        <v>172</v>
      </c>
      <c r="B816" s="2" t="s">
        <v>173</v>
      </c>
      <c r="C816" s="2">
        <v>10</v>
      </c>
      <c r="D816" s="2"/>
      <c r="E816" s="2" t="s">
        <v>83</v>
      </c>
      <c r="F816" s="2" t="s">
        <v>84</v>
      </c>
      <c r="H816" s="2" t="s">
        <v>87</v>
      </c>
      <c r="K816" s="2">
        <v>41.867954026666602</v>
      </c>
      <c r="L816" s="2"/>
      <c r="M816" s="2">
        <v>4.8815071485176098</v>
      </c>
      <c r="N816" s="2">
        <v>241.055555555555</v>
      </c>
      <c r="O816" s="2">
        <v>29.166825396393499</v>
      </c>
      <c r="P816" s="2">
        <v>32.365698619444402</v>
      </c>
      <c r="Q816" s="2">
        <v>0.67621217413962398</v>
      </c>
      <c r="R816" s="2">
        <v>3.1595261938333299</v>
      </c>
      <c r="S816" s="2">
        <v>0.95509323205510999</v>
      </c>
      <c r="T816" s="2">
        <v>8.5336460683888795</v>
      </c>
      <c r="U816" s="2">
        <v>1.9879227410832501</v>
      </c>
      <c r="V816" s="2">
        <v>1.2175319598888801</v>
      </c>
      <c r="W816" s="2">
        <v>0.350973544968045</v>
      </c>
      <c r="X816" s="2">
        <v>4.09380701383333</v>
      </c>
      <c r="Y816" s="2">
        <v>1.0558043206165599</v>
      </c>
      <c r="Z816" s="7">
        <v>86.434262948207206</v>
      </c>
      <c r="AA816" s="2">
        <v>10.458224245718799</v>
      </c>
      <c r="AB816" s="7">
        <v>104.87907301257501</v>
      </c>
      <c r="AC816" s="2">
        <v>12.228157705406399</v>
      </c>
      <c r="AD816" s="2">
        <v>192.745734394756</v>
      </c>
      <c r="AE816" s="2">
        <v>44.900342195990397</v>
      </c>
      <c r="AF816" s="2">
        <v>95.711379828891097</v>
      </c>
      <c r="AG816" s="2">
        <v>1.9996849443909399</v>
      </c>
      <c r="AH816" s="2">
        <v>84.585473984340496</v>
      </c>
      <c r="AI816" s="2">
        <v>25.569344508140102</v>
      </c>
      <c r="AJ816" s="2">
        <v>258.88481369746199</v>
      </c>
      <c r="AK816" s="2">
        <v>74.627791134191199</v>
      </c>
      <c r="AL816" s="2">
        <v>121.587817145971</v>
      </c>
      <c r="AM816" s="2">
        <v>31.357839351799001</v>
      </c>
      <c r="AN816"/>
      <c r="AO816"/>
    </row>
    <row r="817" spans="1:41" ht="15.75" hidden="1" customHeight="1" x14ac:dyDescent="0.45">
      <c r="A817" s="2" t="s">
        <v>174</v>
      </c>
      <c r="B817" s="2" t="s">
        <v>96</v>
      </c>
      <c r="C817" s="2">
        <v>3.0000000000000001E-3</v>
      </c>
      <c r="D817" s="2"/>
      <c r="E817" s="2" t="s">
        <v>83</v>
      </c>
      <c r="F817" s="2" t="s">
        <v>84</v>
      </c>
      <c r="H817" s="2">
        <v>1.8</v>
      </c>
      <c r="J817" s="2">
        <v>1.8281374210000001</v>
      </c>
      <c r="K817" s="2">
        <v>35.485714361666602</v>
      </c>
      <c r="L817" s="2"/>
      <c r="M817" s="2">
        <v>7.4910266902201199</v>
      </c>
      <c r="N817" s="2">
        <v>263.27777777777698</v>
      </c>
      <c r="O817" s="2">
        <v>33.189829990748898</v>
      </c>
      <c r="P817" s="2">
        <v>33.323437645555501</v>
      </c>
      <c r="Q817" s="2">
        <v>3.68843734896641</v>
      </c>
      <c r="R817" s="2">
        <v>3.5290667402222198</v>
      </c>
      <c r="S817" s="2">
        <v>0.69984619936229697</v>
      </c>
      <c r="T817" s="2">
        <v>6.0783203223888798</v>
      </c>
      <c r="U817" s="2">
        <v>2.1992744704684002</v>
      </c>
      <c r="V817" s="2">
        <v>0.33575921444444401</v>
      </c>
      <c r="W817" s="2">
        <v>8.0131055626968706E-2</v>
      </c>
      <c r="X817" s="2">
        <v>4.0818747511111102</v>
      </c>
      <c r="Y817" s="2">
        <v>0.32049169971217201</v>
      </c>
      <c r="Z817" s="7">
        <v>94.402390438246996</v>
      </c>
      <c r="AA817" s="2">
        <v>11.900735853256499</v>
      </c>
      <c r="AB817" s="7">
        <v>88.891585795431496</v>
      </c>
      <c r="AC817" s="2">
        <v>18.764994694566202</v>
      </c>
      <c r="AD817" s="2">
        <v>137.28836478996399</v>
      </c>
      <c r="AE817" s="2">
        <v>49.674051343226303</v>
      </c>
      <c r="AF817" s="2">
        <v>98.543591942798699</v>
      </c>
      <c r="AG817" s="2">
        <v>10.9073940356691</v>
      </c>
      <c r="AH817" s="2">
        <v>94.478654276292005</v>
      </c>
      <c r="AI817" s="2">
        <v>18.735980921676699</v>
      </c>
      <c r="AJ817" s="2">
        <v>71.3927556255599</v>
      </c>
      <c r="AK817" s="2">
        <v>17.038331715959199</v>
      </c>
      <c r="AL817" s="2">
        <v>121.233423845773</v>
      </c>
      <c r="AM817" s="2">
        <v>9.5187403924341094</v>
      </c>
      <c r="AN817"/>
      <c r="AO817"/>
    </row>
    <row r="818" spans="1:41" ht="15.75" hidden="1" customHeight="1" x14ac:dyDescent="0.45">
      <c r="A818" s="2" t="s">
        <v>174</v>
      </c>
      <c r="B818" s="2" t="s">
        <v>96</v>
      </c>
      <c r="C818" s="2">
        <v>0.01</v>
      </c>
      <c r="D818" s="2"/>
      <c r="E818" s="2" t="s">
        <v>83</v>
      </c>
      <c r="F818" s="2" t="s">
        <v>84</v>
      </c>
      <c r="H818" s="2">
        <v>1.8</v>
      </c>
      <c r="J818" s="2">
        <v>1.8281374210000001</v>
      </c>
      <c r="K818" s="2">
        <v>38.7288728983333</v>
      </c>
      <c r="L818" s="2"/>
      <c r="M818" s="2">
        <v>8.0947662551405095</v>
      </c>
      <c r="N818" s="2">
        <v>279.83333333333297</v>
      </c>
      <c r="O818" s="2">
        <v>23.0259515426497</v>
      </c>
      <c r="P818" s="2">
        <v>34.724940394444403</v>
      </c>
      <c r="Q818" s="2">
        <v>2.4223677613117598</v>
      </c>
      <c r="R818" s="2">
        <v>3.3648631678333301</v>
      </c>
      <c r="S818" s="2">
        <v>0.43817889123186599</v>
      </c>
      <c r="T818" s="2">
        <v>3.9980186073333299</v>
      </c>
      <c r="U818" s="2">
        <v>0.213993093655893</v>
      </c>
      <c r="V818" s="2">
        <v>0.62555731461111097</v>
      </c>
      <c r="W818" s="2">
        <v>0.55222235963339505</v>
      </c>
      <c r="X818" s="2">
        <v>3.4889062509999902</v>
      </c>
      <c r="Y818" s="2">
        <v>0.34156814831658999</v>
      </c>
      <c r="Z818" s="7">
        <v>100.338645418326</v>
      </c>
      <c r="AA818" s="2">
        <v>8.2563172862090592</v>
      </c>
      <c r="AB818" s="7">
        <v>97.015686169234797</v>
      </c>
      <c r="AC818" s="2">
        <v>20.277360115373199</v>
      </c>
      <c r="AD818" s="2">
        <v>90.301499080081797</v>
      </c>
      <c r="AE818" s="2">
        <v>4.8333684876970899</v>
      </c>
      <c r="AF818" s="2">
        <v>102.688095774072</v>
      </c>
      <c r="AG818" s="2">
        <v>7.1633912066672503</v>
      </c>
      <c r="AH818" s="2">
        <v>90.082666983151398</v>
      </c>
      <c r="AI818" s="2">
        <v>11.730736487363099</v>
      </c>
      <c r="AJ818" s="2">
        <v>133.012762034568</v>
      </c>
      <c r="AK818" s="2">
        <v>117.419490742823</v>
      </c>
      <c r="AL818" s="2">
        <v>103.622006082013</v>
      </c>
      <c r="AM818" s="2">
        <v>10.1447199196421</v>
      </c>
      <c r="AN818"/>
      <c r="AO818"/>
    </row>
    <row r="819" spans="1:41" ht="15.75" hidden="1" customHeight="1" x14ac:dyDescent="0.45">
      <c r="A819" s="2" t="s">
        <v>174</v>
      </c>
      <c r="B819" s="2" t="s">
        <v>96</v>
      </c>
      <c r="C819" s="2">
        <v>0.03</v>
      </c>
      <c r="D819" s="2"/>
      <c r="E819" s="2" t="s">
        <v>83</v>
      </c>
      <c r="F819" s="2" t="s">
        <v>84</v>
      </c>
      <c r="H819" s="2">
        <v>1.8</v>
      </c>
      <c r="J819" s="2">
        <v>1.8281374210000001</v>
      </c>
      <c r="K819" s="2">
        <v>40.0794058888888</v>
      </c>
      <c r="L819" s="2"/>
      <c r="M819" s="2">
        <v>1.6861775061459601</v>
      </c>
      <c r="N819" s="2">
        <v>251.5</v>
      </c>
      <c r="O819" s="2">
        <v>27.8123673529923</v>
      </c>
      <c r="P819" s="2">
        <v>35.910674295</v>
      </c>
      <c r="Q819" s="2">
        <v>1.61514072035432</v>
      </c>
      <c r="R819" s="2">
        <v>3.9594287012222198</v>
      </c>
      <c r="S819" s="2">
        <v>1.0377948567358899</v>
      </c>
      <c r="T819" s="2">
        <v>3.5533073276666598</v>
      </c>
      <c r="U819" s="2">
        <v>0.62808115524694796</v>
      </c>
      <c r="V819" s="2">
        <v>0.31899852822222202</v>
      </c>
      <c r="W819" s="2">
        <v>0.16839766225407901</v>
      </c>
      <c r="X819" s="2">
        <v>3.6931700623888801</v>
      </c>
      <c r="Y819" s="2">
        <v>0.44155991566369002</v>
      </c>
      <c r="Z819" s="7">
        <v>90.179282868525902</v>
      </c>
      <c r="AA819" s="2">
        <v>9.9725619990809307</v>
      </c>
      <c r="AB819" s="7">
        <v>100.398766413188</v>
      </c>
      <c r="AC819" s="2">
        <v>4.2238685383720398</v>
      </c>
      <c r="AD819" s="2">
        <v>80.256999752824598</v>
      </c>
      <c r="AE819" s="2">
        <v>14.18619457116</v>
      </c>
      <c r="AF819" s="2">
        <v>106.19453106120901</v>
      </c>
      <c r="AG819" s="2">
        <v>4.7762709768937102</v>
      </c>
      <c r="AH819" s="2">
        <v>106.000119275399</v>
      </c>
      <c r="AI819" s="2">
        <v>27.783396772227299</v>
      </c>
      <c r="AJ819" s="2">
        <v>67.828917243463096</v>
      </c>
      <c r="AK819" s="2">
        <v>35.8065322767495</v>
      </c>
      <c r="AL819" s="2">
        <v>109.688728539805</v>
      </c>
      <c r="AM819" s="2">
        <v>13.114518125375699</v>
      </c>
      <c r="AN819"/>
      <c r="AO819"/>
    </row>
    <row r="820" spans="1:41" ht="15.75" hidden="1" customHeight="1" x14ac:dyDescent="0.45">
      <c r="A820" s="2" t="s">
        <v>174</v>
      </c>
      <c r="B820" s="2" t="s">
        <v>96</v>
      </c>
      <c r="C820" s="2">
        <v>0.1</v>
      </c>
      <c r="D820" s="2"/>
      <c r="E820" s="2" t="s">
        <v>83</v>
      </c>
      <c r="F820" s="2" t="s">
        <v>84</v>
      </c>
      <c r="H820" s="2">
        <v>1.8</v>
      </c>
      <c r="J820" s="2">
        <v>1.8281374210000001</v>
      </c>
      <c r="K820" s="2">
        <v>42.267466409777697</v>
      </c>
      <c r="L820" s="2"/>
      <c r="M820" s="2">
        <v>1.4971086546417101</v>
      </c>
      <c r="N820" s="2">
        <v>290.04444444444403</v>
      </c>
      <c r="O820" s="2">
        <v>77.600403301739405</v>
      </c>
      <c r="P820" s="2">
        <v>32.561760014777697</v>
      </c>
      <c r="Q820" s="2">
        <v>4.8403234020938903</v>
      </c>
      <c r="R820" s="2">
        <v>3.4154747071111098</v>
      </c>
      <c r="S820" s="2">
        <v>0.34928927443026297</v>
      </c>
      <c r="T820" s="2">
        <v>3.9266460564000001</v>
      </c>
      <c r="U820" s="2">
        <v>0.70231480115377098</v>
      </c>
      <c r="V820" s="2">
        <v>0.61718184301111101</v>
      </c>
      <c r="W820" s="2">
        <v>0.112187455496847</v>
      </c>
      <c r="X820" s="2">
        <v>3.4938371243333299</v>
      </c>
      <c r="Y820" s="2">
        <v>0.14466570562956399</v>
      </c>
      <c r="Z820" s="7">
        <v>104</v>
      </c>
      <c r="AA820" s="2">
        <v>27.8248458054045</v>
      </c>
      <c r="AB820" s="7">
        <v>105.879850083531</v>
      </c>
      <c r="AC820" s="2">
        <v>3.7502517509673399</v>
      </c>
      <c r="AD820" s="2">
        <v>88.6894384631983</v>
      </c>
      <c r="AE820" s="2">
        <v>15.8628774898614</v>
      </c>
      <c r="AF820" s="2">
        <v>96.2911697756237</v>
      </c>
      <c r="AG820" s="2">
        <v>14.3137349537747</v>
      </c>
      <c r="AH820" s="2">
        <v>91.437617306792802</v>
      </c>
      <c r="AI820" s="2">
        <v>9.3510219643042891</v>
      </c>
      <c r="AJ820" s="2">
        <v>131.231878676901</v>
      </c>
      <c r="AK820" s="2">
        <v>23.854510166734599</v>
      </c>
      <c r="AL820" s="2">
        <v>103.768455126435</v>
      </c>
      <c r="AM820" s="2">
        <v>4.2966332570010497</v>
      </c>
      <c r="AN820"/>
      <c r="AO820"/>
    </row>
    <row r="821" spans="1:41" ht="15.75" hidden="1" customHeight="1" x14ac:dyDescent="0.45">
      <c r="A821" s="2" t="s">
        <v>174</v>
      </c>
      <c r="B821" s="2" t="s">
        <v>96</v>
      </c>
      <c r="C821" s="2">
        <v>0.3</v>
      </c>
      <c r="D821" s="2"/>
      <c r="E821" s="2" t="s">
        <v>83</v>
      </c>
      <c r="F821" s="2" t="s">
        <v>84</v>
      </c>
      <c r="H821" s="2">
        <v>1.8</v>
      </c>
      <c r="J821" s="2">
        <v>1.8281374210000001</v>
      </c>
      <c r="K821" s="2">
        <v>41.330640786111097</v>
      </c>
      <c r="L821" s="2"/>
      <c r="M821" s="2">
        <v>0.77462611852407903</v>
      </c>
      <c r="N821" s="2">
        <v>279.444444444444</v>
      </c>
      <c r="O821" s="2">
        <v>29.802280549077999</v>
      </c>
      <c r="P821" s="2">
        <v>31.0486887038888</v>
      </c>
      <c r="Q821" s="2">
        <v>4.7120483862970897</v>
      </c>
      <c r="R821" s="2">
        <v>3.8088412746666598</v>
      </c>
      <c r="S821" s="2">
        <v>0.59357350960968702</v>
      </c>
      <c r="T821" s="2">
        <v>4.6501969641111103</v>
      </c>
      <c r="U821" s="2">
        <v>1.0656428517468599</v>
      </c>
      <c r="V821" s="2">
        <v>0.43151581566666602</v>
      </c>
      <c r="W821" s="2">
        <v>0.18867000134582501</v>
      </c>
      <c r="X821" s="2">
        <v>3.4700202188888798</v>
      </c>
      <c r="Y821" s="2">
        <v>0.72199947738157799</v>
      </c>
      <c r="Z821" s="7">
        <v>100.199203187251</v>
      </c>
      <c r="AA821" s="2">
        <v>10.6860766909044</v>
      </c>
      <c r="AB821" s="7">
        <v>103.533105293422</v>
      </c>
      <c r="AC821" s="2">
        <v>1.9404356179045601</v>
      </c>
      <c r="AD821" s="2">
        <v>105.03196661132201</v>
      </c>
      <c r="AE821" s="2">
        <v>24.0692093879222</v>
      </c>
      <c r="AF821" s="2">
        <v>91.816736992711895</v>
      </c>
      <c r="AG821" s="2">
        <v>13.934401916541599</v>
      </c>
      <c r="AH821" s="2">
        <v>101.968657572014</v>
      </c>
      <c r="AI821" s="2">
        <v>15.890894259043501</v>
      </c>
      <c r="AJ821" s="2">
        <v>91.7535598462389</v>
      </c>
      <c r="AK821" s="2">
        <v>40.1170562727335</v>
      </c>
      <c r="AL821" s="2">
        <v>103.06108286038101</v>
      </c>
      <c r="AM821" s="2">
        <v>21.44369290949</v>
      </c>
      <c r="AN821"/>
      <c r="AO821"/>
    </row>
    <row r="822" spans="1:41" ht="15.75" hidden="1" customHeight="1" x14ac:dyDescent="0.45">
      <c r="A822" s="2" t="s">
        <v>174</v>
      </c>
      <c r="B822" s="2" t="s">
        <v>96</v>
      </c>
      <c r="C822" s="2">
        <v>1</v>
      </c>
      <c r="D822" s="2"/>
      <c r="E822" s="2" t="s">
        <v>83</v>
      </c>
      <c r="F822" s="2" t="s">
        <v>84</v>
      </c>
      <c r="H822" s="2">
        <v>1.8</v>
      </c>
      <c r="J822" s="2">
        <v>1.8281374210000001</v>
      </c>
      <c r="K822" s="2">
        <v>38.106559880555501</v>
      </c>
      <c r="L822" s="2"/>
      <c r="M822" s="2">
        <v>3.2544202671014202</v>
      </c>
      <c r="N822" s="2">
        <v>220.388888888888</v>
      </c>
      <c r="O822" s="2">
        <v>23.556276194427301</v>
      </c>
      <c r="P822" s="2">
        <v>37.950100794999997</v>
      </c>
      <c r="Q822" s="2">
        <v>2.93566853944326</v>
      </c>
      <c r="R822" s="2">
        <v>3.10451039111111</v>
      </c>
      <c r="S822" s="2">
        <v>0.63511863928540502</v>
      </c>
      <c r="T822" s="2">
        <v>5.4475533113888801</v>
      </c>
      <c r="U822" s="2">
        <v>0.87297456053813804</v>
      </c>
      <c r="V822" s="2">
        <v>0.63662353633333302</v>
      </c>
      <c r="W822" s="2">
        <v>6.8698347289303796E-2</v>
      </c>
      <c r="X822" s="2">
        <v>3.1164134802222199</v>
      </c>
      <c r="Y822" s="2">
        <v>0.22284480838435</v>
      </c>
      <c r="Z822" s="7">
        <v>79.023904382470107</v>
      </c>
      <c r="AA822" s="2">
        <v>8.4464735358504495</v>
      </c>
      <c r="AB822" s="7">
        <v>95.456794316372296</v>
      </c>
      <c r="AC822" s="2">
        <v>8.1523109677043095</v>
      </c>
      <c r="AD822" s="2">
        <v>123.041505968675</v>
      </c>
      <c r="AE822" s="2">
        <v>19.717494893789201</v>
      </c>
      <c r="AF822" s="2">
        <v>112.22549386135501</v>
      </c>
      <c r="AG822" s="2">
        <v>8.6813169069545992</v>
      </c>
      <c r="AH822" s="2">
        <v>83.1126146173346</v>
      </c>
      <c r="AI822" s="2">
        <v>17.003122571067099</v>
      </c>
      <c r="AJ822" s="2">
        <v>135.36578178540401</v>
      </c>
      <c r="AK822" s="2">
        <v>14.6073856171611</v>
      </c>
      <c r="AL822" s="2">
        <v>92.558811664571493</v>
      </c>
      <c r="AM822" s="2">
        <v>6.61858600618163</v>
      </c>
      <c r="AN822"/>
      <c r="AO822"/>
    </row>
    <row r="823" spans="1:41" ht="15.75" hidden="1" customHeight="1" x14ac:dyDescent="0.45">
      <c r="A823" s="2" t="s">
        <v>174</v>
      </c>
      <c r="B823" s="2" t="s">
        <v>96</v>
      </c>
      <c r="C823" s="2">
        <v>3</v>
      </c>
      <c r="D823" s="2"/>
      <c r="E823" s="2" t="s">
        <v>83</v>
      </c>
      <c r="F823" s="2" t="s">
        <v>84</v>
      </c>
      <c r="H823" s="2">
        <v>1.8</v>
      </c>
      <c r="J823" s="2">
        <v>1.8281374210000001</v>
      </c>
      <c r="K823" s="2">
        <v>7.1115460268888802</v>
      </c>
      <c r="L823" s="2"/>
      <c r="M823" s="2">
        <v>3.0770781895185699</v>
      </c>
      <c r="N823" s="2">
        <v>67.0555555555555</v>
      </c>
      <c r="O823" s="2">
        <v>9.0758123807386806</v>
      </c>
      <c r="P823" s="2">
        <v>42.495174116666597</v>
      </c>
      <c r="Q823" s="2">
        <v>7.3002808523518796</v>
      </c>
      <c r="R823" s="2">
        <v>2.2133974963888798</v>
      </c>
      <c r="S823" s="2">
        <v>0.28206660436803799</v>
      </c>
      <c r="T823" s="2">
        <v>12.023282970499899</v>
      </c>
      <c r="U823" s="2">
        <v>2.31205513495728</v>
      </c>
      <c r="V823" s="2">
        <v>1.0630127111111101</v>
      </c>
      <c r="W823" s="2">
        <v>0.400654109736228</v>
      </c>
      <c r="X823" s="2">
        <v>6.8473214985555497</v>
      </c>
      <c r="Y823" s="2">
        <v>2.2530598906753001</v>
      </c>
      <c r="Z823" s="7">
        <v>24.043824701195199</v>
      </c>
      <c r="AA823" s="2">
        <v>3.2542753556433501</v>
      </c>
      <c r="AB823" s="7">
        <v>17.8143970090183</v>
      </c>
      <c r="AC823" s="2">
        <v>7.7080697064483301</v>
      </c>
      <c r="AD823" s="2">
        <v>271.56463807064199</v>
      </c>
      <c r="AE823" s="2">
        <v>52.221378924922199</v>
      </c>
      <c r="AF823" s="2">
        <v>125.666119511217</v>
      </c>
      <c r="AG823" s="2">
        <v>21.588285849552399</v>
      </c>
      <c r="AH823" s="2">
        <v>59.256124134441301</v>
      </c>
      <c r="AI823" s="2">
        <v>7.5513656041816599</v>
      </c>
      <c r="AJ823" s="2">
        <v>226.029259797951</v>
      </c>
      <c r="AK823" s="2">
        <v>85.191410142245502</v>
      </c>
      <c r="AL823" s="2">
        <v>203.36837361721999</v>
      </c>
      <c r="AM823" s="2">
        <v>66.916841238648701</v>
      </c>
      <c r="AN823"/>
      <c r="AO823"/>
    </row>
    <row r="824" spans="1:41" ht="15.75" hidden="1" customHeight="1" x14ac:dyDescent="0.45">
      <c r="A824" s="2" t="s">
        <v>174</v>
      </c>
      <c r="B824" s="2" t="s">
        <v>96</v>
      </c>
      <c r="C824" s="2">
        <v>10</v>
      </c>
      <c r="D824" s="2"/>
      <c r="E824" s="2" t="s">
        <v>83</v>
      </c>
      <c r="F824" s="2" t="s">
        <v>84</v>
      </c>
      <c r="H824" s="2">
        <v>1.8</v>
      </c>
      <c r="J824" s="2">
        <v>1.8281374210000001</v>
      </c>
      <c r="K824" s="2">
        <v>0</v>
      </c>
      <c r="L824" s="2"/>
      <c r="M824" s="2">
        <v>0</v>
      </c>
      <c r="N824" s="2">
        <v>28.3888888888888</v>
      </c>
      <c r="O824" s="2">
        <v>4.0046269535422301</v>
      </c>
      <c r="P824" s="2">
        <v>29.668526168444401</v>
      </c>
      <c r="Q824" s="2">
        <v>5.4778180107024301</v>
      </c>
      <c r="R824" s="2">
        <v>5.1743552026111104</v>
      </c>
      <c r="S824" s="2">
        <v>4.5684349447169899</v>
      </c>
      <c r="T824" s="2">
        <v>13.7724846920555</v>
      </c>
      <c r="U824" s="2">
        <v>7.9199601361797596</v>
      </c>
      <c r="V824" s="2">
        <v>1.980000268</v>
      </c>
      <c r="W824" s="2">
        <v>0.28584521716320599</v>
      </c>
      <c r="X824" s="2">
        <v>7.1192183971110996</v>
      </c>
      <c r="Y824" s="2">
        <v>3.6854120977770699</v>
      </c>
      <c r="Z824" s="7">
        <v>10.179282868525901</v>
      </c>
      <c r="AA824" s="2">
        <v>1.4359220152143399</v>
      </c>
      <c r="AB824" s="7">
        <v>0</v>
      </c>
      <c r="AC824" s="2">
        <v>0</v>
      </c>
      <c r="AD824" s="2">
        <v>311.07309292380302</v>
      </c>
      <c r="AE824" s="2">
        <v>178.884678435388</v>
      </c>
      <c r="AF824" s="2">
        <v>87.735340134614503</v>
      </c>
      <c r="AG824" s="2">
        <v>16.198924868592201</v>
      </c>
      <c r="AH824" s="2">
        <v>138.52560812138199</v>
      </c>
      <c r="AI824" s="2">
        <v>122.304172036845</v>
      </c>
      <c r="AJ824" s="2">
        <v>421.009071949852</v>
      </c>
      <c r="AK824" s="2">
        <v>60.7795016718581</v>
      </c>
      <c r="AL824" s="2">
        <v>211.443827656069</v>
      </c>
      <c r="AM824" s="2">
        <v>109.458313676706</v>
      </c>
      <c r="AN824"/>
      <c r="AO824"/>
    </row>
    <row r="825" spans="1:41" ht="15.75" hidden="1" customHeight="1" x14ac:dyDescent="0.45">
      <c r="A825" s="2" t="s">
        <v>175</v>
      </c>
      <c r="B825" s="2" t="s">
        <v>176</v>
      </c>
      <c r="C825" s="2">
        <v>3.0000000000000001E-3</v>
      </c>
      <c r="D825" s="2"/>
      <c r="E825" s="2" t="s">
        <v>109</v>
      </c>
      <c r="F825" s="2" t="s">
        <v>84</v>
      </c>
      <c r="H825" s="2">
        <v>0.4</v>
      </c>
      <c r="J825" s="2">
        <v>0.4</v>
      </c>
      <c r="K825" s="2">
        <v>35.3333333333333</v>
      </c>
      <c r="L825" s="2"/>
      <c r="M825" s="2">
        <v>2.0207259421636699</v>
      </c>
      <c r="N825" s="2">
        <v>140.333333333333</v>
      </c>
      <c r="O825" s="2">
        <v>15.7330155335132</v>
      </c>
      <c r="P825" s="2">
        <v>17.5</v>
      </c>
      <c r="Q825" s="2">
        <v>1.87823794493074</v>
      </c>
      <c r="R825" s="2">
        <v>2.2777777777777701</v>
      </c>
      <c r="S825" s="2">
        <v>0.63098981620003003</v>
      </c>
      <c r="T825" s="2">
        <v>5.2222222222222197</v>
      </c>
      <c r="U825" s="2">
        <v>0.53575837561072004</v>
      </c>
      <c r="V825" s="2">
        <v>0.66666666666666596</v>
      </c>
      <c r="W825" s="2">
        <v>1.05367121277235E-8</v>
      </c>
      <c r="X825" s="2">
        <v>2.6111111111111098</v>
      </c>
      <c r="Y825" s="2">
        <v>0.41943524640392998</v>
      </c>
      <c r="Z825" s="7">
        <v>97.745961110573603</v>
      </c>
      <c r="AA825" s="2">
        <v>10.958470720837299</v>
      </c>
      <c r="AB825" s="7">
        <v>99.375</v>
      </c>
      <c r="AC825" s="2">
        <v>5.6832917123353202</v>
      </c>
      <c r="AD825" s="2">
        <v>106.818181818181</v>
      </c>
      <c r="AE825" s="2">
        <v>10.958694046582901</v>
      </c>
      <c r="AF825" s="2">
        <v>104.304635761589</v>
      </c>
      <c r="AG825" s="2">
        <v>11.1947956982627</v>
      </c>
      <c r="AH825" s="2">
        <v>97.619047619047606</v>
      </c>
      <c r="AI825" s="2">
        <v>27.042420694286999</v>
      </c>
      <c r="AJ825" s="2">
        <v>109.09090909090899</v>
      </c>
      <c r="AK825" s="2">
        <v>1.72418925726384E-6</v>
      </c>
      <c r="AL825" s="2">
        <v>116.049382716049</v>
      </c>
      <c r="AM825" s="2">
        <v>18.641566506841301</v>
      </c>
      <c r="AN825"/>
      <c r="AO825"/>
    </row>
    <row r="826" spans="1:41" ht="15.75" hidden="1" customHeight="1" x14ac:dyDescent="0.45">
      <c r="A826" s="2" t="s">
        <v>175</v>
      </c>
      <c r="B826" s="2" t="s">
        <v>176</v>
      </c>
      <c r="C826" s="2">
        <v>0.01</v>
      </c>
      <c r="D826" s="2"/>
      <c r="E826" s="2" t="s">
        <v>109</v>
      </c>
      <c r="F826" s="2" t="s">
        <v>84</v>
      </c>
      <c r="H826" s="2">
        <v>0.4</v>
      </c>
      <c r="J826" s="2">
        <v>0.4</v>
      </c>
      <c r="K826" s="2">
        <v>35.9444444444444</v>
      </c>
      <c r="L826" s="2"/>
      <c r="M826" s="2">
        <v>3.9592835116881999</v>
      </c>
      <c r="N826" s="2">
        <v>155.444444444444</v>
      </c>
      <c r="O826" s="2">
        <v>9.8125958358141094</v>
      </c>
      <c r="P826" s="2">
        <v>17.2222222222222</v>
      </c>
      <c r="Q826" s="2">
        <v>2.4113927126900898</v>
      </c>
      <c r="R826" s="2">
        <v>1.7222222222222201</v>
      </c>
      <c r="S826" s="2">
        <v>0.48112522432468802</v>
      </c>
      <c r="T826" s="2">
        <v>3.8333333333333299</v>
      </c>
      <c r="U826" s="2">
        <v>2.1858128414340001</v>
      </c>
      <c r="V826" s="2">
        <v>0.61111111111111105</v>
      </c>
      <c r="W826" s="2">
        <v>0.34694433324435497</v>
      </c>
      <c r="X826" s="2">
        <v>1.99999999999999</v>
      </c>
      <c r="Y826" s="2">
        <v>0.44095855184409799</v>
      </c>
      <c r="Z826" s="7">
        <v>108.27125858566301</v>
      </c>
      <c r="AA826" s="2">
        <v>6.8347383203890502</v>
      </c>
      <c r="AB826" s="7">
        <v>101.09375</v>
      </c>
      <c r="AC826" s="2">
        <v>11.135484876623</v>
      </c>
      <c r="AD826" s="2">
        <v>78.409090909090907</v>
      </c>
      <c r="AE826" s="2">
        <v>44.709808120240901</v>
      </c>
      <c r="AF826" s="2">
        <v>102.649006622516</v>
      </c>
      <c r="AG826" s="2">
        <v>14.372539347159501</v>
      </c>
      <c r="AH826" s="2">
        <v>73.809523809523796</v>
      </c>
      <c r="AI826" s="2">
        <v>20.619652471058</v>
      </c>
      <c r="AJ826" s="2">
        <v>100</v>
      </c>
      <c r="AK826" s="2">
        <v>56.772709076349003</v>
      </c>
      <c r="AL826" s="2">
        <v>88.8888888888888</v>
      </c>
      <c r="AM826" s="2">
        <v>19.5981578597377</v>
      </c>
      <c r="AN826"/>
      <c r="AO826"/>
    </row>
    <row r="827" spans="1:41" ht="15.75" hidden="1" customHeight="1" x14ac:dyDescent="0.45">
      <c r="A827" s="2" t="s">
        <v>175</v>
      </c>
      <c r="B827" s="2" t="s">
        <v>176</v>
      </c>
      <c r="C827" s="2">
        <v>0.03</v>
      </c>
      <c r="D827" s="2"/>
      <c r="E827" s="2" t="s">
        <v>109</v>
      </c>
      <c r="F827" s="2" t="s">
        <v>84</v>
      </c>
      <c r="H827" s="2">
        <v>0.4</v>
      </c>
      <c r="J827" s="2">
        <v>0.4</v>
      </c>
      <c r="K827" s="2">
        <v>34.5</v>
      </c>
      <c r="L827" s="2"/>
      <c r="M827" s="2">
        <v>3.2787192621510002</v>
      </c>
      <c r="N827" s="2">
        <v>139.722222222222</v>
      </c>
      <c r="O827" s="2">
        <v>8.8023565868170603</v>
      </c>
      <c r="P827" s="2">
        <v>16.5555555555555</v>
      </c>
      <c r="Q827" s="2">
        <v>3.4973534967860198</v>
      </c>
      <c r="R827" s="2">
        <v>2.6111111111111098</v>
      </c>
      <c r="S827" s="2">
        <v>0.41943524640393198</v>
      </c>
      <c r="T827" s="2">
        <v>4.6111111111111098</v>
      </c>
      <c r="U827" s="2">
        <v>0.34694433324436003</v>
      </c>
      <c r="V827" s="2">
        <v>0.55555555555555503</v>
      </c>
      <c r="W827" s="2">
        <v>0.25458753860865702</v>
      </c>
      <c r="X827" s="2">
        <v>2.4444444444444402</v>
      </c>
      <c r="Y827" s="2">
        <v>0.25458753860865702</v>
      </c>
      <c r="Z827" s="7">
        <v>97.3203056979781</v>
      </c>
      <c r="AA827" s="2">
        <v>6.1310793678129798</v>
      </c>
      <c r="AB827" s="7">
        <v>97.03125</v>
      </c>
      <c r="AC827" s="2">
        <v>9.22139792479968</v>
      </c>
      <c r="AD827" s="2">
        <v>94.318181818181799</v>
      </c>
      <c r="AE827" s="2">
        <v>7.0965886345437301</v>
      </c>
      <c r="AF827" s="2">
        <v>98.675496688741703</v>
      </c>
      <c r="AG827" s="2">
        <v>20.845153292102101</v>
      </c>
      <c r="AH827" s="2">
        <v>111.904761904761</v>
      </c>
      <c r="AI827" s="2">
        <v>17.975796274454201</v>
      </c>
      <c r="AJ827" s="2">
        <v>90.909090909090907</v>
      </c>
      <c r="AK827" s="2">
        <v>41.659779045053</v>
      </c>
      <c r="AL827" s="2">
        <v>108.64197530864099</v>
      </c>
      <c r="AM827" s="2">
        <v>11.3150017159403</v>
      </c>
      <c r="AN827"/>
      <c r="AO827"/>
    </row>
    <row r="828" spans="1:41" ht="15.75" hidden="1" customHeight="1" x14ac:dyDescent="0.45">
      <c r="A828" s="2" t="s">
        <v>175</v>
      </c>
      <c r="B828" s="2" t="s">
        <v>176</v>
      </c>
      <c r="C828" s="2">
        <v>0.1</v>
      </c>
      <c r="D828" s="2"/>
      <c r="E828" s="2" t="s">
        <v>109</v>
      </c>
      <c r="F828" s="2" t="s">
        <v>84</v>
      </c>
      <c r="H828" s="2">
        <v>0.4</v>
      </c>
      <c r="J828" s="2">
        <v>0.4</v>
      </c>
      <c r="K828" s="2">
        <v>32.3333333333333</v>
      </c>
      <c r="L828" s="2"/>
      <c r="M828" s="2">
        <v>3.89800518784212</v>
      </c>
      <c r="N828" s="2">
        <v>150.888888888888</v>
      </c>
      <c r="O828" s="2">
        <v>23.809623015666201</v>
      </c>
      <c r="P828" s="2">
        <v>17.5555555555555</v>
      </c>
      <c r="Q828" s="2">
        <v>3.6603480911175899</v>
      </c>
      <c r="R828" s="2">
        <v>2.2777777777777701</v>
      </c>
      <c r="S828" s="2">
        <v>0.78763593770876705</v>
      </c>
      <c r="T828" s="2">
        <v>5.4444444444444402</v>
      </c>
      <c r="U828" s="2">
        <v>3.5642255405212002</v>
      </c>
      <c r="V828" s="2">
        <v>0.44444444444444398</v>
      </c>
      <c r="W828" s="2">
        <v>0.34694433324435497</v>
      </c>
      <c r="X828" s="2">
        <v>2.1111111111111098</v>
      </c>
      <c r="Y828" s="2">
        <v>0.78763593770876705</v>
      </c>
      <c r="Z828" s="7">
        <v>105.098190964496</v>
      </c>
      <c r="AA828" s="2">
        <v>16.584046213872199</v>
      </c>
      <c r="AB828" s="7">
        <v>90.9375</v>
      </c>
      <c r="AC828" s="2">
        <v>10.9631395908059</v>
      </c>
      <c r="AD828" s="2">
        <v>111.363636363636</v>
      </c>
      <c r="AE828" s="2">
        <v>72.904613328842899</v>
      </c>
      <c r="AF828" s="2">
        <v>104.635761589403</v>
      </c>
      <c r="AG828" s="2">
        <v>21.8166442516942</v>
      </c>
      <c r="AH828" s="2">
        <v>97.619047619047606</v>
      </c>
      <c r="AI828" s="2">
        <v>33.7558259018043</v>
      </c>
      <c r="AJ828" s="2">
        <v>72.727272727272705</v>
      </c>
      <c r="AK828" s="2">
        <v>56.772709076349003</v>
      </c>
      <c r="AL828" s="2">
        <v>93.827160493827094</v>
      </c>
      <c r="AM828" s="2">
        <v>35.006041675945198</v>
      </c>
      <c r="AN828"/>
      <c r="AO828"/>
    </row>
    <row r="829" spans="1:41" ht="15.75" hidden="1" customHeight="1" x14ac:dyDescent="0.45">
      <c r="A829" s="2" t="s">
        <v>175</v>
      </c>
      <c r="B829" s="2" t="s">
        <v>176</v>
      </c>
      <c r="C829" s="2">
        <v>0.3</v>
      </c>
      <c r="D829" s="2"/>
      <c r="E829" s="2" t="s">
        <v>109</v>
      </c>
      <c r="F829" s="2" t="s">
        <v>84</v>
      </c>
      <c r="H829" s="2">
        <v>0.4</v>
      </c>
      <c r="J829" s="2">
        <v>0.4</v>
      </c>
      <c r="K829" s="2">
        <v>33.1666666666666</v>
      </c>
      <c r="L829" s="2"/>
      <c r="M829" s="2">
        <v>2.3333333333332602</v>
      </c>
      <c r="N829" s="2">
        <v>138.777777777777</v>
      </c>
      <c r="O829" s="2">
        <v>21.749414636652599</v>
      </c>
      <c r="P829" s="2">
        <v>15.6666666666666</v>
      </c>
      <c r="Q829" s="2">
        <v>2.9627314724385201</v>
      </c>
      <c r="R829" s="2">
        <v>1.7222222222222201</v>
      </c>
      <c r="S829" s="2">
        <v>0.69388866648870995</v>
      </c>
      <c r="T829" s="2">
        <v>4.3888888888888804</v>
      </c>
      <c r="U829" s="2">
        <v>3.1725092300598199</v>
      </c>
      <c r="V829" s="2">
        <v>0.5</v>
      </c>
      <c r="W829" s="2">
        <v>0.16666666666666599</v>
      </c>
      <c r="X829" s="2">
        <v>2.55555555555555</v>
      </c>
      <c r="Y829" s="2">
        <v>0.41943524640393198</v>
      </c>
      <c r="Z829" s="7">
        <v>96.662474605784993</v>
      </c>
      <c r="AA829" s="2">
        <v>15.1490553723419</v>
      </c>
      <c r="AB829" s="7">
        <v>93.28125</v>
      </c>
      <c r="AC829" s="2">
        <v>6.5624999999998002</v>
      </c>
      <c r="AD829" s="2">
        <v>89.772727272727295</v>
      </c>
      <c r="AE829" s="2">
        <v>64.892234251223698</v>
      </c>
      <c r="AF829" s="2">
        <v>93.377483443708599</v>
      </c>
      <c r="AG829" s="2">
        <v>17.658664405262702</v>
      </c>
      <c r="AH829" s="2">
        <v>73.809523809523796</v>
      </c>
      <c r="AI829" s="2">
        <v>29.738085706659</v>
      </c>
      <c r="AJ829" s="2">
        <v>81.818181818181799</v>
      </c>
      <c r="AK829" s="2">
        <v>27.272727272727298</v>
      </c>
      <c r="AL829" s="2">
        <v>113.58024691358</v>
      </c>
      <c r="AM829" s="2">
        <v>18.6415665068414</v>
      </c>
      <c r="AN829"/>
      <c r="AO829"/>
    </row>
    <row r="830" spans="1:41" ht="15.75" hidden="1" customHeight="1" x14ac:dyDescent="0.45">
      <c r="A830" s="2" t="s">
        <v>175</v>
      </c>
      <c r="B830" s="2" t="s">
        <v>176</v>
      </c>
      <c r="C830" s="2">
        <v>1</v>
      </c>
      <c r="D830" s="2"/>
      <c r="E830" s="2" t="s">
        <v>109</v>
      </c>
      <c r="F830" s="2" t="s">
        <v>84</v>
      </c>
      <c r="H830" s="2">
        <v>0.4</v>
      </c>
      <c r="J830" s="2">
        <v>0.4</v>
      </c>
      <c r="K830" s="2">
        <v>0</v>
      </c>
      <c r="L830" s="2"/>
      <c r="M830" s="2">
        <v>0</v>
      </c>
      <c r="N830" s="2">
        <v>26.0555555555555</v>
      </c>
      <c r="O830" s="2">
        <v>7.0046280996791701</v>
      </c>
      <c r="P830" s="2">
        <v>1.3333333333333299</v>
      </c>
      <c r="Q830" s="2">
        <v>2.3094010767584998</v>
      </c>
      <c r="R830" s="2">
        <v>0</v>
      </c>
      <c r="S830" s="2">
        <v>0</v>
      </c>
      <c r="T830" s="2">
        <v>78.5555555555555</v>
      </c>
      <c r="U830" s="2">
        <v>13.4787212273985</v>
      </c>
      <c r="V830" s="2">
        <v>0</v>
      </c>
      <c r="W830" s="2">
        <v>0</v>
      </c>
      <c r="X830" s="2">
        <v>1.3333333333333299</v>
      </c>
      <c r="Y830" s="2">
        <v>1.20185042515466</v>
      </c>
      <c r="Z830" s="7">
        <v>18.148398955209402</v>
      </c>
      <c r="AA830" s="2">
        <v>4.8789128681135798</v>
      </c>
      <c r="AB830" s="7">
        <v>0</v>
      </c>
      <c r="AC830" s="2">
        <v>0</v>
      </c>
      <c r="AD830" s="2">
        <v>1606.8181818181799</v>
      </c>
      <c r="AE830" s="2">
        <v>275.70111601497098</v>
      </c>
      <c r="AF830" s="2">
        <v>7.9470198675496597</v>
      </c>
      <c r="AG830" s="2">
        <v>13.764642179355301</v>
      </c>
      <c r="AH830" s="2">
        <v>0</v>
      </c>
      <c r="AI830" s="2">
        <v>0</v>
      </c>
      <c r="AJ830" s="2">
        <v>0</v>
      </c>
      <c r="AK830" s="2">
        <v>0</v>
      </c>
      <c r="AL830" s="2">
        <v>59.259259259259203</v>
      </c>
      <c r="AM830" s="2">
        <v>53.4155744513183</v>
      </c>
      <c r="AN830"/>
      <c r="AO830"/>
    </row>
    <row r="831" spans="1:41" ht="15.75" hidden="1" customHeight="1" x14ac:dyDescent="0.45">
      <c r="A831" s="2" t="s">
        <v>175</v>
      </c>
      <c r="B831" s="2" t="s">
        <v>176</v>
      </c>
      <c r="C831" s="2">
        <v>3</v>
      </c>
      <c r="D831" s="2"/>
      <c r="E831" s="2" t="s">
        <v>109</v>
      </c>
      <c r="F831" s="2" t="s">
        <v>84</v>
      </c>
      <c r="H831" s="2">
        <v>0.4</v>
      </c>
      <c r="J831" s="2">
        <v>0.4</v>
      </c>
      <c r="K831" s="2">
        <v>0</v>
      </c>
      <c r="L831" s="2"/>
      <c r="M831" s="2">
        <v>0</v>
      </c>
      <c r="N831" s="2">
        <v>42.6666666666666</v>
      </c>
      <c r="O831" s="2">
        <v>6.8251984098144298</v>
      </c>
      <c r="P831" s="2">
        <v>0.27777777777777701</v>
      </c>
      <c r="Q831" s="2">
        <v>0.25458753860865702</v>
      </c>
      <c r="R831" s="2">
        <v>0</v>
      </c>
      <c r="S831" s="2">
        <v>0</v>
      </c>
      <c r="T831" s="2">
        <v>85.5555555555555</v>
      </c>
      <c r="U831" s="2">
        <v>5.71142454825155</v>
      </c>
      <c r="V831" s="2">
        <v>0.11111111111111099</v>
      </c>
      <c r="W831" s="2">
        <v>0.19245008972987501</v>
      </c>
      <c r="X831" s="2">
        <v>0.44444444444444398</v>
      </c>
      <c r="Y831" s="2">
        <v>0.34694433324435497</v>
      </c>
      <c r="Z831" s="7">
        <v>29.7184869884879</v>
      </c>
      <c r="AA831" s="2">
        <v>4.7539352375605999</v>
      </c>
      <c r="AB831" s="7">
        <v>0</v>
      </c>
      <c r="AC831" s="2">
        <v>0</v>
      </c>
      <c r="AD831" s="2">
        <v>1750</v>
      </c>
      <c r="AE831" s="2">
        <v>116.82459303241799</v>
      </c>
      <c r="AF831" s="2">
        <v>1.6556291390728399</v>
      </c>
      <c r="AG831" s="2">
        <v>1.51740917051517</v>
      </c>
      <c r="AH831" s="2">
        <v>0</v>
      </c>
      <c r="AI831" s="2">
        <v>0</v>
      </c>
      <c r="AJ831" s="2">
        <v>18.181818181818102</v>
      </c>
      <c r="AK831" s="2">
        <v>31.4918328648886</v>
      </c>
      <c r="AL831" s="2">
        <v>19.753086419753</v>
      </c>
      <c r="AM831" s="2">
        <v>15.4197481441935</v>
      </c>
      <c r="AN831"/>
      <c r="AO831"/>
    </row>
    <row r="832" spans="1:41" ht="15.75" hidden="1" customHeight="1" x14ac:dyDescent="0.45">
      <c r="A832" s="2" t="s">
        <v>175</v>
      </c>
      <c r="B832" s="2" t="s">
        <v>176</v>
      </c>
      <c r="C832" s="2">
        <v>10</v>
      </c>
      <c r="D832" s="2"/>
      <c r="E832" s="2" t="s">
        <v>109</v>
      </c>
      <c r="F832" s="2" t="s">
        <v>84</v>
      </c>
      <c r="H832" s="2">
        <v>0.4</v>
      </c>
      <c r="J832" s="2">
        <v>0.4</v>
      </c>
      <c r="K832" s="2">
        <v>0</v>
      </c>
      <c r="L832" s="2"/>
      <c r="M832" s="2">
        <v>0</v>
      </c>
      <c r="N832" s="2">
        <v>42.8888888888888</v>
      </c>
      <c r="O832" s="2">
        <v>4.1510819651606701</v>
      </c>
      <c r="P832" s="2">
        <v>1.05555555555555</v>
      </c>
      <c r="Q832" s="2">
        <v>0.41943524640392998</v>
      </c>
      <c r="R832" s="2">
        <v>0.77777777777777701</v>
      </c>
      <c r="S832" s="2">
        <v>0.63098981620003003</v>
      </c>
      <c r="T832" s="2">
        <v>64.0555555555555</v>
      </c>
      <c r="U832" s="2">
        <v>3.9063101847212902</v>
      </c>
      <c r="V832" s="2">
        <v>0.27777777777777701</v>
      </c>
      <c r="W832" s="2">
        <v>0.25458753860865702</v>
      </c>
      <c r="X832" s="2">
        <v>0.94444444444444398</v>
      </c>
      <c r="Y832" s="2">
        <v>0.48112522432468702</v>
      </c>
      <c r="Z832" s="7">
        <v>29.873270774886301</v>
      </c>
      <c r="AA832" s="2">
        <v>2.8913408289790898</v>
      </c>
      <c r="AB832" s="7">
        <v>0</v>
      </c>
      <c r="AC832" s="2">
        <v>0</v>
      </c>
      <c r="AD832" s="2">
        <v>1310.22727272727</v>
      </c>
      <c r="AE832" s="2">
        <v>79.901799232935502</v>
      </c>
      <c r="AF832" s="2">
        <v>6.29139072847682</v>
      </c>
      <c r="AG832" s="2">
        <v>2.4999451772419699</v>
      </c>
      <c r="AH832" s="2">
        <v>33.3333333333333</v>
      </c>
      <c r="AI832" s="2">
        <v>27.042420694286999</v>
      </c>
      <c r="AJ832" s="2">
        <v>45.454545454545404</v>
      </c>
      <c r="AK832" s="2">
        <v>41.659779045053099</v>
      </c>
      <c r="AL832" s="2">
        <v>41.975308641975303</v>
      </c>
      <c r="AM832" s="2">
        <v>21.3833433033194</v>
      </c>
      <c r="AN832"/>
      <c r="AO832"/>
    </row>
    <row r="833" spans="1:41" ht="15.75" hidden="1" customHeight="1" x14ac:dyDescent="0.45">
      <c r="A833" s="2" t="s">
        <v>175</v>
      </c>
      <c r="B833" s="2" t="s">
        <v>176</v>
      </c>
      <c r="C833" s="2">
        <v>3.0000000000000001E-3</v>
      </c>
      <c r="D833" s="2"/>
      <c r="E833" s="2" t="s">
        <v>109</v>
      </c>
      <c r="F833" s="2" t="s">
        <v>84</v>
      </c>
      <c r="H833" s="2">
        <v>0.6</v>
      </c>
      <c r="J833" s="2">
        <v>0.6</v>
      </c>
      <c r="K833" s="2">
        <v>32.8888888888888</v>
      </c>
      <c r="L833" s="2"/>
      <c r="M833" s="2">
        <v>1.5485955405297001</v>
      </c>
      <c r="N833" s="2">
        <v>239.777777777777</v>
      </c>
      <c r="O833" s="2">
        <v>43.372525012107999</v>
      </c>
      <c r="P833" s="2">
        <v>13.8888888888888</v>
      </c>
      <c r="Q833" s="2">
        <v>1.45614915800902</v>
      </c>
      <c r="R833" s="2">
        <v>1.55555555555555</v>
      </c>
      <c r="S833" s="2">
        <v>0.67357531405456295</v>
      </c>
      <c r="T833" s="2">
        <v>9.1111111111111107</v>
      </c>
      <c r="U833" s="2">
        <v>2.3353166174426301</v>
      </c>
      <c r="V833" s="2">
        <v>0.72222222222222199</v>
      </c>
      <c r="W833" s="2">
        <v>0.58531409738070705</v>
      </c>
      <c r="X833" s="2">
        <v>3.55555555555555</v>
      </c>
      <c r="Y833" s="2">
        <v>0.69388866648871295</v>
      </c>
      <c r="Z833" s="7">
        <v>101.177987458243</v>
      </c>
      <c r="AA833" s="2">
        <v>18.301715998779699</v>
      </c>
      <c r="AB833" s="7">
        <v>93.893735130848498</v>
      </c>
      <c r="AC833" s="2">
        <v>4.4210499174519704</v>
      </c>
      <c r="AD833" s="2">
        <v>114.28571428571399</v>
      </c>
      <c r="AE833" s="2">
        <v>29.293170114262999</v>
      </c>
      <c r="AF833" s="2">
        <v>100</v>
      </c>
      <c r="AG833" s="2">
        <v>10.4842739376649</v>
      </c>
      <c r="AH833" s="2">
        <v>85.496183206106906</v>
      </c>
      <c r="AI833" s="2">
        <v>37.020933291548502</v>
      </c>
      <c r="AJ833" s="2">
        <v>110.63829787234</v>
      </c>
      <c r="AK833" s="2">
        <v>89.665138322150895</v>
      </c>
      <c r="AL833" s="2">
        <v>93.090909090909093</v>
      </c>
      <c r="AM833" s="2">
        <v>18.167266904431699</v>
      </c>
      <c r="AN833"/>
      <c r="AO833"/>
    </row>
    <row r="834" spans="1:41" ht="15.75" hidden="1" customHeight="1" x14ac:dyDescent="0.45">
      <c r="A834" s="2" t="s">
        <v>175</v>
      </c>
      <c r="B834" s="2" t="s">
        <v>176</v>
      </c>
      <c r="C834" s="2">
        <v>0.01</v>
      </c>
      <c r="D834" s="2"/>
      <c r="E834" s="2" t="s">
        <v>109</v>
      </c>
      <c r="F834" s="2" t="s">
        <v>84</v>
      </c>
      <c r="H834" s="2">
        <v>0.6</v>
      </c>
      <c r="J834" s="2">
        <v>0.6</v>
      </c>
      <c r="K834" s="2">
        <v>34.1666666666666</v>
      </c>
      <c r="L834" s="2"/>
      <c r="M834" s="2">
        <v>2.8915585954829401</v>
      </c>
      <c r="N834" s="2">
        <v>253.388888888888</v>
      </c>
      <c r="O834" s="2">
        <v>36.841376698448997</v>
      </c>
      <c r="P834" s="2">
        <v>12.7222222222222</v>
      </c>
      <c r="Q834" s="2">
        <v>1.4174834246858701</v>
      </c>
      <c r="R834" s="2">
        <v>2.3333333333333299</v>
      </c>
      <c r="S834" s="2">
        <v>0.16666666666666899</v>
      </c>
      <c r="T834" s="2">
        <v>8.1666666666666607</v>
      </c>
      <c r="U834" s="2">
        <v>2.2912878474779199</v>
      </c>
      <c r="V834" s="2">
        <v>0.55555555555555503</v>
      </c>
      <c r="W834" s="2">
        <v>0.41943524640392998</v>
      </c>
      <c r="X834" s="2">
        <v>3.5</v>
      </c>
      <c r="Y834" s="2">
        <v>0.76376261582597404</v>
      </c>
      <c r="Z834" s="7">
        <v>106.921408896442</v>
      </c>
      <c r="AA834" s="2">
        <v>15.545795711705599</v>
      </c>
      <c r="AB834" s="7">
        <v>97.541633624107803</v>
      </c>
      <c r="AC834" s="2">
        <v>8.2550443645825595</v>
      </c>
      <c r="AD834" s="2">
        <v>102.43902439024301</v>
      </c>
      <c r="AE834" s="2">
        <v>28.740892860350201</v>
      </c>
      <c r="AF834" s="2">
        <v>91.6</v>
      </c>
      <c r="AG834" s="2">
        <v>10.2058806577383</v>
      </c>
      <c r="AH834" s="2">
        <v>128.24427480916</v>
      </c>
      <c r="AI834" s="2">
        <v>9.1603053435115793</v>
      </c>
      <c r="AJ834" s="2">
        <v>85.106382978723303</v>
      </c>
      <c r="AK834" s="2">
        <v>64.253910087410603</v>
      </c>
      <c r="AL834" s="2">
        <v>91.636363636363598</v>
      </c>
      <c r="AM834" s="2">
        <v>19.996693941625502</v>
      </c>
      <c r="AN834"/>
      <c r="AO834"/>
    </row>
    <row r="835" spans="1:41" ht="15.75" hidden="1" customHeight="1" x14ac:dyDescent="0.45">
      <c r="A835" s="2" t="s">
        <v>175</v>
      </c>
      <c r="B835" s="2" t="s">
        <v>176</v>
      </c>
      <c r="C835" s="2">
        <v>0.03</v>
      </c>
      <c r="D835" s="2"/>
      <c r="E835" s="2" t="s">
        <v>109</v>
      </c>
      <c r="F835" s="2" t="s">
        <v>84</v>
      </c>
      <c r="H835" s="2">
        <v>0.6</v>
      </c>
      <c r="J835" s="2">
        <v>0.6</v>
      </c>
      <c r="K835" s="2">
        <v>34.1666666666666</v>
      </c>
      <c r="L835" s="2"/>
      <c r="M835" s="2">
        <v>0.60092521257731002</v>
      </c>
      <c r="N835" s="2">
        <v>228.888888888888</v>
      </c>
      <c r="O835" s="2">
        <v>11.443500500444699</v>
      </c>
      <c r="P835" s="2">
        <v>13.6111111111111</v>
      </c>
      <c r="Q835" s="2">
        <v>0.53575837561079998</v>
      </c>
      <c r="R835" s="2">
        <v>1.8333333333333299</v>
      </c>
      <c r="S835" s="2">
        <v>0.16666666666666599</v>
      </c>
      <c r="T835" s="2">
        <v>8.2777777777777697</v>
      </c>
      <c r="U835" s="2">
        <v>1.3471506281091301</v>
      </c>
      <c r="V835" s="2">
        <v>0.5</v>
      </c>
      <c r="W835" s="2">
        <v>0.16666666666666699</v>
      </c>
      <c r="X835" s="2">
        <v>3.5</v>
      </c>
      <c r="Y835" s="2">
        <v>0.83333333333333603</v>
      </c>
      <c r="Z835" s="7">
        <v>96.583250307683201</v>
      </c>
      <c r="AA835" s="2">
        <v>4.8287642034344502</v>
      </c>
      <c r="AB835" s="7">
        <v>97.541633624107803</v>
      </c>
      <c r="AC835" s="2">
        <v>1.7155676171913701</v>
      </c>
      <c r="AD835" s="2">
        <v>103.83275261324</v>
      </c>
      <c r="AE835" s="2">
        <v>16.898056659208599</v>
      </c>
      <c r="AF835" s="2">
        <v>98</v>
      </c>
      <c r="AG835" s="2">
        <v>3.85746030439776</v>
      </c>
      <c r="AH835" s="2">
        <v>100.763358778625</v>
      </c>
      <c r="AI835" s="2">
        <v>9.1603053435114301</v>
      </c>
      <c r="AJ835" s="2">
        <v>76.595744680850999</v>
      </c>
      <c r="AK835" s="2">
        <v>25.531914893617</v>
      </c>
      <c r="AL835" s="2">
        <v>91.636363636363598</v>
      </c>
      <c r="AM835" s="2">
        <v>21.818181818181898</v>
      </c>
      <c r="AN835"/>
      <c r="AO835"/>
    </row>
    <row r="836" spans="1:41" ht="15.75" hidden="1" customHeight="1" x14ac:dyDescent="0.45">
      <c r="A836" s="2" t="s">
        <v>175</v>
      </c>
      <c r="B836" s="2" t="s">
        <v>176</v>
      </c>
      <c r="C836" s="2">
        <v>0.1</v>
      </c>
      <c r="D836" s="2"/>
      <c r="E836" s="2" t="s">
        <v>109</v>
      </c>
      <c r="F836" s="2" t="s">
        <v>84</v>
      </c>
      <c r="H836" s="2">
        <v>0.6</v>
      </c>
      <c r="J836" s="2">
        <v>0.6</v>
      </c>
      <c r="K836" s="2">
        <v>31.499999999999901</v>
      </c>
      <c r="L836" s="2"/>
      <c r="M836" s="2">
        <v>2.74367960552568</v>
      </c>
      <c r="N836" s="2">
        <v>238.444444444444</v>
      </c>
      <c r="O836" s="2">
        <v>28.365341397427201</v>
      </c>
      <c r="P836" s="2">
        <v>13.1111111111111</v>
      </c>
      <c r="Q836" s="2">
        <v>0.82214714371937303</v>
      </c>
      <c r="R836" s="2">
        <v>2.1111111111111098</v>
      </c>
      <c r="S836" s="2">
        <v>0.53575837561071904</v>
      </c>
      <c r="T836" s="2">
        <v>9.05555555555555</v>
      </c>
      <c r="U836" s="2">
        <v>1.3471506281091199</v>
      </c>
      <c r="V836" s="2">
        <v>0.66666666666666596</v>
      </c>
      <c r="W836" s="2">
        <v>0.33333333333333298</v>
      </c>
      <c r="X836" s="2">
        <v>3.3333333333333299</v>
      </c>
      <c r="Y836" s="2">
        <v>0.600925212577331</v>
      </c>
      <c r="Z836" s="7">
        <v>100.615366582664</v>
      </c>
      <c r="AA836" s="2">
        <v>11.9691999098327</v>
      </c>
      <c r="AB836" s="7">
        <v>89.928628072957906</v>
      </c>
      <c r="AC836" s="2">
        <v>7.83286802529142</v>
      </c>
      <c r="AD836" s="2">
        <v>113.58885017421601</v>
      </c>
      <c r="AE836" s="2">
        <v>16.8980566592085</v>
      </c>
      <c r="AF836" s="2">
        <v>94.399999999999906</v>
      </c>
      <c r="AG836" s="2">
        <v>5.9194594347794798</v>
      </c>
      <c r="AH836" s="2">
        <v>116.03053435114499</v>
      </c>
      <c r="AI836" s="2">
        <v>29.446261865627299</v>
      </c>
      <c r="AJ836" s="2">
        <v>102.127659574468</v>
      </c>
      <c r="AK836" s="2">
        <v>51.063829787233999</v>
      </c>
      <c r="AL836" s="2">
        <v>87.272727272727295</v>
      </c>
      <c r="AM836" s="2">
        <v>15.7333146565701</v>
      </c>
      <c r="AN836"/>
      <c r="AO836"/>
    </row>
    <row r="837" spans="1:41" ht="15.75" hidden="1" customHeight="1" x14ac:dyDescent="0.45">
      <c r="A837" s="2" t="s">
        <v>175</v>
      </c>
      <c r="B837" s="2" t="s">
        <v>176</v>
      </c>
      <c r="C837" s="2">
        <v>0.3</v>
      </c>
      <c r="D837" s="2"/>
      <c r="E837" s="2" t="s">
        <v>109</v>
      </c>
      <c r="F837" s="2" t="s">
        <v>84</v>
      </c>
      <c r="H837" s="2">
        <v>0.6</v>
      </c>
      <c r="J837" s="2">
        <v>0.6</v>
      </c>
      <c r="K837" s="2">
        <v>31.8888888888888</v>
      </c>
      <c r="L837" s="2"/>
      <c r="M837" s="2">
        <v>4.2828253049351401</v>
      </c>
      <c r="N837" s="2">
        <v>204.333333333333</v>
      </c>
      <c r="O837" s="2">
        <v>27.974690942588499</v>
      </c>
      <c r="P837" s="2">
        <v>15</v>
      </c>
      <c r="Q837" s="2">
        <v>1.6914819275153901</v>
      </c>
      <c r="R837" s="2">
        <v>1.8333333333333299</v>
      </c>
      <c r="S837" s="2">
        <v>2.9802322387695299E-8</v>
      </c>
      <c r="T837" s="2">
        <v>6.55555555555555</v>
      </c>
      <c r="U837" s="2">
        <v>0.97657754618038795</v>
      </c>
      <c r="V837" s="2">
        <v>0.72222222222222199</v>
      </c>
      <c r="W837" s="2">
        <v>0.19245008972987501</v>
      </c>
      <c r="X837" s="2">
        <v>3.5</v>
      </c>
      <c r="Y837" s="2">
        <v>0.60092521257732801</v>
      </c>
      <c r="Z837" s="7">
        <v>86.221649182441496</v>
      </c>
      <c r="AA837" s="2">
        <v>11.8043588341227</v>
      </c>
      <c r="AB837" s="7">
        <v>91.038858049167303</v>
      </c>
      <c r="AC837" s="2">
        <v>12.2269398079036</v>
      </c>
      <c r="AD837" s="2">
        <v>82.229965156794407</v>
      </c>
      <c r="AE837" s="2">
        <v>12.249753192506599</v>
      </c>
      <c r="AF837" s="2">
        <v>108</v>
      </c>
      <c r="AG837" s="2">
        <v>12.178669878110799</v>
      </c>
      <c r="AH837" s="2">
        <v>100.763358778625</v>
      </c>
      <c r="AI837" s="2">
        <v>1.63799023810233E-6</v>
      </c>
      <c r="AJ837" s="2">
        <v>110.63829787234</v>
      </c>
      <c r="AK837" s="2">
        <v>29.481715873512801</v>
      </c>
      <c r="AL837" s="2">
        <v>91.636363636363598</v>
      </c>
      <c r="AM837" s="2">
        <v>15.73331465657</v>
      </c>
      <c r="AN837"/>
      <c r="AO837"/>
    </row>
    <row r="838" spans="1:41" ht="15.75" hidden="1" customHeight="1" x14ac:dyDescent="0.45">
      <c r="A838" s="2" t="s">
        <v>175</v>
      </c>
      <c r="B838" s="2" t="s">
        <v>176</v>
      </c>
      <c r="C838" s="2">
        <v>1</v>
      </c>
      <c r="D838" s="2"/>
      <c r="E838" s="2" t="s">
        <v>109</v>
      </c>
      <c r="F838" s="2" t="s">
        <v>84</v>
      </c>
      <c r="H838" s="2">
        <v>0.6</v>
      </c>
      <c r="J838" s="2">
        <v>0.6</v>
      </c>
      <c r="K838" s="2">
        <v>9.2777777777777697</v>
      </c>
      <c r="L838" s="2"/>
      <c r="M838" s="2">
        <v>10.8388874651175</v>
      </c>
      <c r="N838" s="2">
        <v>94.2222222222222</v>
      </c>
      <c r="O838" s="2">
        <v>23.1716621312742</v>
      </c>
      <c r="P838" s="2">
        <v>20.1666666666666</v>
      </c>
      <c r="Q838" s="2">
        <v>0.88191710368829002</v>
      </c>
      <c r="R838" s="2">
        <v>0.77777777777777701</v>
      </c>
      <c r="S838" s="2">
        <v>0.75154162547048198</v>
      </c>
      <c r="T838" s="2">
        <v>7.9444444444444402</v>
      </c>
      <c r="U838" s="2">
        <v>1.50308325094096</v>
      </c>
      <c r="V838" s="2">
        <v>0.33333333333333298</v>
      </c>
      <c r="W838" s="2">
        <v>0.33333333333333298</v>
      </c>
      <c r="X838" s="2">
        <v>6.2777777777777697</v>
      </c>
      <c r="Y838" s="2">
        <v>1.0715167512214301</v>
      </c>
      <c r="Z838" s="7">
        <v>39.758541874230701</v>
      </c>
      <c r="AA838" s="2">
        <v>9.7776456276841195</v>
      </c>
      <c r="AB838" s="7">
        <v>26.486915146708899</v>
      </c>
      <c r="AC838" s="2">
        <v>30.943691415085599</v>
      </c>
      <c r="AD838" s="2">
        <v>99.6515679442508</v>
      </c>
      <c r="AE838" s="2">
        <v>18.854005935147899</v>
      </c>
      <c r="AF838" s="2">
        <v>145.19999999999899</v>
      </c>
      <c r="AG838" s="2">
        <v>6.3498031465556801</v>
      </c>
      <c r="AH838" s="2">
        <v>42.748091603053403</v>
      </c>
      <c r="AI838" s="2">
        <v>41.306104606011203</v>
      </c>
      <c r="AJ838" s="2">
        <v>51.063829787233999</v>
      </c>
      <c r="AK838" s="2">
        <v>51.063829787233999</v>
      </c>
      <c r="AL838" s="2">
        <v>164.363636363636</v>
      </c>
      <c r="AM838" s="2">
        <v>28.054256759252102</v>
      </c>
      <c r="AN838"/>
      <c r="AO838"/>
    </row>
    <row r="839" spans="1:41" ht="15.75" hidden="1" customHeight="1" x14ac:dyDescent="0.45">
      <c r="A839" s="2" t="s">
        <v>175</v>
      </c>
      <c r="B839" s="2" t="s">
        <v>176</v>
      </c>
      <c r="C839" s="2">
        <v>3</v>
      </c>
      <c r="D839" s="2"/>
      <c r="E839" s="2" t="s">
        <v>109</v>
      </c>
      <c r="F839" s="2" t="s">
        <v>84</v>
      </c>
      <c r="H839" s="2">
        <v>0.6</v>
      </c>
      <c r="J839" s="2">
        <v>0.6</v>
      </c>
      <c r="K839" s="2">
        <v>0</v>
      </c>
      <c r="L839" s="2"/>
      <c r="M839" s="2">
        <v>0</v>
      </c>
      <c r="N839" s="2">
        <v>32.7777777777777</v>
      </c>
      <c r="O839" s="2">
        <v>5.5486067653994597</v>
      </c>
      <c r="P839" s="2">
        <v>0.33333333333333298</v>
      </c>
      <c r="Q839" s="2">
        <v>0.57735026918962495</v>
      </c>
      <c r="R839" s="2">
        <v>0.11111111111111099</v>
      </c>
      <c r="S839" s="2">
        <v>0.19245008972987501</v>
      </c>
      <c r="T839" s="2">
        <v>87.7222222222222</v>
      </c>
      <c r="U839" s="2">
        <v>5.1675626463260498</v>
      </c>
      <c r="V839" s="2">
        <v>0</v>
      </c>
      <c r="W839" s="2">
        <v>0</v>
      </c>
      <c r="X839" s="2">
        <v>2</v>
      </c>
      <c r="Y839" s="2">
        <v>0.33333333333333398</v>
      </c>
      <c r="Z839" s="7">
        <v>13.8310965246439</v>
      </c>
      <c r="AA839" s="2">
        <v>2.34132149744336</v>
      </c>
      <c r="AB839" s="7">
        <v>0</v>
      </c>
      <c r="AC839" s="2">
        <v>0</v>
      </c>
      <c r="AD839" s="2">
        <v>1100.34843205574</v>
      </c>
      <c r="AE839" s="2">
        <v>64.819601138584702</v>
      </c>
      <c r="AF839" s="2">
        <v>2.4</v>
      </c>
      <c r="AG839" s="2">
        <v>4.1569219381652998</v>
      </c>
      <c r="AH839" s="2">
        <v>6.1068702290076304</v>
      </c>
      <c r="AI839" s="2">
        <v>10.577409511871</v>
      </c>
      <c r="AJ839" s="2">
        <v>0</v>
      </c>
      <c r="AK839" s="2">
        <v>0</v>
      </c>
      <c r="AL839" s="2">
        <v>52.363636363636303</v>
      </c>
      <c r="AM839" s="2">
        <v>8.7272727272727408</v>
      </c>
      <c r="AN839"/>
      <c r="AO839"/>
    </row>
    <row r="840" spans="1:41" ht="15.75" hidden="1" customHeight="1" x14ac:dyDescent="0.45">
      <c r="A840" s="2" t="s">
        <v>175</v>
      </c>
      <c r="B840" s="2" t="s">
        <v>176</v>
      </c>
      <c r="C840" s="2">
        <v>10</v>
      </c>
      <c r="D840" s="2"/>
      <c r="E840" s="2" t="s">
        <v>109</v>
      </c>
      <c r="F840" s="2" t="s">
        <v>84</v>
      </c>
      <c r="H840" s="2">
        <v>0.6</v>
      </c>
      <c r="J840" s="2">
        <v>0.6</v>
      </c>
      <c r="K840" s="2">
        <v>0</v>
      </c>
      <c r="L840" s="2"/>
      <c r="M840" s="2">
        <v>0</v>
      </c>
      <c r="N840" s="2">
        <v>57.6666666666666</v>
      </c>
      <c r="O840" s="2">
        <v>4.0960685758148898</v>
      </c>
      <c r="P840" s="2">
        <v>0.83333333333333304</v>
      </c>
      <c r="Q840" s="2">
        <v>0.16666666666666699</v>
      </c>
      <c r="R840" s="2">
        <v>0.33333333333333298</v>
      </c>
      <c r="S840" s="2">
        <v>0.44095855184409799</v>
      </c>
      <c r="T840" s="2">
        <v>72.6666666666666</v>
      </c>
      <c r="U840" s="2">
        <v>3.3829638550308498</v>
      </c>
      <c r="V840" s="2">
        <v>0</v>
      </c>
      <c r="W840" s="2">
        <v>0</v>
      </c>
      <c r="X840" s="2">
        <v>1.7777777777777699</v>
      </c>
      <c r="Y840" s="2">
        <v>0.67357531405456395</v>
      </c>
      <c r="Z840" s="7">
        <v>24.333352868780398</v>
      </c>
      <c r="AA840" s="2">
        <v>1.72840026641664</v>
      </c>
      <c r="AB840" s="7">
        <v>0</v>
      </c>
      <c r="AC840" s="2">
        <v>0</v>
      </c>
      <c r="AD840" s="2">
        <v>911.49825783972096</v>
      </c>
      <c r="AE840" s="2">
        <v>42.434389819202401</v>
      </c>
      <c r="AF840" s="2">
        <v>5.9999999999999902</v>
      </c>
      <c r="AG840" s="2">
        <v>1.2</v>
      </c>
      <c r="AH840" s="2">
        <v>18.320610687022899</v>
      </c>
      <c r="AI840" s="2">
        <v>24.2358898723474</v>
      </c>
      <c r="AJ840" s="2">
        <v>0</v>
      </c>
      <c r="AK840" s="2">
        <v>0</v>
      </c>
      <c r="AL840" s="2">
        <v>46.545454545454497</v>
      </c>
      <c r="AM840" s="2">
        <v>17.635426404337601</v>
      </c>
      <c r="AN840"/>
      <c r="AO840"/>
    </row>
    <row r="841" spans="1:41" ht="15.75" hidden="1" customHeight="1" x14ac:dyDescent="0.45">
      <c r="A841" s="2" t="s">
        <v>177</v>
      </c>
      <c r="B841" s="2" t="s">
        <v>178</v>
      </c>
      <c r="C841" s="2">
        <v>3.0000000000000001E-3</v>
      </c>
      <c r="D841" s="2"/>
      <c r="E841" s="2" t="s">
        <v>109</v>
      </c>
      <c r="F841" s="2" t="s">
        <v>84</v>
      </c>
      <c r="H841" s="2">
        <v>5</v>
      </c>
      <c r="J841" s="2">
        <v>5</v>
      </c>
      <c r="K841" s="2">
        <v>34.9444444444444</v>
      </c>
      <c r="L841" s="2"/>
      <c r="M841" s="2">
        <v>1.54859554052955</v>
      </c>
      <c r="N841" s="2">
        <v>152.777777777777</v>
      </c>
      <c r="O841" s="2">
        <v>19.906261810276199</v>
      </c>
      <c r="P841" s="2">
        <v>17.7222222222222</v>
      </c>
      <c r="Q841" s="2">
        <v>4.0971986816649402</v>
      </c>
      <c r="R841" s="2">
        <v>2.2777777777777701</v>
      </c>
      <c r="S841" s="2">
        <v>0.67357531405456506</v>
      </c>
      <c r="T841" s="2">
        <v>4.05555555555555</v>
      </c>
      <c r="U841" s="2">
        <v>0.91792842454768497</v>
      </c>
      <c r="V841" s="2">
        <v>0.5</v>
      </c>
      <c r="W841" s="2">
        <v>0.44095855184409799</v>
      </c>
      <c r="X841" s="2">
        <v>2.1111111111111098</v>
      </c>
      <c r="Y841" s="2">
        <v>0.50917507721731403</v>
      </c>
      <c r="Z841" s="7">
        <v>106.413853148882</v>
      </c>
      <c r="AA841" s="2">
        <v>13.8652495921436</v>
      </c>
      <c r="AB841" s="7">
        <v>98.28125</v>
      </c>
      <c r="AC841" s="2">
        <v>4.3554249577393804</v>
      </c>
      <c r="AD841" s="2">
        <v>82.954545454545396</v>
      </c>
      <c r="AE841" s="2">
        <v>18.775808683929899</v>
      </c>
      <c r="AF841" s="2">
        <v>105.629139072847</v>
      </c>
      <c r="AG841" s="2">
        <v>24.4203894933672</v>
      </c>
      <c r="AH841" s="2">
        <v>97.619047619047606</v>
      </c>
      <c r="AI841" s="2">
        <v>28.867513459481302</v>
      </c>
      <c r="AJ841" s="2">
        <v>81.818181818181799</v>
      </c>
      <c r="AK841" s="2">
        <v>72.156853938125195</v>
      </c>
      <c r="AL841" s="2">
        <v>93.827160493827094</v>
      </c>
      <c r="AM841" s="2">
        <v>22.630003431880599</v>
      </c>
      <c r="AN841"/>
      <c r="AO841"/>
    </row>
    <row r="842" spans="1:41" ht="15.75" hidden="1" customHeight="1" x14ac:dyDescent="0.45">
      <c r="A842" s="2" t="s">
        <v>177</v>
      </c>
      <c r="B842" s="2" t="s">
        <v>178</v>
      </c>
      <c r="C842" s="2">
        <v>0.01</v>
      </c>
      <c r="D842" s="2"/>
      <c r="E842" s="2" t="s">
        <v>109</v>
      </c>
      <c r="F842" s="2" t="s">
        <v>84</v>
      </c>
      <c r="H842" s="2">
        <v>5</v>
      </c>
      <c r="J842" s="2">
        <v>5</v>
      </c>
      <c r="K842" s="2">
        <v>34.1111111111111</v>
      </c>
      <c r="L842" s="2"/>
      <c r="M842" s="2">
        <v>1.9460310986818601</v>
      </c>
      <c r="N842" s="2">
        <v>150.388888888888</v>
      </c>
      <c r="O842" s="2">
        <v>13.7863996320583</v>
      </c>
      <c r="P842" s="2">
        <v>16.5</v>
      </c>
      <c r="Q842" s="2">
        <v>1.58989866902822</v>
      </c>
      <c r="R842" s="2">
        <v>2.7777777777777701</v>
      </c>
      <c r="S842" s="2">
        <v>0.25458753860865002</v>
      </c>
      <c r="T842" s="2">
        <v>7.2777777777777697</v>
      </c>
      <c r="U842" s="2">
        <v>3.8526085439079498</v>
      </c>
      <c r="V842" s="2">
        <v>0.55555555555555503</v>
      </c>
      <c r="W842" s="2">
        <v>0.34694433324435497</v>
      </c>
      <c r="X842" s="2">
        <v>2.2222222222222201</v>
      </c>
      <c r="Y842" s="2">
        <v>0.19245008972987501</v>
      </c>
      <c r="Z842" s="7">
        <v>104.7499274451</v>
      </c>
      <c r="AA842" s="2">
        <v>9.6026001113301493</v>
      </c>
      <c r="AB842" s="7">
        <v>95.9375</v>
      </c>
      <c r="AC842" s="2">
        <v>5.4732124650427503</v>
      </c>
      <c r="AD842" s="2">
        <v>148.863636363636</v>
      </c>
      <c r="AE842" s="2">
        <v>78.803356579935496</v>
      </c>
      <c r="AF842" s="2">
        <v>98.3443708609271</v>
      </c>
      <c r="AG842" s="2">
        <v>9.4762172326185397</v>
      </c>
      <c r="AH842" s="2">
        <v>119.04761904761899</v>
      </c>
      <c r="AI842" s="2">
        <v>10.910894511799301</v>
      </c>
      <c r="AJ842" s="2">
        <v>90.909090909090907</v>
      </c>
      <c r="AK842" s="2">
        <v>56.772709076349003</v>
      </c>
      <c r="AL842" s="2">
        <v>98.765432098765402</v>
      </c>
      <c r="AM842" s="2">
        <v>8.5533373213278008</v>
      </c>
      <c r="AN842"/>
      <c r="AO842"/>
    </row>
    <row r="843" spans="1:41" ht="15.75" hidden="1" customHeight="1" x14ac:dyDescent="0.45">
      <c r="A843" s="2" t="s">
        <v>177</v>
      </c>
      <c r="B843" s="2" t="s">
        <v>178</v>
      </c>
      <c r="C843" s="2">
        <v>0.03</v>
      </c>
      <c r="D843" s="2"/>
      <c r="E843" s="2" t="s">
        <v>109</v>
      </c>
      <c r="F843" s="2" t="s">
        <v>84</v>
      </c>
      <c r="H843" s="2">
        <v>5</v>
      </c>
      <c r="J843" s="2">
        <v>5</v>
      </c>
      <c r="K843" s="2">
        <v>36.0555555555555</v>
      </c>
      <c r="L843" s="2"/>
      <c r="M843" s="2">
        <v>3.8018026913168002</v>
      </c>
      <c r="N843" s="2">
        <v>144.722222222222</v>
      </c>
      <c r="O843" s="2">
        <v>15.718295544199799</v>
      </c>
      <c r="P843" s="2">
        <v>18.5</v>
      </c>
      <c r="Q843" s="2">
        <v>3.2829526005986902</v>
      </c>
      <c r="R843" s="2">
        <v>2.1111111111111098</v>
      </c>
      <c r="S843" s="2">
        <v>0.50917507721731503</v>
      </c>
      <c r="T843" s="2">
        <v>4.05555555555555</v>
      </c>
      <c r="U843" s="2">
        <v>0.94770678384622098</v>
      </c>
      <c r="V843" s="2">
        <v>0.38888888888888801</v>
      </c>
      <c r="W843" s="2">
        <v>0.25458753860865702</v>
      </c>
      <c r="X843" s="2">
        <v>2.2777777777777701</v>
      </c>
      <c r="Y843" s="2">
        <v>0.63098981620003003</v>
      </c>
      <c r="Z843" s="7">
        <v>100.80294089194101</v>
      </c>
      <c r="AA843" s="2">
        <v>10.948217850269801</v>
      </c>
      <c r="AB843" s="7">
        <v>101.40625</v>
      </c>
      <c r="AC843" s="2">
        <v>10.6925700693285</v>
      </c>
      <c r="AD843" s="2">
        <v>82.954545454545396</v>
      </c>
      <c r="AE843" s="2">
        <v>19.384911487763599</v>
      </c>
      <c r="AF843" s="2">
        <v>110.26490066225099</v>
      </c>
      <c r="AG843" s="2">
        <v>19.567267155886199</v>
      </c>
      <c r="AH843" s="2">
        <v>90.476190476190396</v>
      </c>
      <c r="AI843" s="2">
        <v>21.821789023599202</v>
      </c>
      <c r="AJ843" s="2">
        <v>63.636363636363598</v>
      </c>
      <c r="AK843" s="2">
        <v>41.659779045053099</v>
      </c>
      <c r="AL843" s="2">
        <v>101.234567901234</v>
      </c>
      <c r="AM843" s="2">
        <v>28.0439918311124</v>
      </c>
      <c r="AN843"/>
      <c r="AO843"/>
    </row>
    <row r="844" spans="1:41" ht="15.75" hidden="1" customHeight="1" x14ac:dyDescent="0.45">
      <c r="A844" s="2" t="s">
        <v>177</v>
      </c>
      <c r="B844" s="2" t="s">
        <v>178</v>
      </c>
      <c r="C844" s="2">
        <v>0.1</v>
      </c>
      <c r="D844" s="2"/>
      <c r="E844" s="2" t="s">
        <v>109</v>
      </c>
      <c r="F844" s="2" t="s">
        <v>84</v>
      </c>
      <c r="H844" s="2">
        <v>5</v>
      </c>
      <c r="J844" s="2">
        <v>5</v>
      </c>
      <c r="K844" s="2">
        <v>32.5555555555555</v>
      </c>
      <c r="L844" s="2"/>
      <c r="M844" s="2">
        <v>2.1751968833834998</v>
      </c>
      <c r="N844" s="2">
        <v>134.388888888888</v>
      </c>
      <c r="O844" s="2">
        <v>7.9045228497028504</v>
      </c>
      <c r="P844" s="2">
        <v>20.5555555555555</v>
      </c>
      <c r="Q844" s="2">
        <v>3.7798197095942201</v>
      </c>
      <c r="R844" s="2">
        <v>1.94444444444444</v>
      </c>
      <c r="S844" s="2">
        <v>9.6225044864938894E-2</v>
      </c>
      <c r="T844" s="2">
        <v>4.7777777777777697</v>
      </c>
      <c r="U844" s="2">
        <v>0.25458753860866101</v>
      </c>
      <c r="V844" s="2">
        <v>0.55555555555555503</v>
      </c>
      <c r="W844" s="2">
        <v>0.34694433324435497</v>
      </c>
      <c r="X844" s="2">
        <v>2.05555555555555</v>
      </c>
      <c r="Y844" s="2">
        <v>0.53575837561071904</v>
      </c>
      <c r="Z844" s="7">
        <v>93.605494824417093</v>
      </c>
      <c r="AA844" s="2">
        <v>5.5057138935726497</v>
      </c>
      <c r="AB844" s="7">
        <v>91.5625</v>
      </c>
      <c r="AC844" s="2">
        <v>6.1177412345160898</v>
      </c>
      <c r="AD844" s="2">
        <v>97.727272727272705</v>
      </c>
      <c r="AE844" s="2">
        <v>5.2074723806317103</v>
      </c>
      <c r="AF844" s="2">
        <v>122.51655629139</v>
      </c>
      <c r="AG844" s="2">
        <v>22.528726745925798</v>
      </c>
      <c r="AH844" s="2">
        <v>83.3333333333333</v>
      </c>
      <c r="AI844" s="2">
        <v>4.1239304942116704</v>
      </c>
      <c r="AJ844" s="2">
        <v>90.909090909090907</v>
      </c>
      <c r="AK844" s="2">
        <v>56.772709076349003</v>
      </c>
      <c r="AL844" s="2">
        <v>91.358024691357997</v>
      </c>
      <c r="AM844" s="2">
        <v>23.811483360476402</v>
      </c>
      <c r="AN844"/>
      <c r="AO844"/>
    </row>
    <row r="845" spans="1:41" ht="15.75" hidden="1" customHeight="1" x14ac:dyDescent="0.45">
      <c r="A845" s="2" t="s">
        <v>177</v>
      </c>
      <c r="B845" s="2" t="s">
        <v>178</v>
      </c>
      <c r="C845" s="2">
        <v>0.3</v>
      </c>
      <c r="D845" s="2"/>
      <c r="E845" s="2" t="s">
        <v>109</v>
      </c>
      <c r="F845" s="2" t="s">
        <v>84</v>
      </c>
      <c r="H845" s="2">
        <v>5</v>
      </c>
      <c r="J845" s="2">
        <v>5</v>
      </c>
      <c r="K845" s="2">
        <v>34.3333333333333</v>
      </c>
      <c r="L845" s="2"/>
      <c r="M845" s="2">
        <v>3.1224989991992298</v>
      </c>
      <c r="N845" s="2">
        <v>138.722222222222</v>
      </c>
      <c r="O845" s="2">
        <v>1.4174834246858401</v>
      </c>
      <c r="P845" s="2">
        <v>20.3888888888888</v>
      </c>
      <c r="Q845" s="2">
        <v>2.7403027678085299</v>
      </c>
      <c r="R845" s="2">
        <v>1.88888888888888</v>
      </c>
      <c r="S845" s="2">
        <v>0.41943524640392998</v>
      </c>
      <c r="T845" s="2">
        <v>3.7777777777777701</v>
      </c>
      <c r="U845" s="2">
        <v>9.6225044864957393E-2</v>
      </c>
      <c r="V845" s="2">
        <v>0.38888888888888801</v>
      </c>
      <c r="W845" s="2">
        <v>0.25458753860865702</v>
      </c>
      <c r="X845" s="2">
        <v>2.7222222222222201</v>
      </c>
      <c r="Y845" s="2">
        <v>0.41943524640392998</v>
      </c>
      <c r="Z845" s="7">
        <v>96.623778659185405</v>
      </c>
      <c r="AA845" s="2">
        <v>0.98731553233415004</v>
      </c>
      <c r="AB845" s="7">
        <v>96.5625</v>
      </c>
      <c r="AC845" s="2">
        <v>8.7820284352478506</v>
      </c>
      <c r="AD845" s="2">
        <v>77.272727272727195</v>
      </c>
      <c r="AE845" s="2">
        <v>1.9682395540559401</v>
      </c>
      <c r="AF845" s="2">
        <v>121.523178807947</v>
      </c>
      <c r="AG845" s="2">
        <v>16.332930404156802</v>
      </c>
      <c r="AH845" s="2">
        <v>80.952380952380906</v>
      </c>
      <c r="AI845" s="2">
        <v>17.975796274454101</v>
      </c>
      <c r="AJ845" s="2">
        <v>63.636363636363598</v>
      </c>
      <c r="AK845" s="2">
        <v>41.659779045053099</v>
      </c>
      <c r="AL845" s="2">
        <v>120.98765432098701</v>
      </c>
      <c r="AM845" s="2">
        <v>18.641566506841301</v>
      </c>
      <c r="AN845"/>
      <c r="AO845"/>
    </row>
    <row r="846" spans="1:41" ht="15.75" hidden="1" customHeight="1" x14ac:dyDescent="0.45">
      <c r="A846" s="2" t="s">
        <v>177</v>
      </c>
      <c r="B846" s="2" t="s">
        <v>178</v>
      </c>
      <c r="C846" s="2">
        <v>1</v>
      </c>
      <c r="D846" s="2"/>
      <c r="E846" s="2" t="s">
        <v>109</v>
      </c>
      <c r="F846" s="2" t="s">
        <v>84</v>
      </c>
      <c r="H846" s="2">
        <v>5</v>
      </c>
      <c r="J846" s="2">
        <v>5</v>
      </c>
      <c r="K846" s="2">
        <v>34.3888888888888</v>
      </c>
      <c r="L846" s="2"/>
      <c r="M846" s="2">
        <v>4.5775215678032497</v>
      </c>
      <c r="N846" s="2">
        <v>137.111111111111</v>
      </c>
      <c r="O846" s="2">
        <v>22.333540629220199</v>
      </c>
      <c r="P846" s="2">
        <v>18.2777777777777</v>
      </c>
      <c r="Q846" s="2">
        <v>4.1410322563520596</v>
      </c>
      <c r="R846" s="2">
        <v>1.7777777777777699</v>
      </c>
      <c r="S846" s="2">
        <v>0.63098981620003103</v>
      </c>
      <c r="T846" s="2">
        <v>5.55555555555555</v>
      </c>
      <c r="U846" s="2">
        <v>1.7821127702606001</v>
      </c>
      <c r="V846" s="2">
        <v>0.55555555555555503</v>
      </c>
      <c r="W846" s="2">
        <v>0.19245008972987501</v>
      </c>
      <c r="X846" s="2">
        <v>2.38888888888888</v>
      </c>
      <c r="Y846" s="2">
        <v>0.58531409738070606</v>
      </c>
      <c r="Z846" s="7">
        <v>95.501596207797206</v>
      </c>
      <c r="AA846" s="2">
        <v>15.5559149202269</v>
      </c>
      <c r="AB846" s="7">
        <v>96.71875</v>
      </c>
      <c r="AC846" s="2">
        <v>12.874279409446601</v>
      </c>
      <c r="AD846" s="2">
        <v>113.636363636363</v>
      </c>
      <c r="AE846" s="2">
        <v>36.4523066644214</v>
      </c>
      <c r="AF846" s="2">
        <v>108.940397350993</v>
      </c>
      <c r="AG846" s="2">
        <v>24.6816492100454</v>
      </c>
      <c r="AH846" s="2">
        <v>76.190476190476105</v>
      </c>
      <c r="AI846" s="2">
        <v>27.042420694286999</v>
      </c>
      <c r="AJ846" s="2">
        <v>90.909090909090907</v>
      </c>
      <c r="AK846" s="2">
        <v>31.4918328648886</v>
      </c>
      <c r="AL846" s="2">
        <v>106.172839506172</v>
      </c>
      <c r="AM846" s="2">
        <v>26.013959883586899</v>
      </c>
      <c r="AN846"/>
      <c r="AO846"/>
    </row>
    <row r="847" spans="1:41" ht="15.75" hidden="1" customHeight="1" x14ac:dyDescent="0.45">
      <c r="A847" s="2" t="s">
        <v>177</v>
      </c>
      <c r="B847" s="2" t="s">
        <v>178</v>
      </c>
      <c r="C847" s="2">
        <v>3</v>
      </c>
      <c r="D847" s="2"/>
      <c r="E847" s="2" t="s">
        <v>109</v>
      </c>
      <c r="F847" s="2" t="s">
        <v>84</v>
      </c>
      <c r="H847" s="2">
        <v>5</v>
      </c>
      <c r="J847" s="2">
        <v>5</v>
      </c>
      <c r="K847" s="2">
        <v>29.6111111111111</v>
      </c>
      <c r="L847" s="2"/>
      <c r="M847" s="2">
        <v>6.01925921368084</v>
      </c>
      <c r="N847" s="2">
        <v>105.166666666666</v>
      </c>
      <c r="O847" s="2">
        <v>19.369936614363102</v>
      </c>
      <c r="P847" s="2">
        <v>22.0555555555555</v>
      </c>
      <c r="Q847" s="2">
        <v>2.16880236621587</v>
      </c>
      <c r="R847" s="2">
        <v>1.6111111111111101</v>
      </c>
      <c r="S847" s="2">
        <v>0.50917507721731503</v>
      </c>
      <c r="T847" s="2">
        <v>3.8333333333333299</v>
      </c>
      <c r="U847" s="2">
        <v>1.4529663145135501</v>
      </c>
      <c r="V847" s="2">
        <v>0.11111111111111099</v>
      </c>
      <c r="W847" s="2">
        <v>9.6225044864937603E-2</v>
      </c>
      <c r="X847" s="2">
        <v>2.5</v>
      </c>
      <c r="Y847" s="2">
        <v>0.44095855184409999</v>
      </c>
      <c r="Z847" s="7">
        <v>73.251426913030798</v>
      </c>
      <c r="AA847" s="2">
        <v>13.491684591604299</v>
      </c>
      <c r="AB847" s="7">
        <v>83.28125</v>
      </c>
      <c r="AC847" s="2">
        <v>16.9291665384773</v>
      </c>
      <c r="AD847" s="2">
        <v>78.409090909090907</v>
      </c>
      <c r="AE847" s="2">
        <v>29.7197655241409</v>
      </c>
      <c r="AF847" s="2">
        <v>131.45695364238401</v>
      </c>
      <c r="AG847" s="2">
        <v>12.926636619829701</v>
      </c>
      <c r="AH847" s="2">
        <v>69.047619047618994</v>
      </c>
      <c r="AI847" s="2">
        <v>21.821789023599202</v>
      </c>
      <c r="AJ847" s="2">
        <v>18.181818181818102</v>
      </c>
      <c r="AK847" s="2">
        <v>15.7459164324443</v>
      </c>
      <c r="AL847" s="2">
        <v>111.111111111111</v>
      </c>
      <c r="AM847" s="2">
        <v>19.5981578597378</v>
      </c>
      <c r="AN847"/>
      <c r="AO847"/>
    </row>
    <row r="848" spans="1:41" ht="15.75" hidden="1" customHeight="1" x14ac:dyDescent="0.45">
      <c r="A848" s="2" t="s">
        <v>177</v>
      </c>
      <c r="B848" s="2" t="s">
        <v>178</v>
      </c>
      <c r="C848" s="2">
        <v>10</v>
      </c>
      <c r="D848" s="2"/>
      <c r="E848" s="2" t="s">
        <v>109</v>
      </c>
      <c r="F848" s="2" t="s">
        <v>84</v>
      </c>
      <c r="H848" s="2">
        <v>5</v>
      </c>
      <c r="J848" s="2">
        <v>5</v>
      </c>
      <c r="K848" s="2">
        <v>0</v>
      </c>
      <c r="L848" s="2"/>
      <c r="M848" s="2">
        <v>0</v>
      </c>
      <c r="N848" s="2">
        <v>19.7777777777777</v>
      </c>
      <c r="O848" s="2">
        <v>2.63698761917904</v>
      </c>
      <c r="P848" s="2">
        <v>0</v>
      </c>
      <c r="Q848" s="2">
        <v>0</v>
      </c>
      <c r="R848" s="2">
        <v>0</v>
      </c>
      <c r="S848" s="2">
        <v>0</v>
      </c>
      <c r="T848" s="2">
        <v>93.6111111111111</v>
      </c>
      <c r="U848" s="2">
        <v>3.5642255405207899</v>
      </c>
      <c r="V848" s="2">
        <v>0</v>
      </c>
      <c r="W848" s="2">
        <v>0</v>
      </c>
      <c r="X848" s="2">
        <v>0.61111111111111105</v>
      </c>
      <c r="Y848" s="2">
        <v>0.58531409738070705</v>
      </c>
      <c r="Z848" s="7">
        <v>13.775756989455299</v>
      </c>
      <c r="AA848" s="2">
        <v>1.83673317771975</v>
      </c>
      <c r="AB848" s="7">
        <v>0</v>
      </c>
      <c r="AC848" s="2">
        <v>0</v>
      </c>
      <c r="AD848" s="2">
        <v>1914.77272727272</v>
      </c>
      <c r="AE848" s="2">
        <v>72.904613328834401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27.160493827160401</v>
      </c>
      <c r="AM848" s="2">
        <v>26.013959883586999</v>
      </c>
      <c r="AN848"/>
      <c r="AO848"/>
    </row>
    <row r="849" spans="1:41" ht="15.75" hidden="1" customHeight="1" x14ac:dyDescent="0.45">
      <c r="A849" s="2" t="s">
        <v>177</v>
      </c>
      <c r="B849" s="2" t="s">
        <v>178</v>
      </c>
      <c r="C849" s="2">
        <v>3.0000000000000001E-3</v>
      </c>
      <c r="D849" s="2"/>
      <c r="E849" s="2" t="s">
        <v>109</v>
      </c>
      <c r="F849" s="2" t="s">
        <v>84</v>
      </c>
      <c r="H849" s="2">
        <v>3</v>
      </c>
      <c r="J849" s="2">
        <v>3</v>
      </c>
      <c r="K849" s="2">
        <v>31.6666666666666</v>
      </c>
      <c r="L849" s="2"/>
      <c r="M849" s="2">
        <v>3.9193253387682701</v>
      </c>
      <c r="N849" s="2">
        <v>238.5</v>
      </c>
      <c r="O849" s="2">
        <v>13.5687549580322</v>
      </c>
      <c r="P849" s="2">
        <v>13.5555555555555</v>
      </c>
      <c r="Q849" s="2">
        <v>0.96225044864937503</v>
      </c>
      <c r="R849" s="2">
        <v>2.38888888888888</v>
      </c>
      <c r="S849" s="2">
        <v>0.58531409738070495</v>
      </c>
      <c r="T849" s="2">
        <v>8.6111111111111107</v>
      </c>
      <c r="U849" s="2">
        <v>0.91792842454768497</v>
      </c>
      <c r="V849" s="2">
        <v>0.55555555555555503</v>
      </c>
      <c r="W849" s="2">
        <v>0.25458753860865702</v>
      </c>
      <c r="X849" s="2">
        <v>3.8333333333333299</v>
      </c>
      <c r="Y849" s="2">
        <v>1.20185042515466</v>
      </c>
      <c r="Z849" s="7">
        <v>100.638809119146</v>
      </c>
      <c r="AA849" s="2">
        <v>5.7255485962510697</v>
      </c>
      <c r="AB849" s="7">
        <v>90.4044409199048</v>
      </c>
      <c r="AC849" s="2">
        <v>11.189192085301899</v>
      </c>
      <c r="AD849" s="2">
        <v>108.01393728222899</v>
      </c>
      <c r="AE849" s="2">
        <v>11.5140847678455</v>
      </c>
      <c r="AF849" s="2">
        <v>97.6</v>
      </c>
      <c r="AG849" s="2">
        <v>6.9282032302754999</v>
      </c>
      <c r="AH849" s="2">
        <v>131.297709923664</v>
      </c>
      <c r="AI849" s="2">
        <v>32.169935123214302</v>
      </c>
      <c r="AJ849" s="2">
        <v>85.106382978723303</v>
      </c>
      <c r="AK849" s="2">
        <v>39.0006442123901</v>
      </c>
      <c r="AL849" s="2">
        <v>100.363636363636</v>
      </c>
      <c r="AM849" s="2">
        <v>31.466629313140299</v>
      </c>
      <c r="AN849"/>
      <c r="AO849"/>
    </row>
    <row r="850" spans="1:41" ht="15.75" hidden="1" customHeight="1" x14ac:dyDescent="0.45">
      <c r="A850" s="2" t="s">
        <v>177</v>
      </c>
      <c r="B850" s="2" t="s">
        <v>178</v>
      </c>
      <c r="C850" s="2">
        <v>0.01</v>
      </c>
      <c r="D850" s="2"/>
      <c r="E850" s="2" t="s">
        <v>109</v>
      </c>
      <c r="F850" s="2" t="s">
        <v>84</v>
      </c>
      <c r="H850" s="2">
        <v>3</v>
      </c>
      <c r="J850" s="2">
        <v>3</v>
      </c>
      <c r="K850" s="2">
        <v>32.2222222222222</v>
      </c>
      <c r="L850" s="2"/>
      <c r="M850" s="2">
        <v>1.2619796324000601</v>
      </c>
      <c r="N850" s="2">
        <v>258.11111111111097</v>
      </c>
      <c r="O850" s="2">
        <v>29.675248446649601</v>
      </c>
      <c r="P850" s="2">
        <v>12.8333333333333</v>
      </c>
      <c r="Q850" s="2">
        <v>1.76383420737639</v>
      </c>
      <c r="R850" s="2">
        <v>2.05555555555555</v>
      </c>
      <c r="S850" s="2">
        <v>0.50917507721731603</v>
      </c>
      <c r="T850" s="2">
        <v>7.6666666666666599</v>
      </c>
      <c r="U850" s="2">
        <v>1.3333333333333299</v>
      </c>
      <c r="V850" s="2">
        <v>0.66666666666666596</v>
      </c>
      <c r="W850" s="2">
        <v>0.28867513459481198</v>
      </c>
      <c r="X850" s="2">
        <v>3.8333333333333299</v>
      </c>
      <c r="Y850" s="2">
        <v>0.57735026918962395</v>
      </c>
      <c r="Z850" s="7">
        <v>108.91402449745</v>
      </c>
      <c r="AA850" s="2">
        <v>12.5219356980529</v>
      </c>
      <c r="AB850" s="7">
        <v>91.990483743061006</v>
      </c>
      <c r="AC850" s="2">
        <v>3.60279673008742</v>
      </c>
      <c r="AD850" s="2">
        <v>96.167247386759499</v>
      </c>
      <c r="AE850" s="2">
        <v>16.7247386759581</v>
      </c>
      <c r="AF850" s="2">
        <v>92.399999999999906</v>
      </c>
      <c r="AG850" s="2">
        <v>12.69960629311</v>
      </c>
      <c r="AH850" s="2">
        <v>112.977099236641</v>
      </c>
      <c r="AI850" s="2">
        <v>27.9851950836998</v>
      </c>
      <c r="AJ850" s="2">
        <v>102.127659574468</v>
      </c>
      <c r="AK850" s="2">
        <v>44.222573810269097</v>
      </c>
      <c r="AL850" s="2">
        <v>100.363636363636</v>
      </c>
      <c r="AM850" s="2">
        <v>15.116079775146501</v>
      </c>
      <c r="AN850"/>
      <c r="AO850"/>
    </row>
    <row r="851" spans="1:41" ht="15.75" hidden="1" customHeight="1" x14ac:dyDescent="0.45">
      <c r="A851" s="2" t="s">
        <v>177</v>
      </c>
      <c r="B851" s="2" t="s">
        <v>178</v>
      </c>
      <c r="C851" s="2">
        <v>0.03</v>
      </c>
      <c r="D851" s="2"/>
      <c r="E851" s="2" t="s">
        <v>109</v>
      </c>
      <c r="F851" s="2" t="s">
        <v>84</v>
      </c>
      <c r="H851" s="2">
        <v>3</v>
      </c>
      <c r="J851" s="2">
        <v>3</v>
      </c>
      <c r="K851" s="2">
        <v>28.499999999999901</v>
      </c>
      <c r="L851" s="2"/>
      <c r="M851" s="2">
        <v>2.9297326385411799</v>
      </c>
      <c r="N851" s="2">
        <v>241</v>
      </c>
      <c r="O851" s="2">
        <v>24.374394579375601</v>
      </c>
      <c r="P851" s="2">
        <v>12.2222222222222</v>
      </c>
      <c r="Q851" s="2">
        <v>1.1706281947613899</v>
      </c>
      <c r="R851" s="2">
        <v>1.7222222222222201</v>
      </c>
      <c r="S851" s="2">
        <v>0.58531409738070705</v>
      </c>
      <c r="T851" s="2">
        <v>7.55555555555555</v>
      </c>
      <c r="U851" s="2">
        <v>1.1824331474329299</v>
      </c>
      <c r="V851" s="2">
        <v>0.72222222222222199</v>
      </c>
      <c r="W851" s="2">
        <v>0.19245008972987501</v>
      </c>
      <c r="X851" s="2">
        <v>3.7222222222222201</v>
      </c>
      <c r="Y851" s="2">
        <v>0.53575837561071704</v>
      </c>
      <c r="Z851" s="7">
        <v>101.693723260856</v>
      </c>
      <c r="AA851" s="2">
        <v>10.2851574149624</v>
      </c>
      <c r="AB851" s="7">
        <v>81.363996827914306</v>
      </c>
      <c r="AC851" s="2">
        <v>8.3640265652246306</v>
      </c>
      <c r="AD851" s="2">
        <v>94.773519163762998</v>
      </c>
      <c r="AE851" s="2">
        <v>14.8319140444549</v>
      </c>
      <c r="AF851" s="2">
        <v>87.999999999999901</v>
      </c>
      <c r="AG851" s="2">
        <v>8.4285230022820397</v>
      </c>
      <c r="AH851" s="2">
        <v>94.656488549618302</v>
      </c>
      <c r="AI851" s="2">
        <v>32.169935123214401</v>
      </c>
      <c r="AJ851" s="2">
        <v>110.63829787234</v>
      </c>
      <c r="AK851" s="2">
        <v>29.481715873512801</v>
      </c>
      <c r="AL851" s="2">
        <v>97.454545454545396</v>
      </c>
      <c r="AM851" s="2">
        <v>14.027128379625999</v>
      </c>
      <c r="AN851"/>
      <c r="AO851"/>
    </row>
    <row r="852" spans="1:41" ht="15.75" hidden="1" customHeight="1" x14ac:dyDescent="0.45">
      <c r="A852" s="2" t="s">
        <v>177</v>
      </c>
      <c r="B852" s="2" t="s">
        <v>178</v>
      </c>
      <c r="C852" s="2">
        <v>0.1</v>
      </c>
      <c r="D852" s="2"/>
      <c r="E852" s="2" t="s">
        <v>109</v>
      </c>
      <c r="F852" s="2" t="s">
        <v>84</v>
      </c>
      <c r="H852" s="2">
        <v>3</v>
      </c>
      <c r="J852" s="2">
        <v>3</v>
      </c>
      <c r="K852" s="2">
        <v>32.2777777777777</v>
      </c>
      <c r="L852" s="2"/>
      <c r="M852" s="2">
        <v>2.1103799903579499</v>
      </c>
      <c r="N852" s="2">
        <v>219.666666666666</v>
      </c>
      <c r="O852" s="2">
        <v>5.18277060182331</v>
      </c>
      <c r="P852" s="2">
        <v>12.1111111111111</v>
      </c>
      <c r="Q852" s="2">
        <v>1.3471506281091401</v>
      </c>
      <c r="R852" s="2">
        <v>2.5</v>
      </c>
      <c r="S852" s="2">
        <v>0.16666666666666299</v>
      </c>
      <c r="T852" s="2">
        <v>7.7222222222222197</v>
      </c>
      <c r="U852" s="2">
        <v>2.0023134767711199</v>
      </c>
      <c r="V852" s="2">
        <v>0.88888888888888895</v>
      </c>
      <c r="W852" s="2">
        <v>0.25458753860865702</v>
      </c>
      <c r="X852" s="2">
        <v>3.55555555555555</v>
      </c>
      <c r="Y852" s="2">
        <v>0.19245008972986799</v>
      </c>
      <c r="Z852" s="7">
        <v>92.691789251597001</v>
      </c>
      <c r="AA852" s="2">
        <v>2.1869512004411802</v>
      </c>
      <c r="AB852" s="7">
        <v>92.149088025376599</v>
      </c>
      <c r="AC852" s="2">
        <v>6.02487546811152</v>
      </c>
      <c r="AD852" s="2">
        <v>96.864111498257799</v>
      </c>
      <c r="AE852" s="2">
        <v>25.116127234759698</v>
      </c>
      <c r="AF852" s="2">
        <v>87.2</v>
      </c>
      <c r="AG852" s="2">
        <v>9.6994845223858501</v>
      </c>
      <c r="AH852" s="2">
        <v>137.404580152671</v>
      </c>
      <c r="AI852" s="2">
        <v>9.1603053435112898</v>
      </c>
      <c r="AJ852" s="2">
        <v>136.17021276595699</v>
      </c>
      <c r="AK852" s="2">
        <v>39.0006442123901</v>
      </c>
      <c r="AL852" s="2">
        <v>93.090909090909093</v>
      </c>
      <c r="AM852" s="2">
        <v>5.0386932583820103</v>
      </c>
      <c r="AN852"/>
      <c r="AO852"/>
    </row>
    <row r="853" spans="1:41" ht="15.75" hidden="1" customHeight="1" x14ac:dyDescent="0.45">
      <c r="A853" s="2" t="s">
        <v>177</v>
      </c>
      <c r="B853" s="2" t="s">
        <v>178</v>
      </c>
      <c r="C853" s="2">
        <v>0.3</v>
      </c>
      <c r="D853" s="2"/>
      <c r="E853" s="2" t="s">
        <v>109</v>
      </c>
      <c r="F853" s="2" t="s">
        <v>84</v>
      </c>
      <c r="H853" s="2">
        <v>3</v>
      </c>
      <c r="J853" s="2">
        <v>3</v>
      </c>
      <c r="K853" s="2">
        <v>33.299999999999997</v>
      </c>
      <c r="L853" s="2"/>
      <c r="M853" s="2">
        <v>0.98488578017962403</v>
      </c>
      <c r="N853" s="2">
        <v>192.41111111111101</v>
      </c>
      <c r="O853" s="2">
        <v>64.985095157217302</v>
      </c>
      <c r="P853" s="2">
        <v>12.688888888888799</v>
      </c>
      <c r="Q853" s="2">
        <v>1.6249216505328199</v>
      </c>
      <c r="R853" s="2">
        <v>1.4777777777777701</v>
      </c>
      <c r="S853" s="2">
        <v>0.76473185811421096</v>
      </c>
      <c r="T853" s="2">
        <v>7.4111111111111097</v>
      </c>
      <c r="U853" s="2">
        <v>0.86044777317997101</v>
      </c>
      <c r="V853" s="2">
        <v>0.655555555555555</v>
      </c>
      <c r="W853" s="2">
        <v>0.27954990278686898</v>
      </c>
      <c r="X853" s="2">
        <v>3.4777777777777699</v>
      </c>
      <c r="Y853" s="2">
        <v>0.13471506281093101</v>
      </c>
      <c r="Z853" s="7">
        <v>81.1908808533083</v>
      </c>
      <c r="AA853" s="2">
        <v>27.421478352690901</v>
      </c>
      <c r="AB853" s="7">
        <v>95.0674068199841</v>
      </c>
      <c r="AC853" s="2">
        <v>2.8117278419085201</v>
      </c>
      <c r="AD853" s="2">
        <v>92.961672473867594</v>
      </c>
      <c r="AE853" s="2">
        <v>10.793073113058799</v>
      </c>
      <c r="AF853" s="2">
        <v>91.36</v>
      </c>
      <c r="AG853" s="2">
        <v>11.6994358838363</v>
      </c>
      <c r="AH853" s="2">
        <v>81.221374045801497</v>
      </c>
      <c r="AI853" s="2">
        <v>42.031063957422298</v>
      </c>
      <c r="AJ853" s="2">
        <v>100.425531914893</v>
      </c>
      <c r="AK853" s="2">
        <v>42.824665958839503</v>
      </c>
      <c r="AL853" s="2">
        <v>91.054545454545405</v>
      </c>
      <c r="AM853" s="2">
        <v>3.5270852808680302</v>
      </c>
      <c r="AN853"/>
      <c r="AO853"/>
    </row>
    <row r="854" spans="1:41" ht="15.75" hidden="1" customHeight="1" x14ac:dyDescent="0.45">
      <c r="A854" s="2" t="s">
        <v>177</v>
      </c>
      <c r="B854" s="2" t="s">
        <v>178</v>
      </c>
      <c r="C854" s="2">
        <v>1</v>
      </c>
      <c r="D854" s="2"/>
      <c r="E854" s="2" t="s">
        <v>109</v>
      </c>
      <c r="F854" s="2" t="s">
        <v>84</v>
      </c>
      <c r="H854" s="2">
        <v>3</v>
      </c>
      <c r="J854" s="2">
        <v>3</v>
      </c>
      <c r="K854" s="2">
        <v>34.6666666666666</v>
      </c>
      <c r="L854" s="2"/>
      <c r="M854" s="2">
        <v>3.2188679859713898</v>
      </c>
      <c r="N854" s="2">
        <v>189</v>
      </c>
      <c r="O854" s="2">
        <v>3.2446537223224601</v>
      </c>
      <c r="P854" s="2">
        <v>13.3333333333333</v>
      </c>
      <c r="Q854" s="2">
        <v>0.33333333333338</v>
      </c>
      <c r="R854" s="2">
        <v>1.6666666666666601</v>
      </c>
      <c r="S854" s="2">
        <v>0</v>
      </c>
      <c r="T854" s="2">
        <v>9.1111111111111107</v>
      </c>
      <c r="U854" s="2">
        <v>1.43694635070862</v>
      </c>
      <c r="V854" s="2">
        <v>0.77777777777777701</v>
      </c>
      <c r="W854" s="2">
        <v>0.34694433324435497</v>
      </c>
      <c r="X854" s="2">
        <v>3.8333333333333299</v>
      </c>
      <c r="Y854" s="2">
        <v>0.166666666666658</v>
      </c>
      <c r="Z854" s="7">
        <v>79.751509113286005</v>
      </c>
      <c r="AA854" s="2">
        <v>1.36913243865215</v>
      </c>
      <c r="AB854" s="7">
        <v>98.9690721649484</v>
      </c>
      <c r="AC854" s="2">
        <v>9.1894724421070695</v>
      </c>
      <c r="AD854" s="2">
        <v>114.28571428571399</v>
      </c>
      <c r="AE854" s="2">
        <v>18.024414155230001</v>
      </c>
      <c r="AF854" s="2">
        <v>96</v>
      </c>
      <c r="AG854" s="2">
        <v>2.4000000000003401</v>
      </c>
      <c r="AH854" s="2">
        <v>91.603053435114504</v>
      </c>
      <c r="AI854" s="2">
        <v>0</v>
      </c>
      <c r="AJ854" s="2">
        <v>119.148936170212</v>
      </c>
      <c r="AK854" s="2">
        <v>53.148919135305498</v>
      </c>
      <c r="AL854" s="2">
        <v>100.363636363636</v>
      </c>
      <c r="AM854" s="2">
        <v>4.3636363636361404</v>
      </c>
      <c r="AN854"/>
      <c r="AO854"/>
    </row>
    <row r="855" spans="1:41" ht="15.75" hidden="1" customHeight="1" x14ac:dyDescent="0.45">
      <c r="A855" s="2" t="s">
        <v>177</v>
      </c>
      <c r="B855" s="2" t="s">
        <v>178</v>
      </c>
      <c r="C855" s="2">
        <v>3</v>
      </c>
      <c r="D855" s="2"/>
      <c r="E855" s="2" t="s">
        <v>109</v>
      </c>
      <c r="F855" s="2" t="s">
        <v>84</v>
      </c>
      <c r="H855" s="2">
        <v>3</v>
      </c>
      <c r="J855" s="2">
        <v>3</v>
      </c>
      <c r="K855" s="2">
        <v>34.5</v>
      </c>
      <c r="L855" s="2"/>
      <c r="M855" s="2">
        <v>4.2720018726587599</v>
      </c>
      <c r="N855" s="2">
        <v>149.777777777777</v>
      </c>
      <c r="O855" s="2">
        <v>42.825982940439502</v>
      </c>
      <c r="P855" s="2">
        <v>14.9444444444444</v>
      </c>
      <c r="Q855" s="2">
        <v>1.6694421334796199</v>
      </c>
      <c r="R855" s="2">
        <v>1.6666666666666601</v>
      </c>
      <c r="S855" s="2">
        <v>0.44095855184409799</v>
      </c>
      <c r="T855" s="2">
        <v>8.2222222222222197</v>
      </c>
      <c r="U855" s="2">
        <v>9.6225044864975906E-2</v>
      </c>
      <c r="V855" s="2">
        <v>0.77777777777777701</v>
      </c>
      <c r="W855" s="2">
        <v>0.19245008972987501</v>
      </c>
      <c r="X855" s="2">
        <v>4.1666666666666599</v>
      </c>
      <c r="Y855" s="2">
        <v>0.28867513459481697</v>
      </c>
      <c r="Z855" s="7">
        <v>63.201078356678103</v>
      </c>
      <c r="AA855" s="2">
        <v>18.0710940146026</v>
      </c>
      <c r="AB855" s="7">
        <v>98.493259318001606</v>
      </c>
      <c r="AC855" s="2">
        <v>12.196040239152699</v>
      </c>
      <c r="AD855" s="2">
        <v>103.135888501742</v>
      </c>
      <c r="AE855" s="2">
        <v>1.2070040470868</v>
      </c>
      <c r="AF855" s="2">
        <v>107.599999999999</v>
      </c>
      <c r="AG855" s="2">
        <v>12.019983361053299</v>
      </c>
      <c r="AH855" s="2">
        <v>91.603053435114504</v>
      </c>
      <c r="AI855" s="2">
        <v>24.2358898723474</v>
      </c>
      <c r="AJ855" s="2">
        <v>119.148936170212</v>
      </c>
      <c r="AK855" s="2">
        <v>29.481715873512801</v>
      </c>
      <c r="AL855" s="2">
        <v>109.09090909090899</v>
      </c>
      <c r="AM855" s="2">
        <v>7.5580398875733898</v>
      </c>
      <c r="AN855"/>
      <c r="AO855"/>
    </row>
    <row r="856" spans="1:41" ht="15.75" hidden="1" customHeight="1" x14ac:dyDescent="0.45">
      <c r="A856" s="2" t="s">
        <v>177</v>
      </c>
      <c r="B856" s="2" t="s">
        <v>178</v>
      </c>
      <c r="C856" s="2">
        <v>10</v>
      </c>
      <c r="D856" s="2"/>
      <c r="E856" s="2" t="s">
        <v>109</v>
      </c>
      <c r="F856" s="2" t="s">
        <v>84</v>
      </c>
      <c r="H856" s="2">
        <v>3</v>
      </c>
      <c r="J856" s="2">
        <v>3</v>
      </c>
      <c r="K856" s="2">
        <v>1.6666666666666601</v>
      </c>
      <c r="L856" s="2"/>
      <c r="M856" s="2">
        <v>2.8867513459481202</v>
      </c>
      <c r="N856" s="2">
        <v>9.8944444444444404</v>
      </c>
      <c r="O856" s="2">
        <v>1.7102902071264201</v>
      </c>
      <c r="P856" s="2">
        <v>1.13333333333333</v>
      </c>
      <c r="Q856" s="2">
        <v>1.96299091524472</v>
      </c>
      <c r="R856" s="2">
        <v>0.61111111111111105</v>
      </c>
      <c r="S856" s="2">
        <v>1.0584754935143099</v>
      </c>
      <c r="T856" s="2">
        <v>55.544444444444402</v>
      </c>
      <c r="U856" s="2">
        <v>10.2675504670097</v>
      </c>
      <c r="V856" s="2">
        <v>0</v>
      </c>
      <c r="W856" s="2">
        <v>0</v>
      </c>
      <c r="X856" s="2">
        <v>5.1666666666666599</v>
      </c>
      <c r="Y856" s="2">
        <v>5.2519837521962396</v>
      </c>
      <c r="Z856" s="7">
        <v>4.17511574752388</v>
      </c>
      <c r="AA856" s="2">
        <v>0.721683730370409</v>
      </c>
      <c r="AB856" s="7">
        <v>4.7581284694686703</v>
      </c>
      <c r="AC856" s="2">
        <v>8.2413202580596803</v>
      </c>
      <c r="AD856" s="2">
        <v>696.72473867595795</v>
      </c>
      <c r="AE856" s="2">
        <v>128.79157380221201</v>
      </c>
      <c r="AF856" s="2">
        <v>8.1599999999999895</v>
      </c>
      <c r="AG856" s="2">
        <v>14.133534589762</v>
      </c>
      <c r="AH856" s="2">
        <v>33.587786259542</v>
      </c>
      <c r="AI856" s="2">
        <v>58.175752315290502</v>
      </c>
      <c r="AJ856" s="2">
        <v>0</v>
      </c>
      <c r="AK856" s="2">
        <v>0</v>
      </c>
      <c r="AL856" s="2">
        <v>135.272727272727</v>
      </c>
      <c r="AM856" s="2">
        <v>137.50648369386499</v>
      </c>
      <c r="AN856"/>
      <c r="AO856"/>
    </row>
    <row r="857" spans="1:41" ht="15.75" hidden="1" customHeight="1" x14ac:dyDescent="0.45">
      <c r="A857" s="2" t="s">
        <v>177</v>
      </c>
      <c r="B857" s="2" t="s">
        <v>178</v>
      </c>
      <c r="C857" s="2">
        <v>3.0000000000000001E-3</v>
      </c>
      <c r="D857" s="2"/>
      <c r="E857" s="2" t="s">
        <v>83</v>
      </c>
      <c r="F857" s="2" t="s">
        <v>84</v>
      </c>
      <c r="H857" s="2">
        <v>3.1</v>
      </c>
      <c r="J857" s="2">
        <v>3.1</v>
      </c>
      <c r="K857" s="2">
        <v>31.2012895638888</v>
      </c>
      <c r="L857" s="2"/>
      <c r="M857" s="2">
        <v>2.9920127408509698</v>
      </c>
      <c r="N857" s="2">
        <v>245.5</v>
      </c>
      <c r="O857" s="2">
        <v>31.0648962299537</v>
      </c>
      <c r="P857" s="2">
        <v>37.367266509444399</v>
      </c>
      <c r="Q857" s="2">
        <v>6.2629779526370797</v>
      </c>
      <c r="R857" s="2">
        <v>3.9091067901666601</v>
      </c>
      <c r="S857" s="2">
        <v>1.1967085956296799</v>
      </c>
      <c r="T857" s="2">
        <v>4.0569441292777704</v>
      </c>
      <c r="U857" s="2">
        <v>0.56700490318455998</v>
      </c>
      <c r="V857" s="2">
        <v>0.60979880577777701</v>
      </c>
      <c r="W857" s="2">
        <v>0.27573762070968699</v>
      </c>
      <c r="X857" s="2">
        <v>3.5899212073888802</v>
      </c>
      <c r="Y857" s="2">
        <v>0.61208859921798597</v>
      </c>
      <c r="Z857" s="7">
        <v>88.027888446215101</v>
      </c>
      <c r="AA857" s="2">
        <v>11.138807413130801</v>
      </c>
      <c r="AB857" s="7">
        <v>78.1591172134506</v>
      </c>
      <c r="AC857" s="2">
        <v>7.4949810660057103</v>
      </c>
      <c r="AD857" s="2">
        <v>91.632424092761696</v>
      </c>
      <c r="AE857" s="2">
        <v>12.806691957212699</v>
      </c>
      <c r="AF857" s="2">
        <v>110.501944670033</v>
      </c>
      <c r="AG857" s="2">
        <v>18.5207885895808</v>
      </c>
      <c r="AH857" s="2">
        <v>104.652922753738</v>
      </c>
      <c r="AI857" s="2">
        <v>32.037766922153502</v>
      </c>
      <c r="AJ857" s="2">
        <v>129.66201744808501</v>
      </c>
      <c r="AK857" s="2">
        <v>58.630315193798801</v>
      </c>
      <c r="AL857" s="2">
        <v>106.62219343938401</v>
      </c>
      <c r="AM857" s="2">
        <v>18.1792928751576</v>
      </c>
      <c r="AN857"/>
      <c r="AO857"/>
    </row>
    <row r="858" spans="1:41" ht="15.75" hidden="1" customHeight="1" x14ac:dyDescent="0.45">
      <c r="A858" s="2" t="s">
        <v>177</v>
      </c>
      <c r="B858" s="2" t="s">
        <v>178</v>
      </c>
      <c r="C858" s="2">
        <v>0.01</v>
      </c>
      <c r="D858" s="2"/>
      <c r="E858" s="2" t="s">
        <v>83</v>
      </c>
      <c r="F858" s="2" t="s">
        <v>84</v>
      </c>
      <c r="H858" s="2">
        <v>3.1</v>
      </c>
      <c r="J858" s="2">
        <v>3.1</v>
      </c>
      <c r="K858" s="2">
        <v>34.840515864444399</v>
      </c>
      <c r="L858" s="2"/>
      <c r="M858" s="2">
        <v>4.92164888492103</v>
      </c>
      <c r="N858" s="2">
        <v>303.222222222222</v>
      </c>
      <c r="O858" s="2">
        <v>55.659264311556498</v>
      </c>
      <c r="P858" s="2">
        <v>33.090156896111097</v>
      </c>
      <c r="Q858" s="2">
        <v>4.4775083788946901</v>
      </c>
      <c r="R858" s="2">
        <v>3.70935786983333</v>
      </c>
      <c r="S858" s="2">
        <v>0.51316316697353304</v>
      </c>
      <c r="T858" s="2">
        <v>5.5787126846111104</v>
      </c>
      <c r="U858" s="2">
        <v>1.3874088401217499</v>
      </c>
      <c r="V858" s="2">
        <v>0.525531208388888</v>
      </c>
      <c r="W858" s="2">
        <v>0.13909454881331301</v>
      </c>
      <c r="X858" s="2">
        <v>3.50279952311111</v>
      </c>
      <c r="Y858" s="2">
        <v>0.71162527426145805</v>
      </c>
      <c r="Z858" s="7">
        <v>108.725099601593</v>
      </c>
      <c r="AA858" s="2">
        <v>19.957505131633798</v>
      </c>
      <c r="AB858" s="7">
        <v>87.275365899549499</v>
      </c>
      <c r="AC858" s="2">
        <v>12.328712609532399</v>
      </c>
      <c r="AD858" s="2">
        <v>126.003945412715</v>
      </c>
      <c r="AE858" s="2">
        <v>31.336797150005498</v>
      </c>
      <c r="AF858" s="2">
        <v>97.853737455819299</v>
      </c>
      <c r="AG858" s="2">
        <v>13.240823569986899</v>
      </c>
      <c r="AH858" s="2">
        <v>99.305330720086801</v>
      </c>
      <c r="AI858" s="2">
        <v>13.738183210660001</v>
      </c>
      <c r="AJ858" s="2">
        <v>111.744129483365</v>
      </c>
      <c r="AK858" s="2">
        <v>29.575787365083599</v>
      </c>
      <c r="AL858" s="2">
        <v>104.03464219878499</v>
      </c>
      <c r="AM858" s="2">
        <v>21.135574645062299</v>
      </c>
      <c r="AN858"/>
      <c r="AO858"/>
    </row>
    <row r="859" spans="1:41" ht="15.75" hidden="1" customHeight="1" x14ac:dyDescent="0.45">
      <c r="A859" s="2" t="s">
        <v>177</v>
      </c>
      <c r="B859" s="2" t="s">
        <v>178</v>
      </c>
      <c r="C859" s="2">
        <v>0.03</v>
      </c>
      <c r="D859" s="2"/>
      <c r="E859" s="2" t="s">
        <v>83</v>
      </c>
      <c r="F859" s="2" t="s">
        <v>84</v>
      </c>
      <c r="H859" s="2">
        <v>3.1</v>
      </c>
      <c r="J859" s="2">
        <v>3.1</v>
      </c>
      <c r="K859" s="2">
        <v>38.0447408392222</v>
      </c>
      <c r="L859" s="2"/>
      <c r="M859" s="2">
        <v>5.9095599837988102</v>
      </c>
      <c r="N859" s="2">
        <v>264.28888888888798</v>
      </c>
      <c r="O859" s="2">
        <v>43.054298189526001</v>
      </c>
      <c r="P859" s="2">
        <v>35.1810170261111</v>
      </c>
      <c r="Q859" s="2">
        <v>3.3479386318545599</v>
      </c>
      <c r="R859" s="2">
        <v>4.4180894913666604</v>
      </c>
      <c r="S859" s="2">
        <v>1.4139502942936699</v>
      </c>
      <c r="T859" s="2">
        <v>2.9526610689222199</v>
      </c>
      <c r="U859" s="2">
        <v>0.43834410694896297</v>
      </c>
      <c r="V859" s="2">
        <v>0.51402675494444405</v>
      </c>
      <c r="W859" s="2">
        <v>0.190223640481022</v>
      </c>
      <c r="X859" s="2">
        <v>4.3934202319888804</v>
      </c>
      <c r="Y859" s="2">
        <v>0.74484637532920195</v>
      </c>
      <c r="Z859" s="7">
        <v>94.764940239043796</v>
      </c>
      <c r="AA859" s="2">
        <v>15.437796163574999</v>
      </c>
      <c r="AB859" s="7">
        <v>95.301937842004406</v>
      </c>
      <c r="AC859" s="2">
        <v>14.803426329795499</v>
      </c>
      <c r="AD859" s="2">
        <v>66.690465199439004</v>
      </c>
      <c r="AE859" s="2">
        <v>9.9006867796478097</v>
      </c>
      <c r="AF859" s="2">
        <v>104.03679904903601</v>
      </c>
      <c r="AG859" s="2">
        <v>9.9004761122239895</v>
      </c>
      <c r="AH859" s="2">
        <v>118.27918833585601</v>
      </c>
      <c r="AI859" s="2">
        <v>37.8536680805367</v>
      </c>
      <c r="AJ859" s="2">
        <v>109.297928163995</v>
      </c>
      <c r="AK859" s="2">
        <v>40.4474078292589</v>
      </c>
      <c r="AL859" s="2">
        <v>130.48645771708701</v>
      </c>
      <c r="AM859" s="2">
        <v>22.122255538510299</v>
      </c>
      <c r="AN859"/>
      <c r="AO859"/>
    </row>
    <row r="860" spans="1:41" ht="15.75" hidden="1" customHeight="1" x14ac:dyDescent="0.45">
      <c r="A860" s="2" t="s">
        <v>177</v>
      </c>
      <c r="B860" s="2" t="s">
        <v>178</v>
      </c>
      <c r="C860" s="2">
        <v>0.1</v>
      </c>
      <c r="D860" s="2"/>
      <c r="E860" s="2" t="s">
        <v>83</v>
      </c>
      <c r="F860" s="2" t="s">
        <v>84</v>
      </c>
      <c r="H860" s="2">
        <v>3.1</v>
      </c>
      <c r="J860" s="2">
        <v>3.1</v>
      </c>
      <c r="K860" s="2">
        <v>40.071225423333303</v>
      </c>
      <c r="L860" s="2"/>
      <c r="M860" s="2">
        <v>8.9713471083943706</v>
      </c>
      <c r="N860" s="2">
        <v>233.92222222222199</v>
      </c>
      <c r="O860" s="2">
        <v>8.0613159480828998</v>
      </c>
      <c r="P860" s="2">
        <v>37.155423633222199</v>
      </c>
      <c r="Q860" s="2">
        <v>4.87557565693829</v>
      </c>
      <c r="R860" s="2">
        <v>4.1424719417888802</v>
      </c>
      <c r="S860" s="2">
        <v>0.30704855057147201</v>
      </c>
      <c r="T860" s="2">
        <v>4.8558534113111103</v>
      </c>
      <c r="U860" s="2">
        <v>2.7398955715765498</v>
      </c>
      <c r="V860" s="2">
        <v>0.38919466967777699</v>
      </c>
      <c r="W860" s="2">
        <v>0.118013079592652</v>
      </c>
      <c r="X860" s="2">
        <v>3.1777396019555502</v>
      </c>
      <c r="Y860" s="2">
        <v>0.86825370905570498</v>
      </c>
      <c r="Z860" s="7">
        <v>83.876494023904399</v>
      </c>
      <c r="AA860" s="2">
        <v>2.89051169453171</v>
      </c>
      <c r="AB860" s="7">
        <v>100.378274376636</v>
      </c>
      <c r="AC860" s="2">
        <v>22.473191974061098</v>
      </c>
      <c r="AD860" s="2">
        <v>109.677038908779</v>
      </c>
      <c r="AE860" s="2">
        <v>61.884823893119901</v>
      </c>
      <c r="AF860" s="2">
        <v>109.875485954325</v>
      </c>
      <c r="AG860" s="2">
        <v>14.4179824162784</v>
      </c>
      <c r="AH860" s="2">
        <v>110.90047404795401</v>
      </c>
      <c r="AI860" s="2">
        <v>8.2201715045071708</v>
      </c>
      <c r="AJ860" s="2">
        <v>82.754780055853303</v>
      </c>
      <c r="AK860" s="2">
        <v>25.093217369830398</v>
      </c>
      <c r="AL860" s="2">
        <v>94.380223677982897</v>
      </c>
      <c r="AM860" s="2">
        <v>25.787506068617699</v>
      </c>
      <c r="AN860"/>
      <c r="AO860"/>
    </row>
    <row r="861" spans="1:41" ht="15.75" hidden="1" customHeight="1" x14ac:dyDescent="0.45">
      <c r="A861" s="2" t="s">
        <v>177</v>
      </c>
      <c r="B861" s="2" t="s">
        <v>178</v>
      </c>
      <c r="C861" s="2">
        <v>0.3</v>
      </c>
      <c r="D861" s="2"/>
      <c r="E861" s="2" t="s">
        <v>83</v>
      </c>
      <c r="F861" s="2" t="s">
        <v>84</v>
      </c>
      <c r="H861" s="2">
        <v>3.1</v>
      </c>
      <c r="J861" s="2">
        <v>3.1</v>
      </c>
      <c r="K861" s="2">
        <v>39.6568629466666</v>
      </c>
      <c r="L861" s="2"/>
      <c r="M861" s="2">
        <v>1.33431658688356</v>
      </c>
      <c r="N861" s="2">
        <v>263.77777777777698</v>
      </c>
      <c r="O861" s="2">
        <v>9.6987017076927806</v>
      </c>
      <c r="P861" s="2">
        <v>35.513587861666601</v>
      </c>
      <c r="Q861" s="2">
        <v>2.3702538059462701</v>
      </c>
      <c r="R861" s="2">
        <v>3.3837295401111098</v>
      </c>
      <c r="S861" s="2">
        <v>0.61590111518837598</v>
      </c>
      <c r="T861" s="2">
        <v>4.5031362961111103</v>
      </c>
      <c r="U861" s="2">
        <v>0.37076946883871598</v>
      </c>
      <c r="V861" s="2">
        <v>0.38203111038888798</v>
      </c>
      <c r="W861" s="2">
        <v>8.5366028755278198E-2</v>
      </c>
      <c r="X861" s="2">
        <v>3.4922965527777698</v>
      </c>
      <c r="Y861" s="2">
        <v>0.35454643241522699</v>
      </c>
      <c r="Z861" s="7">
        <v>94.581673306772899</v>
      </c>
      <c r="AA861" s="2">
        <v>3.4776221262643401</v>
      </c>
      <c r="AB861" s="7">
        <v>99.340297875173505</v>
      </c>
      <c r="AC861" s="2">
        <v>3.3424582115600598</v>
      </c>
      <c r="AD861" s="2">
        <v>101.710371571279</v>
      </c>
      <c r="AE861" s="2">
        <v>8.3744079599453194</v>
      </c>
      <c r="AF861" s="2">
        <v>105.02027275482899</v>
      </c>
      <c r="AG861" s="2">
        <v>7.0092805651816699</v>
      </c>
      <c r="AH861" s="2">
        <v>90.587749373224796</v>
      </c>
      <c r="AI861" s="2">
        <v>16.488639295781901</v>
      </c>
      <c r="AJ861" s="2">
        <v>81.231586601380101</v>
      </c>
      <c r="AK861" s="2">
        <v>18.1514483220787</v>
      </c>
      <c r="AL861" s="2">
        <v>103.72269949311701</v>
      </c>
      <c r="AM861" s="2">
        <v>10.5301805015702</v>
      </c>
      <c r="AN861"/>
      <c r="AO861"/>
    </row>
    <row r="862" spans="1:41" ht="15.75" hidden="1" customHeight="1" x14ac:dyDescent="0.45">
      <c r="A862" s="2" t="s">
        <v>177</v>
      </c>
      <c r="B862" s="2" t="s">
        <v>178</v>
      </c>
      <c r="C862" s="2">
        <v>1</v>
      </c>
      <c r="D862" s="2"/>
      <c r="E862" s="2" t="s">
        <v>83</v>
      </c>
      <c r="F862" s="2" t="s">
        <v>84</v>
      </c>
      <c r="H862" s="2">
        <v>3.1</v>
      </c>
      <c r="J862" s="2">
        <v>3.1</v>
      </c>
      <c r="K862" s="2">
        <v>41.180440922222203</v>
      </c>
      <c r="L862" s="2"/>
      <c r="M862" s="2">
        <v>2.3982489938870701</v>
      </c>
      <c r="N862" s="2">
        <v>249.444444444444</v>
      </c>
      <c r="O862" s="2">
        <v>32.388412422643597</v>
      </c>
      <c r="P862" s="2">
        <v>39.364601207222201</v>
      </c>
      <c r="Q862" s="2">
        <v>4.9744057771511603</v>
      </c>
      <c r="R862" s="2">
        <v>5.5385265342222203</v>
      </c>
      <c r="S862" s="2">
        <v>0.91517151111499995</v>
      </c>
      <c r="T862" s="2">
        <v>4.7052631671111103</v>
      </c>
      <c r="U862" s="2">
        <v>2.3722215230146899</v>
      </c>
      <c r="V862" s="2">
        <v>0.25062769622222197</v>
      </c>
      <c r="W862" s="2">
        <v>8.6597436841707898E-2</v>
      </c>
      <c r="X862" s="2">
        <v>3.75824437955555</v>
      </c>
      <c r="Y862" s="2">
        <v>0.72837167759566102</v>
      </c>
      <c r="Z862" s="7">
        <v>89.442231075697194</v>
      </c>
      <c r="AA862" s="2">
        <v>11.6133749722626</v>
      </c>
      <c r="AB862" s="7">
        <v>103.156855179045</v>
      </c>
      <c r="AC862" s="2">
        <v>6.0076050330048201</v>
      </c>
      <c r="AD862" s="2">
        <v>106.275722873593</v>
      </c>
      <c r="AE862" s="2">
        <v>53.580330838215502</v>
      </c>
      <c r="AF862" s="2">
        <v>116.40843419625</v>
      </c>
      <c r="AG862" s="2">
        <v>14.7102414305345</v>
      </c>
      <c r="AH862" s="2">
        <v>148.27504610862101</v>
      </c>
      <c r="AI862" s="2">
        <v>24.5005773953431</v>
      </c>
      <c r="AJ862" s="2">
        <v>53.291171469400702</v>
      </c>
      <c r="AK862" s="2">
        <v>18.413283627880499</v>
      </c>
      <c r="AL862" s="2">
        <v>111.62146355877999</v>
      </c>
      <c r="AM862" s="2">
        <v>21.632949977991199</v>
      </c>
      <c r="AN862"/>
      <c r="AO862"/>
    </row>
    <row r="863" spans="1:41" ht="15.75" hidden="1" customHeight="1" x14ac:dyDescent="0.45">
      <c r="A863" s="2" t="s">
        <v>177</v>
      </c>
      <c r="B863" s="2" t="s">
        <v>178</v>
      </c>
      <c r="C863" s="2">
        <v>3</v>
      </c>
      <c r="D863" s="2"/>
      <c r="E863" s="2" t="s">
        <v>83</v>
      </c>
      <c r="F863" s="2" t="s">
        <v>84</v>
      </c>
      <c r="H863" s="2">
        <v>3.1</v>
      </c>
      <c r="J863" s="2">
        <v>3.1</v>
      </c>
      <c r="K863" s="2">
        <v>31.737100140611101</v>
      </c>
      <c r="L863" s="2"/>
      <c r="M863" s="2">
        <v>2.4140067346348602</v>
      </c>
      <c r="N863" s="2">
        <v>81.7777777777777</v>
      </c>
      <c r="O863" s="2">
        <v>26.124346527357901</v>
      </c>
      <c r="P863" s="2">
        <v>21.746412451888801</v>
      </c>
      <c r="Q863" s="2">
        <v>6.9404412385573098</v>
      </c>
      <c r="R863" s="2">
        <v>4.7228537089999998</v>
      </c>
      <c r="S863" s="2">
        <v>1.7882123018876199</v>
      </c>
      <c r="T863" s="2">
        <v>5.7941796820555496</v>
      </c>
      <c r="U863" s="2">
        <v>5.1058190997977402</v>
      </c>
      <c r="V863" s="2">
        <v>0.34087590249999999</v>
      </c>
      <c r="W863" s="2">
        <v>0.31663052987046503</v>
      </c>
      <c r="X863" s="2">
        <v>4.5443471149444399</v>
      </c>
      <c r="Y863" s="2">
        <v>1.63997506518583</v>
      </c>
      <c r="Z863" s="7">
        <v>29.322709163346602</v>
      </c>
      <c r="AA863" s="2">
        <v>9.3672955675785605</v>
      </c>
      <c r="AB863" s="7">
        <v>79.501320765149501</v>
      </c>
      <c r="AC863" s="2">
        <v>6.0470781164363299</v>
      </c>
      <c r="AD863" s="2">
        <v>130.870604321163</v>
      </c>
      <c r="AE863" s="2">
        <v>115.32290467526801</v>
      </c>
      <c r="AF863" s="2">
        <v>64.308179056206995</v>
      </c>
      <c r="AG863" s="2">
        <v>20.524173303788199</v>
      </c>
      <c r="AH863" s="2">
        <v>126.43820466314401</v>
      </c>
      <c r="AI863" s="2">
        <v>47.873249297635702</v>
      </c>
      <c r="AJ863" s="2">
        <v>72.480721180181902</v>
      </c>
      <c r="AK863" s="2">
        <v>67.325407822497695</v>
      </c>
      <c r="AL863" s="2">
        <v>134.96905061538499</v>
      </c>
      <c r="AM863" s="2">
        <v>48.707960017649903</v>
      </c>
      <c r="AN863"/>
      <c r="AO863"/>
    </row>
    <row r="864" spans="1:41" ht="15.75" hidden="1" customHeight="1" x14ac:dyDescent="0.45">
      <c r="A864" s="2" t="s">
        <v>177</v>
      </c>
      <c r="B864" s="2" t="s">
        <v>178</v>
      </c>
      <c r="C864" s="2">
        <v>10</v>
      </c>
      <c r="D864" s="2"/>
      <c r="E864" s="2" t="s">
        <v>83</v>
      </c>
      <c r="F864" s="2" t="s">
        <v>84</v>
      </c>
      <c r="H864" s="2">
        <v>3.1</v>
      </c>
      <c r="J864" s="2">
        <v>3.1</v>
      </c>
      <c r="K864" s="2">
        <v>0</v>
      </c>
      <c r="L864" s="2"/>
      <c r="M864" s="2">
        <v>0</v>
      </c>
      <c r="N864" s="2">
        <v>9.61666666666666</v>
      </c>
      <c r="O864" s="2">
        <v>0.86071675557834504</v>
      </c>
      <c r="P864" s="2">
        <v>0.92592592611111102</v>
      </c>
      <c r="Q864" s="2">
        <v>1.60375074806971</v>
      </c>
      <c r="R864" s="2">
        <v>33.727525560499998</v>
      </c>
      <c r="S864" s="2">
        <v>10.4465963185019</v>
      </c>
      <c r="T864" s="2">
        <v>14.354429520666599</v>
      </c>
      <c r="U864" s="2">
        <v>11.179955673385299</v>
      </c>
      <c r="V864" s="2">
        <v>0</v>
      </c>
      <c r="W864" s="2">
        <v>0</v>
      </c>
      <c r="X864" s="2">
        <v>3.43915343902222</v>
      </c>
      <c r="Y864" s="2">
        <v>3.0047134103691402</v>
      </c>
      <c r="Z864" s="7">
        <v>3.4482071713147402</v>
      </c>
      <c r="AA864" s="2">
        <v>0.30862353785677699</v>
      </c>
      <c r="AB864" s="7">
        <v>0</v>
      </c>
      <c r="AC864" s="2">
        <v>0</v>
      </c>
      <c r="AD864" s="2">
        <v>324.21722644761701</v>
      </c>
      <c r="AE864" s="2">
        <v>252.51677295942901</v>
      </c>
      <c r="AF864" s="2">
        <v>2.7381348707917801</v>
      </c>
      <c r="AG864" s="2">
        <v>4.7425887141874101</v>
      </c>
      <c r="AH864" s="2">
        <v>902.938782853573</v>
      </c>
      <c r="AI864" s="2">
        <v>279.67177573909402</v>
      </c>
      <c r="AJ864" s="2">
        <v>0</v>
      </c>
      <c r="AK864" s="2">
        <v>0</v>
      </c>
      <c r="AL864" s="2">
        <v>102.144326312348</v>
      </c>
      <c r="AM864" s="2">
        <v>89.241271872735695</v>
      </c>
      <c r="AN864"/>
      <c r="AO864"/>
    </row>
    <row r="865" spans="1:41" ht="15.75" hidden="1" customHeight="1" x14ac:dyDescent="0.45">
      <c r="A865" s="2" t="s">
        <v>179</v>
      </c>
      <c r="B865" s="2" t="s">
        <v>106</v>
      </c>
      <c r="C865" s="2">
        <v>3.0000000000000001E-3</v>
      </c>
      <c r="D865" s="2"/>
      <c r="E865" s="2" t="s">
        <v>83</v>
      </c>
      <c r="F865" s="2" t="s">
        <v>84</v>
      </c>
      <c r="H865" s="2">
        <v>0.2</v>
      </c>
      <c r="J865" s="2">
        <v>0.2</v>
      </c>
      <c r="K865" s="2">
        <v>18.902081367111101</v>
      </c>
      <c r="L865" s="2"/>
      <c r="M865" s="2">
        <v>17.199978097551298</v>
      </c>
      <c r="N865" s="2">
        <v>173.73333333333301</v>
      </c>
      <c r="O865" s="2">
        <v>33.749189290674401</v>
      </c>
      <c r="P865" s="2">
        <v>16.241804307311099</v>
      </c>
      <c r="Q865" s="2">
        <v>1.51399079590818</v>
      </c>
      <c r="R865" s="2">
        <v>2.5883710069449899</v>
      </c>
      <c r="S865" s="2">
        <v>0.68580689535588302</v>
      </c>
      <c r="T865" s="2">
        <v>4.9853662800194396</v>
      </c>
      <c r="U865" s="2">
        <v>2.0007288888638999</v>
      </c>
      <c r="V865" s="2">
        <v>0.522825711141222</v>
      </c>
      <c r="W865" s="2">
        <v>0.190809284993749</v>
      </c>
      <c r="X865" s="2">
        <v>4.8113072998766597</v>
      </c>
      <c r="Y865" s="2">
        <v>0.71356026545566298</v>
      </c>
      <c r="Z865" s="7">
        <v>74.996566671933195</v>
      </c>
      <c r="AA865" s="2">
        <v>14.143217225360999</v>
      </c>
      <c r="AB865" s="7">
        <v>54.522920753653999</v>
      </c>
      <c r="AC865" s="2">
        <v>48.882076538488398</v>
      </c>
      <c r="AD865" s="2">
        <v>113.937170530412</v>
      </c>
      <c r="AE865" s="2">
        <v>58.835020540159803</v>
      </c>
      <c r="AF865" s="2">
        <v>106.094573093142</v>
      </c>
      <c r="AG865" s="2">
        <v>7.0355385577382297</v>
      </c>
      <c r="AH865" s="2">
        <v>167.24003445900101</v>
      </c>
      <c r="AI865" s="2">
        <v>104.31093887966</v>
      </c>
      <c r="AJ865" s="2">
        <v>67.969041498958603</v>
      </c>
      <c r="AK865" s="2">
        <v>8.9907448670852297</v>
      </c>
      <c r="AL865" s="2">
        <v>146.479069757525</v>
      </c>
      <c r="AM865" s="2">
        <v>14.85518145686</v>
      </c>
      <c r="AN865"/>
      <c r="AO865"/>
    </row>
    <row r="866" spans="1:41" ht="15.75" hidden="1" customHeight="1" x14ac:dyDescent="0.45">
      <c r="A866" s="2" t="s">
        <v>179</v>
      </c>
      <c r="B866" s="2" t="s">
        <v>106</v>
      </c>
      <c r="C866" s="2">
        <v>0.01</v>
      </c>
      <c r="D866" s="2"/>
      <c r="E866" s="2" t="s">
        <v>83</v>
      </c>
      <c r="F866" s="2" t="s">
        <v>84</v>
      </c>
      <c r="H866" s="2">
        <v>0.2</v>
      </c>
      <c r="J866" s="2">
        <v>0.2</v>
      </c>
      <c r="K866" s="2">
        <v>18.480739025888798</v>
      </c>
      <c r="L866" s="2"/>
      <c r="M866" s="2">
        <v>16.977486267565499</v>
      </c>
      <c r="N866" s="2">
        <v>160.055555555555</v>
      </c>
      <c r="O866" s="2">
        <v>25.303893712965099</v>
      </c>
      <c r="P866" s="2">
        <v>15.8868639303666</v>
      </c>
      <c r="Q866" s="2">
        <v>0.51358848960054804</v>
      </c>
      <c r="R866" s="2">
        <v>2.5680836792216599</v>
      </c>
      <c r="S866" s="2">
        <v>0.53685863014369095</v>
      </c>
      <c r="T866" s="2">
        <v>5.2722335908111102</v>
      </c>
      <c r="U866" s="2">
        <v>1.1609850451213899</v>
      </c>
      <c r="V866" s="2">
        <v>0.50362532851499997</v>
      </c>
      <c r="W866" s="2">
        <v>0.13059031510515301</v>
      </c>
      <c r="X866" s="2">
        <v>4.6169852542277701</v>
      </c>
      <c r="Y866" s="2">
        <v>0.25188735436329701</v>
      </c>
      <c r="Z866" s="7">
        <v>69.253492800181903</v>
      </c>
      <c r="AA866" s="2">
        <v>11.6646643074574</v>
      </c>
      <c r="AB866" s="7">
        <v>53.275952405050198</v>
      </c>
      <c r="AC866" s="2">
        <v>48.163890523515803</v>
      </c>
      <c r="AD866" s="2">
        <v>114.538022240136</v>
      </c>
      <c r="AE866" s="2">
        <v>20.3069000244584</v>
      </c>
      <c r="AF866" s="2">
        <v>104.227355228291</v>
      </c>
      <c r="AG866" s="2">
        <v>10.0606759261712</v>
      </c>
      <c r="AH866" s="2">
        <v>150.28547086534601</v>
      </c>
      <c r="AI866" s="2">
        <v>32.4697049863343</v>
      </c>
      <c r="AJ866" s="2">
        <v>67.643188752524495</v>
      </c>
      <c r="AK866" s="2">
        <v>15.1101451438968</v>
      </c>
      <c r="AL866" s="2">
        <v>144.46200483833499</v>
      </c>
      <c r="AM866" s="2">
        <v>40.106299261894101</v>
      </c>
      <c r="AN866"/>
      <c r="AO866"/>
    </row>
    <row r="867" spans="1:41" ht="15.75" hidden="1" customHeight="1" x14ac:dyDescent="0.45">
      <c r="A867" s="2" t="s">
        <v>179</v>
      </c>
      <c r="B867" s="2" t="s">
        <v>106</v>
      </c>
      <c r="C867" s="2">
        <v>0.03</v>
      </c>
      <c r="D867" s="2"/>
      <c r="E867" s="2" t="s">
        <v>83</v>
      </c>
      <c r="F867" s="2" t="s">
        <v>84</v>
      </c>
      <c r="H867" s="2">
        <v>0.2</v>
      </c>
      <c r="J867" s="2">
        <v>0.2</v>
      </c>
      <c r="K867" s="2">
        <v>35.079087456222197</v>
      </c>
      <c r="L867" s="2"/>
      <c r="M867" s="2">
        <v>1.06861831363587</v>
      </c>
      <c r="N867" s="2">
        <v>193.444444444444</v>
      </c>
      <c r="O867" s="2">
        <v>7.8339243275882797</v>
      </c>
      <c r="P867" s="2">
        <v>18.664896580444399</v>
      </c>
      <c r="Q867" s="2">
        <v>0.53768733207522801</v>
      </c>
      <c r="R867" s="2">
        <v>2.22340090131111</v>
      </c>
      <c r="S867" s="2">
        <v>1.45320600902097</v>
      </c>
      <c r="T867" s="2">
        <v>3.2684229002855498</v>
      </c>
      <c r="U867" s="2">
        <v>1.06222002169021</v>
      </c>
      <c r="V867" s="2">
        <v>0.58619852474888801</v>
      </c>
      <c r="W867" s="2">
        <v>1.97442278106046E-2</v>
      </c>
      <c r="X867" s="2">
        <v>3.70281264913333</v>
      </c>
      <c r="Y867" s="2">
        <v>0.609304590984174</v>
      </c>
      <c r="Z867" s="7">
        <v>83.560193882131799</v>
      </c>
      <c r="AA867" s="2">
        <v>1.0700939731615999</v>
      </c>
      <c r="AB867" s="7">
        <v>104.929690173602</v>
      </c>
      <c r="AC867" s="2">
        <v>6.62002865159719</v>
      </c>
      <c r="AD867" s="2">
        <v>74.229219391219303</v>
      </c>
      <c r="AE867" s="2">
        <v>34.244068311475402</v>
      </c>
      <c r="AF867" s="2">
        <v>122.23153143194899</v>
      </c>
      <c r="AG867" s="2">
        <v>7.4414737648171796</v>
      </c>
      <c r="AH867" s="2">
        <v>114.732902299638</v>
      </c>
      <c r="AI867" s="2">
        <v>24.357639111839699</v>
      </c>
      <c r="AJ867" s="2">
        <v>85.362242028076807</v>
      </c>
      <c r="AK867" s="2">
        <v>41.223020743185799</v>
      </c>
      <c r="AL867" s="2">
        <v>113.027820589491</v>
      </c>
      <c r="AM867" s="2">
        <v>16.312942673118101</v>
      </c>
      <c r="AN867"/>
      <c r="AO867"/>
    </row>
    <row r="868" spans="1:41" ht="15.75" hidden="1" customHeight="1" x14ac:dyDescent="0.45">
      <c r="A868" s="2" t="s">
        <v>179</v>
      </c>
      <c r="B868" s="2" t="s">
        <v>106</v>
      </c>
      <c r="C868" s="2">
        <v>0.1</v>
      </c>
      <c r="D868" s="2"/>
      <c r="E868" s="2" t="s">
        <v>83</v>
      </c>
      <c r="F868" s="2" t="s">
        <v>84</v>
      </c>
      <c r="H868" s="2">
        <v>0.2</v>
      </c>
      <c r="J868" s="2">
        <v>0.2</v>
      </c>
      <c r="K868" s="2">
        <v>26.0382312970555</v>
      </c>
      <c r="L868" s="2"/>
      <c r="M868" s="2">
        <v>2.6058353739472602</v>
      </c>
      <c r="N868" s="2">
        <v>155.111111111111</v>
      </c>
      <c r="O868" s="2">
        <v>16.2697173824163</v>
      </c>
      <c r="P868" s="2">
        <v>19.4446020635</v>
      </c>
      <c r="Q868" s="2">
        <v>1.76726184580087</v>
      </c>
      <c r="R868" s="2">
        <v>2.61804884907888</v>
      </c>
      <c r="S868" s="2">
        <v>0.95380688943749303</v>
      </c>
      <c r="T868" s="2">
        <v>3.91738180984999</v>
      </c>
      <c r="U868" s="2">
        <v>0.51227555634293198</v>
      </c>
      <c r="V868" s="2">
        <v>0.72789968002777705</v>
      </c>
      <c r="W868" s="2">
        <v>0.11960214225538</v>
      </c>
      <c r="X868" s="2">
        <v>4.1175116440777701</v>
      </c>
      <c r="Y868" s="2">
        <v>0.230564921191799</v>
      </c>
      <c r="Z868" s="7">
        <v>67.022487399301596</v>
      </c>
      <c r="AA868" s="2">
        <v>6.9053460574791998</v>
      </c>
      <c r="AB868" s="7">
        <v>77.931111236472503</v>
      </c>
      <c r="AC868" s="2">
        <v>9.6273039576042496</v>
      </c>
      <c r="AD868" s="2">
        <v>86.101120167744199</v>
      </c>
      <c r="AE868" s="2">
        <v>15.596796720557199</v>
      </c>
      <c r="AF868" s="2">
        <v>126.952781902409</v>
      </c>
      <c r="AG868" s="2">
        <v>5.4967165938606204</v>
      </c>
      <c r="AH868" s="2">
        <v>148.50081724144999</v>
      </c>
      <c r="AI868" s="2">
        <v>42.431893512506498</v>
      </c>
      <c r="AJ868" s="2">
        <v>105.99837058110199</v>
      </c>
      <c r="AK868" s="2">
        <v>55.813998250081099</v>
      </c>
      <c r="AL868" s="2">
        <v>129.15221190846901</v>
      </c>
      <c r="AM868" s="2">
        <v>37.773725575154003</v>
      </c>
      <c r="AN868"/>
      <c r="AO868"/>
    </row>
    <row r="869" spans="1:41" ht="15.75" hidden="1" customHeight="1" x14ac:dyDescent="0.45">
      <c r="A869" s="2" t="s">
        <v>179</v>
      </c>
      <c r="B869" s="2" t="s">
        <v>106</v>
      </c>
      <c r="C869" s="2">
        <v>0.3</v>
      </c>
      <c r="D869" s="2"/>
      <c r="E869" s="2" t="s">
        <v>83</v>
      </c>
      <c r="F869" s="2" t="s">
        <v>84</v>
      </c>
      <c r="H869" s="2">
        <v>0.2</v>
      </c>
      <c r="J869" s="2">
        <v>0.2</v>
      </c>
      <c r="K869" s="2">
        <v>21.3976641997222</v>
      </c>
      <c r="L869" s="2"/>
      <c r="M869" s="2">
        <v>5.6011204475538197</v>
      </c>
      <c r="N869" s="2">
        <v>114.055555555555</v>
      </c>
      <c r="O869" s="2">
        <v>12.3887643242364</v>
      </c>
      <c r="P869" s="2">
        <v>18.3421496722722</v>
      </c>
      <c r="Q869" s="2">
        <v>2.1176352236335299</v>
      </c>
      <c r="R869" s="2">
        <v>1.88640598842611</v>
      </c>
      <c r="S869" s="2">
        <v>0.29077187756372003</v>
      </c>
      <c r="T869" s="2">
        <v>5.3412450622166601</v>
      </c>
      <c r="U869" s="2">
        <v>3.1295627072620902</v>
      </c>
      <c r="V869" s="2">
        <v>0.782460140329444</v>
      </c>
      <c r="W869" s="2">
        <v>0.29045382267167302</v>
      </c>
      <c r="X869" s="2">
        <v>5.7449255849055501</v>
      </c>
      <c r="Y869" s="2">
        <v>0.83780717124341197</v>
      </c>
      <c r="Z869" s="7">
        <v>49.402708483987503</v>
      </c>
      <c r="AA869" s="2">
        <v>6.6254360807083303</v>
      </c>
      <c r="AB869" s="7">
        <v>64.231325426976895</v>
      </c>
      <c r="AC869" s="2">
        <v>18.801447513246298</v>
      </c>
      <c r="AD869" s="2">
        <v>120.206432301345</v>
      </c>
      <c r="AE869" s="2">
        <v>84.152808384175003</v>
      </c>
      <c r="AF869" s="2">
        <v>120.61805533384199</v>
      </c>
      <c r="AG869" s="2">
        <v>19.969998034221302</v>
      </c>
      <c r="AH869" s="2">
        <v>112.20622765964799</v>
      </c>
      <c r="AI869" s="2">
        <v>30.638878047880301</v>
      </c>
      <c r="AJ869" s="2">
        <v>124.074290952266</v>
      </c>
      <c r="AK869" s="2">
        <v>92.408821170136903</v>
      </c>
      <c r="AL869" s="2">
        <v>179.90628736733501</v>
      </c>
      <c r="AM869" s="2">
        <v>53.581056521172002</v>
      </c>
      <c r="AN869"/>
      <c r="AO869"/>
    </row>
    <row r="870" spans="1:41" ht="15.75" hidden="1" customHeight="1" x14ac:dyDescent="0.45">
      <c r="A870" s="2" t="s">
        <v>179</v>
      </c>
      <c r="B870" s="2" t="s">
        <v>106</v>
      </c>
      <c r="C870" s="2">
        <v>1</v>
      </c>
      <c r="D870" s="2"/>
      <c r="E870" s="2" t="s">
        <v>83</v>
      </c>
      <c r="F870" s="2" t="s">
        <v>84</v>
      </c>
      <c r="H870" s="2">
        <v>0.2</v>
      </c>
      <c r="J870" s="2">
        <v>0.2</v>
      </c>
      <c r="K870" s="2">
        <v>0.198412698411111</v>
      </c>
      <c r="L870" s="2"/>
      <c r="M870" s="2">
        <v>0.34366087451488497</v>
      </c>
      <c r="N870" s="2">
        <v>22.5555555555555</v>
      </c>
      <c r="O870" s="2">
        <v>3.5836563161933799</v>
      </c>
      <c r="P870" s="2">
        <v>1.3816994409166601</v>
      </c>
      <c r="Q870" s="2">
        <v>0.834369593800522</v>
      </c>
      <c r="R870" s="2">
        <v>0.213675213677777</v>
      </c>
      <c r="S870" s="2">
        <v>0.37009632640804702</v>
      </c>
      <c r="T870" s="2">
        <v>19.424575674650001</v>
      </c>
      <c r="U870" s="2">
        <v>3.5704437361588699</v>
      </c>
      <c r="V870" s="2">
        <v>0</v>
      </c>
      <c r="W870" s="2">
        <v>0</v>
      </c>
      <c r="X870" s="2">
        <v>3.45020838440555</v>
      </c>
      <c r="Y870" s="2">
        <v>1.22036881826567</v>
      </c>
      <c r="Z870" s="7">
        <v>9.7807596131863495</v>
      </c>
      <c r="AA870" s="2">
        <v>1.82804146922667</v>
      </c>
      <c r="AB870" s="7">
        <v>0.55707837192320897</v>
      </c>
      <c r="AC870" s="2">
        <v>0.96488804396874905</v>
      </c>
      <c r="AD870" s="2">
        <v>434.32381937838301</v>
      </c>
      <c r="AE870" s="2">
        <v>133.75410060153899</v>
      </c>
      <c r="AF870" s="2">
        <v>9.3392361502084107</v>
      </c>
      <c r="AG870" s="2">
        <v>5.9742912193938302</v>
      </c>
      <c r="AH870" s="2">
        <v>18.243662627140498</v>
      </c>
      <c r="AI870" s="2">
        <v>31.598950586352899</v>
      </c>
      <c r="AJ870" s="2">
        <v>0</v>
      </c>
      <c r="AK870" s="2">
        <v>0</v>
      </c>
      <c r="AL870" s="2">
        <v>103.635591488717</v>
      </c>
      <c r="AM870" s="2">
        <v>24.561297492369601</v>
      </c>
      <c r="AN870"/>
      <c r="AO870"/>
    </row>
    <row r="871" spans="1:41" ht="15.75" hidden="1" customHeight="1" x14ac:dyDescent="0.45">
      <c r="A871" s="2" t="s">
        <v>179</v>
      </c>
      <c r="B871" s="2" t="s">
        <v>106</v>
      </c>
      <c r="C871" s="2">
        <v>3</v>
      </c>
      <c r="D871" s="2"/>
      <c r="E871" s="2" t="s">
        <v>83</v>
      </c>
      <c r="F871" s="2" t="s">
        <v>84</v>
      </c>
      <c r="H871" s="2">
        <v>0.2</v>
      </c>
      <c r="J871" s="2">
        <v>0.2</v>
      </c>
      <c r="K871" s="2">
        <v>0</v>
      </c>
      <c r="L871" s="2"/>
      <c r="M871" s="2">
        <v>0</v>
      </c>
      <c r="N871" s="2">
        <v>25.0555555555555</v>
      </c>
      <c r="O871" s="2">
        <v>2.8103644155425198</v>
      </c>
      <c r="P871" s="2">
        <v>0.358422939066666</v>
      </c>
      <c r="Q871" s="2">
        <v>0.62080674106163003</v>
      </c>
      <c r="R871" s="2">
        <v>0</v>
      </c>
      <c r="S871" s="2">
        <v>0</v>
      </c>
      <c r="T871" s="2">
        <v>8.2768106278388807</v>
      </c>
      <c r="U871" s="2">
        <v>5.8563663196562699</v>
      </c>
      <c r="V871" s="2">
        <v>0</v>
      </c>
      <c r="W871" s="2">
        <v>0</v>
      </c>
      <c r="X871" s="2">
        <v>0.96027479092222201</v>
      </c>
      <c r="Y871" s="2">
        <v>1.2274377669030501</v>
      </c>
      <c r="Z871" s="7">
        <v>10.8117448698742</v>
      </c>
      <c r="AA871" s="2">
        <v>0.98299147597441905</v>
      </c>
      <c r="AB871" s="7">
        <v>0</v>
      </c>
      <c r="AC871" s="2">
        <v>0</v>
      </c>
      <c r="AD871" s="2">
        <v>187.11906511689199</v>
      </c>
      <c r="AE871" s="2">
        <v>154.79962086280401</v>
      </c>
      <c r="AF871" s="2">
        <v>2.4918983966514201</v>
      </c>
      <c r="AG871" s="2">
        <v>4.3160946302996903</v>
      </c>
      <c r="AH871" s="2">
        <v>0</v>
      </c>
      <c r="AI871" s="2">
        <v>0</v>
      </c>
      <c r="AJ871" s="2">
        <v>0</v>
      </c>
      <c r="AK871" s="2">
        <v>0</v>
      </c>
      <c r="AL871" s="2">
        <v>36.853633904759697</v>
      </c>
      <c r="AM871" s="2">
        <v>51.709044966874103</v>
      </c>
      <c r="AN871"/>
      <c r="AO871"/>
    </row>
    <row r="872" spans="1:41" ht="15.75" hidden="1" customHeight="1" x14ac:dyDescent="0.45">
      <c r="A872" s="2" t="s">
        <v>179</v>
      </c>
      <c r="B872" s="2" t="s">
        <v>106</v>
      </c>
      <c r="C872" s="2">
        <v>10</v>
      </c>
      <c r="D872" s="2"/>
      <c r="E872" s="2" t="s">
        <v>83</v>
      </c>
      <c r="F872" s="2" t="s">
        <v>84</v>
      </c>
      <c r="H872" s="2">
        <v>0.2</v>
      </c>
      <c r="J872" s="2">
        <v>0.2</v>
      </c>
      <c r="K872" s="2">
        <v>0</v>
      </c>
      <c r="L872" s="2"/>
      <c r="M872" s="2">
        <v>0</v>
      </c>
      <c r="N872" s="2">
        <v>36.4444444444444</v>
      </c>
      <c r="O872" s="2">
        <v>0.85526690657450499</v>
      </c>
      <c r="P872" s="2">
        <v>1.2199165670722201</v>
      </c>
      <c r="Q872" s="2">
        <v>0.46342474112969601</v>
      </c>
      <c r="R872" s="2">
        <v>1.7383161619999901</v>
      </c>
      <c r="S872" s="2">
        <v>1.7625540973889</v>
      </c>
      <c r="T872" s="2">
        <v>6.65473887969444</v>
      </c>
      <c r="U872" s="2">
        <v>2.5173284247207901</v>
      </c>
      <c r="V872" s="2">
        <v>0.39057239057222198</v>
      </c>
      <c r="W872" s="2">
        <v>0.34776434568814202</v>
      </c>
      <c r="X872" s="2">
        <v>0.819456758527777</v>
      </c>
      <c r="Y872" s="2">
        <v>0.38620086298020601</v>
      </c>
      <c r="Z872" s="7">
        <v>15.751122160446601</v>
      </c>
      <c r="AA872" s="2">
        <v>0.42138206130504602</v>
      </c>
      <c r="AB872" s="7">
        <v>0</v>
      </c>
      <c r="AC872" s="2">
        <v>0</v>
      </c>
      <c r="AD872" s="2">
        <v>153.701860165055</v>
      </c>
      <c r="AE872" s="2">
        <v>79.049313088065304</v>
      </c>
      <c r="AF872" s="2">
        <v>8.0059799982298703</v>
      </c>
      <c r="AG872" s="2">
        <v>3.2102754094999799</v>
      </c>
      <c r="AH872" s="2">
        <v>91.183527867171307</v>
      </c>
      <c r="AI872" s="2">
        <v>79.330778668793897</v>
      </c>
      <c r="AJ872" s="2">
        <v>40.734914566445603</v>
      </c>
      <c r="AK872" s="2">
        <v>35.292639087746103</v>
      </c>
      <c r="AL872" s="2">
        <v>23.9120380690877</v>
      </c>
      <c r="AM872" s="2">
        <v>7.0200748870899696</v>
      </c>
      <c r="AN872"/>
      <c r="AO872"/>
    </row>
    <row r="873" spans="1:41" ht="15.75" hidden="1" customHeight="1" x14ac:dyDescent="0.45">
      <c r="A873" s="2" t="s">
        <v>179</v>
      </c>
      <c r="B873" s="2" t="s">
        <v>106</v>
      </c>
      <c r="C873" s="2">
        <v>3.0000000000000001E-3</v>
      </c>
      <c r="D873" s="2"/>
      <c r="E873" s="2" t="s">
        <v>83</v>
      </c>
      <c r="F873" s="2" t="s">
        <v>84</v>
      </c>
      <c r="H873" s="2">
        <v>0.6</v>
      </c>
      <c r="J873" s="2">
        <v>0.63050050300000005</v>
      </c>
      <c r="K873" s="2">
        <v>36.241824504999997</v>
      </c>
      <c r="L873" s="2"/>
      <c r="M873" s="2">
        <v>9.1923004938800403</v>
      </c>
      <c r="N873" s="2">
        <v>275.722222222222</v>
      </c>
      <c r="O873" s="2">
        <v>29.837212659014501</v>
      </c>
      <c r="P873" s="2">
        <v>34.567116308333297</v>
      </c>
      <c r="Q873" s="2">
        <v>3.5360976482534201</v>
      </c>
      <c r="R873" s="2">
        <v>4.2401473993333303</v>
      </c>
      <c r="S873" s="2">
        <v>0.53610337303713795</v>
      </c>
      <c r="T873" s="2">
        <v>3.97248267555555</v>
      </c>
      <c r="U873" s="2">
        <v>0.60124455969106705</v>
      </c>
      <c r="V873" s="2">
        <v>0.39524762633333299</v>
      </c>
      <c r="W873" s="2">
        <v>0.122036189222748</v>
      </c>
      <c r="X873" s="2">
        <v>3.7615490420555502</v>
      </c>
      <c r="Y873" s="2">
        <v>0.386340126953163</v>
      </c>
      <c r="Z873" s="7">
        <v>98.864541832669303</v>
      </c>
      <c r="AA873" s="2">
        <v>10.6986021486506</v>
      </c>
      <c r="AB873" s="7">
        <v>90.785638962627104</v>
      </c>
      <c r="AC873" s="2">
        <v>23.0266794034676</v>
      </c>
      <c r="AD873" s="2">
        <v>89.724730148663994</v>
      </c>
      <c r="AE873" s="2">
        <v>13.580048115399</v>
      </c>
      <c r="AF873" s="2">
        <v>102.221380649843</v>
      </c>
      <c r="AG873" s="2">
        <v>10.456897257292701</v>
      </c>
      <c r="AH873" s="2">
        <v>113.515399314014</v>
      </c>
      <c r="AI873" s="2">
        <v>14.352328523642599</v>
      </c>
      <c r="AJ873" s="2">
        <v>84.041825166550296</v>
      </c>
      <c r="AK873" s="2">
        <v>25.948654451882</v>
      </c>
      <c r="AL873" s="2">
        <v>111.71961344675</v>
      </c>
      <c r="AM873" s="2">
        <v>11.474466811308501</v>
      </c>
      <c r="AN873"/>
      <c r="AO873"/>
    </row>
    <row r="874" spans="1:41" ht="15.75" hidden="1" customHeight="1" x14ac:dyDescent="0.45">
      <c r="A874" s="2" t="s">
        <v>179</v>
      </c>
      <c r="B874" s="2" t="s">
        <v>106</v>
      </c>
      <c r="C874" s="2">
        <v>0.01</v>
      </c>
      <c r="D874" s="2"/>
      <c r="E874" s="2" t="s">
        <v>83</v>
      </c>
      <c r="F874" s="2" t="s">
        <v>84</v>
      </c>
      <c r="H874" s="2">
        <v>0.6</v>
      </c>
      <c r="J874" s="2">
        <v>0.63050050300000005</v>
      </c>
      <c r="K874" s="2">
        <v>39.544453549444398</v>
      </c>
      <c r="L874" s="2"/>
      <c r="M874" s="2">
        <v>1.8644911217386999</v>
      </c>
      <c r="N874" s="2">
        <v>257.388888888888</v>
      </c>
      <c r="O874" s="2">
        <v>14.6081534818109</v>
      </c>
      <c r="P874" s="2">
        <v>36.333785669999997</v>
      </c>
      <c r="Q874" s="2">
        <v>2.49826771150342</v>
      </c>
      <c r="R874" s="2">
        <v>4.0903125721111104</v>
      </c>
      <c r="S874" s="2">
        <v>1.28457301657189</v>
      </c>
      <c r="T874" s="2">
        <v>4.3797865321666603</v>
      </c>
      <c r="U874" s="2">
        <v>2.2177403045233199</v>
      </c>
      <c r="V874" s="2">
        <v>0.43974464399999902</v>
      </c>
      <c r="W874" s="2">
        <v>2.5914511555445999E-2</v>
      </c>
      <c r="X874" s="2">
        <v>3.5947698270555501</v>
      </c>
      <c r="Y874" s="2">
        <v>0.52347414858797903</v>
      </c>
      <c r="Z874" s="7">
        <v>92.290836653386407</v>
      </c>
      <c r="AA874" s="2">
        <v>5.23798332017126</v>
      </c>
      <c r="AB874" s="7">
        <v>99.058712742757905</v>
      </c>
      <c r="AC874" s="2">
        <v>4.6705434988197396</v>
      </c>
      <c r="AD874" s="2">
        <v>98.924324359060705</v>
      </c>
      <c r="AE874" s="2">
        <v>50.091131067133801</v>
      </c>
      <c r="AF874" s="2">
        <v>107.445749951884</v>
      </c>
      <c r="AG874" s="2">
        <v>7.3878414509583896</v>
      </c>
      <c r="AH874" s="2">
        <v>109.504085875724</v>
      </c>
      <c r="AI874" s="2">
        <v>34.390035343368901</v>
      </c>
      <c r="AJ874" s="2">
        <v>93.503262326507098</v>
      </c>
      <c r="AK874" s="2">
        <v>5.5102237289152098</v>
      </c>
      <c r="AL874" s="2">
        <v>106.766199514768</v>
      </c>
      <c r="AM874" s="2">
        <v>15.5474058362023</v>
      </c>
      <c r="AN874"/>
      <c r="AO874"/>
    </row>
    <row r="875" spans="1:41" ht="15.75" hidden="1" customHeight="1" x14ac:dyDescent="0.45">
      <c r="A875" s="2" t="s">
        <v>179</v>
      </c>
      <c r="B875" s="2" t="s">
        <v>106</v>
      </c>
      <c r="C875" s="2">
        <v>0.03</v>
      </c>
      <c r="D875" s="2"/>
      <c r="E875" s="2" t="s">
        <v>83</v>
      </c>
      <c r="F875" s="2" t="s">
        <v>84</v>
      </c>
      <c r="H875" s="2">
        <v>0.6</v>
      </c>
      <c r="J875" s="2">
        <v>0.63050050300000005</v>
      </c>
      <c r="K875" s="2">
        <v>40.446849825555503</v>
      </c>
      <c r="L875" s="2"/>
      <c r="M875" s="2">
        <v>3.0917347387446701</v>
      </c>
      <c r="N875" s="2">
        <v>293.61111111111097</v>
      </c>
      <c r="O875" s="2">
        <v>61.592147166603702</v>
      </c>
      <c r="P875" s="2">
        <v>36.404288095555501</v>
      </c>
      <c r="Q875" s="2">
        <v>5.7678237592839103</v>
      </c>
      <c r="R875" s="2">
        <v>3.50502545577777</v>
      </c>
      <c r="S875" s="2">
        <v>0.29948968735822701</v>
      </c>
      <c r="T875" s="2">
        <v>4.1506976489999996</v>
      </c>
      <c r="U875" s="2">
        <v>0.43693029743827599</v>
      </c>
      <c r="V875" s="2">
        <v>0.554992426222222</v>
      </c>
      <c r="W875" s="2">
        <v>0.141721345303779</v>
      </c>
      <c r="X875" s="2">
        <v>3.4576553613888801</v>
      </c>
      <c r="Y875" s="2">
        <v>0.21649469214059999</v>
      </c>
      <c r="Z875" s="7">
        <v>105.278884462151</v>
      </c>
      <c r="AA875" s="2">
        <v>22.084833645395701</v>
      </c>
      <c r="AB875" s="7">
        <v>101.319212142089</v>
      </c>
      <c r="AC875" s="2">
        <v>7.7447843091111999</v>
      </c>
      <c r="AD875" s="2">
        <v>93.749993870806705</v>
      </c>
      <c r="AE875" s="2">
        <v>9.8687536820893094</v>
      </c>
      <c r="AF875" s="2">
        <v>107.654238713723</v>
      </c>
      <c r="AG875" s="2">
        <v>17.0565257095754</v>
      </c>
      <c r="AH875" s="2">
        <v>93.8350313672955</v>
      </c>
      <c r="AI875" s="2">
        <v>8.0178088752866792</v>
      </c>
      <c r="AJ875" s="2">
        <v>118.008492260979</v>
      </c>
      <c r="AK875" s="2">
        <v>30.134325245368501</v>
      </c>
      <c r="AL875" s="2">
        <v>102.693841310482</v>
      </c>
      <c r="AM875" s="2">
        <v>6.4299848410334697</v>
      </c>
      <c r="AN875"/>
      <c r="AO875"/>
    </row>
    <row r="876" spans="1:41" ht="15.75" hidden="1" customHeight="1" x14ac:dyDescent="0.45">
      <c r="A876" s="2" t="s">
        <v>179</v>
      </c>
      <c r="B876" s="2" t="s">
        <v>106</v>
      </c>
      <c r="C876" s="2">
        <v>0.1</v>
      </c>
      <c r="D876" s="2"/>
      <c r="E876" s="2" t="s">
        <v>83</v>
      </c>
      <c r="F876" s="2" t="s">
        <v>84</v>
      </c>
      <c r="H876" s="2">
        <v>0.6</v>
      </c>
      <c r="J876" s="2">
        <v>0.63050050300000005</v>
      </c>
      <c r="K876" s="2">
        <v>33.146668776666601</v>
      </c>
      <c r="L876" s="2"/>
      <c r="M876" s="2">
        <v>4.5293187163007804</v>
      </c>
      <c r="N876" s="2">
        <v>269.05555555555497</v>
      </c>
      <c r="O876" s="2">
        <v>55.593348256516798</v>
      </c>
      <c r="P876" s="2">
        <v>36.004787533888802</v>
      </c>
      <c r="Q876" s="2">
        <v>3.8215526326572502</v>
      </c>
      <c r="R876" s="2">
        <v>3.42620141211111</v>
      </c>
      <c r="S876" s="2">
        <v>0.68716739193291099</v>
      </c>
      <c r="T876" s="2">
        <v>3.3391057963333299</v>
      </c>
      <c r="U876" s="2">
        <v>1.2038115718911799</v>
      </c>
      <c r="V876" s="2">
        <v>0.50802207572222202</v>
      </c>
      <c r="W876" s="2">
        <v>0.28975630392947099</v>
      </c>
      <c r="X876" s="2">
        <v>3.8439914222222198</v>
      </c>
      <c r="Y876" s="2">
        <v>0.24475728651336401</v>
      </c>
      <c r="Z876" s="7">
        <v>96.474103585657403</v>
      </c>
      <c r="AA876" s="2">
        <v>19.933869892774901</v>
      </c>
      <c r="AB876" s="7">
        <v>83.032285087001696</v>
      </c>
      <c r="AC876" s="2">
        <v>11.3459269598312</v>
      </c>
      <c r="AD876" s="2">
        <v>75.418923374398105</v>
      </c>
      <c r="AE876" s="2">
        <v>27.189965887684998</v>
      </c>
      <c r="AF876" s="2">
        <v>106.472841381655</v>
      </c>
      <c r="AG876" s="2">
        <v>11.3010406437083</v>
      </c>
      <c r="AH876" s="2">
        <v>91.724788031468606</v>
      </c>
      <c r="AI876" s="2">
        <v>18.396549351821701</v>
      </c>
      <c r="AJ876" s="2">
        <v>108.021148323324</v>
      </c>
      <c r="AK876" s="2">
        <v>61.611119241003102</v>
      </c>
      <c r="AL876" s="2">
        <v>114.16818735629499</v>
      </c>
      <c r="AM876" s="2">
        <v>7.2693959674140096</v>
      </c>
      <c r="AN876"/>
      <c r="AO876"/>
    </row>
    <row r="877" spans="1:41" ht="15.75" hidden="1" customHeight="1" x14ac:dyDescent="0.45">
      <c r="A877" s="2" t="s">
        <v>179</v>
      </c>
      <c r="B877" s="2" t="s">
        <v>106</v>
      </c>
      <c r="C877" s="2">
        <v>0.3</v>
      </c>
      <c r="D877" s="2"/>
      <c r="E877" s="2" t="s">
        <v>83</v>
      </c>
      <c r="F877" s="2" t="s">
        <v>84</v>
      </c>
      <c r="H877" s="2">
        <v>0.6</v>
      </c>
      <c r="J877" s="2">
        <v>0.63050050300000005</v>
      </c>
      <c r="K877" s="2">
        <v>27.894168381111101</v>
      </c>
      <c r="L877" s="2"/>
      <c r="M877" s="2">
        <v>13.7948184565441</v>
      </c>
      <c r="N877" s="2">
        <v>205.388888888888</v>
      </c>
      <c r="O877" s="2">
        <v>18.622218907451099</v>
      </c>
      <c r="P877" s="2">
        <v>46.751302772777699</v>
      </c>
      <c r="Q877" s="2">
        <v>1.53237031043219</v>
      </c>
      <c r="R877" s="2">
        <v>2.8619448104444398</v>
      </c>
      <c r="S877" s="2">
        <v>1.23340911316526</v>
      </c>
      <c r="T877" s="2">
        <v>2.9007508660000001</v>
      </c>
      <c r="U877" s="2">
        <v>1.3017071448031099</v>
      </c>
      <c r="V877" s="2">
        <v>0.77613672988888804</v>
      </c>
      <c r="W877" s="2">
        <v>0.11518256329736801</v>
      </c>
      <c r="X877" s="2">
        <v>3.4429641678333298</v>
      </c>
      <c r="Y877" s="2">
        <v>1.26731283023839</v>
      </c>
      <c r="Z877" s="7">
        <v>73.645418326693203</v>
      </c>
      <c r="AA877" s="2">
        <v>6.6772896480900297</v>
      </c>
      <c r="AB877" s="7">
        <v>69.874790643084395</v>
      </c>
      <c r="AC877" s="2">
        <v>34.555970209999401</v>
      </c>
      <c r="AD877" s="2">
        <v>65.517992131697497</v>
      </c>
      <c r="AE877" s="2">
        <v>29.4010904109766</v>
      </c>
      <c r="AF877" s="2">
        <v>138.25228213960401</v>
      </c>
      <c r="AG877" s="2">
        <v>4.5315035076109602</v>
      </c>
      <c r="AH877" s="2">
        <v>76.618753400731194</v>
      </c>
      <c r="AI877" s="2">
        <v>33.020297365254898</v>
      </c>
      <c r="AJ877" s="2">
        <v>165.03058592349299</v>
      </c>
      <c r="AK877" s="2">
        <v>24.491362381285398</v>
      </c>
      <c r="AL877" s="2">
        <v>102.25750658594499</v>
      </c>
      <c r="AM877" s="2">
        <v>37.639732441975603</v>
      </c>
      <c r="AN877"/>
      <c r="AO877"/>
    </row>
    <row r="878" spans="1:41" ht="15.75" hidden="1" customHeight="1" x14ac:dyDescent="0.45">
      <c r="A878" s="2" t="s">
        <v>179</v>
      </c>
      <c r="B878" s="2" t="s">
        <v>106</v>
      </c>
      <c r="C878" s="2">
        <v>1</v>
      </c>
      <c r="D878" s="2"/>
      <c r="E878" s="2" t="s">
        <v>83</v>
      </c>
      <c r="F878" s="2" t="s">
        <v>84</v>
      </c>
      <c r="H878" s="2">
        <v>0.6</v>
      </c>
      <c r="J878" s="2">
        <v>0.63050050300000005</v>
      </c>
      <c r="K878" s="2">
        <v>20.205206319555501</v>
      </c>
      <c r="L878" s="2"/>
      <c r="M878" s="2">
        <v>7.8086081444528803</v>
      </c>
      <c r="N878" s="2">
        <v>99.1111111111111</v>
      </c>
      <c r="O878" s="2">
        <v>30.009412103785198</v>
      </c>
      <c r="P878" s="2">
        <v>46.734184948888803</v>
      </c>
      <c r="Q878" s="2">
        <v>2.62444248868468</v>
      </c>
      <c r="R878" s="2">
        <v>3.7000007118333298</v>
      </c>
      <c r="S878" s="2">
        <v>1.2194003106778899</v>
      </c>
      <c r="T878" s="2">
        <v>5.9863753533333304</v>
      </c>
      <c r="U878" s="2">
        <v>1.4579078870856399</v>
      </c>
      <c r="V878" s="2">
        <v>0.47717392322222202</v>
      </c>
      <c r="W878" s="2">
        <v>0.32034907690963899</v>
      </c>
      <c r="X878" s="2">
        <v>5.9724038310555496</v>
      </c>
      <c r="Y878" s="2">
        <v>1.19241185342407</v>
      </c>
      <c r="Z878" s="7">
        <v>35.5378486055777</v>
      </c>
      <c r="AA878" s="2">
        <v>10.760346969484701</v>
      </c>
      <c r="AB878" s="7">
        <v>50.613968561088598</v>
      </c>
      <c r="AC878" s="2">
        <v>19.5605350857854</v>
      </c>
      <c r="AD878" s="2">
        <v>135.21164395545799</v>
      </c>
      <c r="AE878" s="2">
        <v>32.929128314467597</v>
      </c>
      <c r="AF878" s="2">
        <v>138.20166155627101</v>
      </c>
      <c r="AG878" s="2">
        <v>7.7609636926753298</v>
      </c>
      <c r="AH878" s="2">
        <v>99.054824917627798</v>
      </c>
      <c r="AI878" s="2">
        <v>32.645259740733998</v>
      </c>
      <c r="AJ878" s="2">
        <v>101.4618804963</v>
      </c>
      <c r="AK878" s="2">
        <v>68.116085512428498</v>
      </c>
      <c r="AL878" s="2">
        <v>177.38294513602801</v>
      </c>
      <c r="AM878" s="2">
        <v>35.415141433610998</v>
      </c>
      <c r="AN878"/>
      <c r="AO878"/>
    </row>
    <row r="879" spans="1:41" ht="15.75" hidden="1" customHeight="1" x14ac:dyDescent="0.45">
      <c r="A879" s="2" t="s">
        <v>179</v>
      </c>
      <c r="B879" s="2" t="s">
        <v>106</v>
      </c>
      <c r="C879" s="2">
        <v>3</v>
      </c>
      <c r="D879" s="2"/>
      <c r="E879" s="2" t="s">
        <v>83</v>
      </c>
      <c r="F879" s="2" t="s">
        <v>84</v>
      </c>
      <c r="H879" s="2">
        <v>0.6</v>
      </c>
      <c r="J879" s="2">
        <v>0.63050050300000005</v>
      </c>
      <c r="K879" s="2">
        <v>0</v>
      </c>
      <c r="L879" s="2"/>
      <c r="M879" s="2">
        <v>0</v>
      </c>
      <c r="N879" s="2">
        <v>7.7999999999999901</v>
      </c>
      <c r="O879" s="2">
        <v>1.70880074906351</v>
      </c>
      <c r="P879" s="2">
        <v>1.3333333333333299</v>
      </c>
      <c r="Q879" s="2">
        <v>2.3094010767584998</v>
      </c>
      <c r="R879" s="2">
        <v>13.3835978833333</v>
      </c>
      <c r="S879" s="2">
        <v>17.183946079484599</v>
      </c>
      <c r="T879" s="2">
        <v>19.0185185176</v>
      </c>
      <c r="U879" s="2">
        <v>14.3333692198583</v>
      </c>
      <c r="V879" s="2">
        <v>0</v>
      </c>
      <c r="W879" s="2">
        <v>0</v>
      </c>
      <c r="X879" s="2">
        <v>0</v>
      </c>
      <c r="Y879" s="2">
        <v>0</v>
      </c>
      <c r="Z879" s="7">
        <v>2.7968127490039798</v>
      </c>
      <c r="AA879" s="2">
        <v>0.61271740006261299</v>
      </c>
      <c r="AB879" s="7">
        <v>0</v>
      </c>
      <c r="AC879" s="2">
        <v>0</v>
      </c>
      <c r="AD879" s="2">
        <v>429.56296633323501</v>
      </c>
      <c r="AE879" s="2">
        <v>323.741546636978</v>
      </c>
      <c r="AF879" s="2">
        <v>3.94291421315158</v>
      </c>
      <c r="AG879" s="2">
        <v>6.8293277470640099</v>
      </c>
      <c r="AH879" s="2">
        <v>358.29991623018702</v>
      </c>
      <c r="AI879" s="2">
        <v>460.041200763419</v>
      </c>
      <c r="AJ879" s="2">
        <v>0</v>
      </c>
      <c r="AK879" s="2">
        <v>0</v>
      </c>
      <c r="AL879" s="2">
        <v>0</v>
      </c>
      <c r="AM879" s="2">
        <v>0</v>
      </c>
      <c r="AN879"/>
      <c r="AO879"/>
    </row>
    <row r="880" spans="1:41" ht="15.75" hidden="1" customHeight="1" x14ac:dyDescent="0.45">
      <c r="A880" s="2" t="s">
        <v>179</v>
      </c>
      <c r="B880" s="2" t="s">
        <v>106</v>
      </c>
      <c r="C880" s="2">
        <v>10</v>
      </c>
      <c r="D880" s="2"/>
      <c r="E880" s="2" t="s">
        <v>83</v>
      </c>
      <c r="F880" s="2" t="s">
        <v>84</v>
      </c>
      <c r="H880" s="2">
        <v>0.6</v>
      </c>
      <c r="J880" s="2">
        <v>0.63050050300000005</v>
      </c>
      <c r="K880" s="2">
        <v>0</v>
      </c>
      <c r="L880" s="2"/>
      <c r="M880" s="2">
        <v>0</v>
      </c>
      <c r="N880" s="2">
        <v>25.6666666666666</v>
      </c>
      <c r="O880" s="2">
        <v>9.6017938138893903</v>
      </c>
      <c r="P880" s="2">
        <v>0.55594706755555501</v>
      </c>
      <c r="Q880" s="2">
        <v>0.96292856732514898</v>
      </c>
      <c r="R880" s="2">
        <v>5.6351813686666601</v>
      </c>
      <c r="S880" s="2">
        <v>1.32739391589932</v>
      </c>
      <c r="T880" s="2">
        <v>3.4366264397777702</v>
      </c>
      <c r="U880" s="2">
        <v>0.45786262526389399</v>
      </c>
      <c r="V880" s="2">
        <v>0</v>
      </c>
      <c r="W880" s="2">
        <v>0</v>
      </c>
      <c r="X880" s="2">
        <v>0.71872571872222202</v>
      </c>
      <c r="Y880" s="2">
        <v>0.760558350842649</v>
      </c>
      <c r="Z880" s="7">
        <v>9.2031872509960202</v>
      </c>
      <c r="AA880" s="2">
        <v>3.4428742758965898</v>
      </c>
      <c r="AB880" s="7">
        <v>0</v>
      </c>
      <c r="AC880" s="2">
        <v>0</v>
      </c>
      <c r="AD880" s="2">
        <v>77.621579529658206</v>
      </c>
      <c r="AE880" s="2">
        <v>10.341543022894699</v>
      </c>
      <c r="AF880" s="2">
        <v>1.64403869581855</v>
      </c>
      <c r="AG880" s="2">
        <v>2.84755855076701</v>
      </c>
      <c r="AH880" s="2">
        <v>150.86264769278199</v>
      </c>
      <c r="AI880" s="2">
        <v>35.5364180108445</v>
      </c>
      <c r="AJ880" s="2">
        <v>0</v>
      </c>
      <c r="AK880" s="2">
        <v>0</v>
      </c>
      <c r="AL880" s="2">
        <v>21.3464608787888</v>
      </c>
      <c r="AM880" s="2">
        <v>22.588907923265101</v>
      </c>
      <c r="AN880"/>
      <c r="AO880"/>
    </row>
    <row r="881" spans="1:41" ht="15.75" hidden="1" customHeight="1" x14ac:dyDescent="0.45">
      <c r="A881" s="2" t="s">
        <v>179</v>
      </c>
      <c r="B881" s="2" t="s">
        <v>106</v>
      </c>
      <c r="C881" s="2">
        <v>3.0000000000000001E-3</v>
      </c>
      <c r="D881" s="2"/>
      <c r="E881" s="2" t="s">
        <v>85</v>
      </c>
      <c r="F881" s="2" t="s">
        <v>84</v>
      </c>
      <c r="G881" s="2" t="s">
        <v>86</v>
      </c>
      <c r="H881" s="2">
        <v>0.8</v>
      </c>
      <c r="I881" s="2">
        <v>3539</v>
      </c>
      <c r="J881" s="2">
        <v>0.8</v>
      </c>
      <c r="K881" s="2">
        <v>4.6229893018777704</v>
      </c>
      <c r="L881" s="2"/>
      <c r="M881" s="2">
        <v>1.0369668275180499</v>
      </c>
      <c r="N881" s="2">
        <v>121.111111111111</v>
      </c>
      <c r="O881" s="2">
        <v>11.998070832583901</v>
      </c>
      <c r="P881" s="2">
        <v>0.34754661812055498</v>
      </c>
      <c r="Q881" s="2">
        <v>0.25451766703602702</v>
      </c>
      <c r="R881" s="2">
        <v>8.7533615571111098E-2</v>
      </c>
      <c r="S881" s="2">
        <v>7.9655695234069304E-2</v>
      </c>
      <c r="T881" s="2">
        <v>4.9959623532999897</v>
      </c>
      <c r="U881" s="2">
        <v>2.8147518352887602</v>
      </c>
      <c r="V881" s="2">
        <v>0</v>
      </c>
      <c r="W881" s="2">
        <v>0</v>
      </c>
      <c r="X881" s="2">
        <v>0.234955444491111</v>
      </c>
      <c r="Y881" s="2">
        <v>0.29579680867330899</v>
      </c>
      <c r="Z881" s="7">
        <v>78.484790817685905</v>
      </c>
      <c r="AA881" s="2">
        <v>8.7035000326776206</v>
      </c>
      <c r="AB881" s="7">
        <v>110.882763770069</v>
      </c>
      <c r="AC881" s="2">
        <v>23.781527151991298</v>
      </c>
      <c r="AD881" s="2">
        <v>59.526891594840102</v>
      </c>
      <c r="AE881" s="2">
        <v>13.388686360973299</v>
      </c>
      <c r="AF881" s="2">
        <v>173.354424705399</v>
      </c>
      <c r="AG881" s="2">
        <v>121.940256891318</v>
      </c>
      <c r="AH881" s="2">
        <v>28.2328517087089</v>
      </c>
      <c r="AI881" s="2">
        <v>25.950116321256299</v>
      </c>
      <c r="AJ881" s="2">
        <v>0</v>
      </c>
      <c r="AK881" s="2">
        <v>0</v>
      </c>
      <c r="AL881" s="2">
        <v>69.037679567024099</v>
      </c>
      <c r="AM881" s="2">
        <v>86.762225065763801</v>
      </c>
      <c r="AN881"/>
      <c r="AO881"/>
    </row>
    <row r="882" spans="1:41" ht="15.75" hidden="1" customHeight="1" x14ac:dyDescent="0.45">
      <c r="A882" s="2" t="s">
        <v>179</v>
      </c>
      <c r="B882" s="2" t="s">
        <v>106</v>
      </c>
      <c r="C882" s="2">
        <v>0.01</v>
      </c>
      <c r="D882" s="2"/>
      <c r="E882" s="2" t="s">
        <v>85</v>
      </c>
      <c r="F882" s="2" t="s">
        <v>84</v>
      </c>
      <c r="G882" s="2" t="s">
        <v>86</v>
      </c>
      <c r="H882" s="2">
        <v>0.8</v>
      </c>
      <c r="I882" s="2">
        <v>3539</v>
      </c>
      <c r="J882" s="2">
        <v>0.8</v>
      </c>
      <c r="K882" s="2">
        <v>5.5892583160099996</v>
      </c>
      <c r="L882" s="2"/>
      <c r="M882" s="2">
        <v>0.54023638343771896</v>
      </c>
      <c r="N882" s="2">
        <v>124.47777777777701</v>
      </c>
      <c r="O882" s="2">
        <v>14.065968913710799</v>
      </c>
      <c r="P882" s="2">
        <v>0.33944985922055498</v>
      </c>
      <c r="Q882" s="2">
        <v>0.19667193016378501</v>
      </c>
      <c r="R882" s="2">
        <v>0.26725860746622199</v>
      </c>
      <c r="S882" s="2">
        <v>0.124939937383768</v>
      </c>
      <c r="T882" s="2">
        <v>6.14517853903111</v>
      </c>
      <c r="U882" s="2">
        <v>0.69477372492982403</v>
      </c>
      <c r="V882" s="2">
        <v>0</v>
      </c>
      <c r="W882" s="2">
        <v>0</v>
      </c>
      <c r="X882" s="2">
        <v>0.27023319616144398</v>
      </c>
      <c r="Y882" s="2">
        <v>0.21467654496292099</v>
      </c>
      <c r="Z882" s="7">
        <v>80.469030621955497</v>
      </c>
      <c r="AA882" s="2">
        <v>7.1661610772677804</v>
      </c>
      <c r="AB882" s="7">
        <v>135.069409861575</v>
      </c>
      <c r="AC882" s="2">
        <v>21.912171814859999</v>
      </c>
      <c r="AD882" s="2">
        <v>82.015268281899196</v>
      </c>
      <c r="AE882" s="2">
        <v>23.986444574987601</v>
      </c>
      <c r="AF882" s="2">
        <v>152.26025376640601</v>
      </c>
      <c r="AG882" s="2">
        <v>82.606630669433201</v>
      </c>
      <c r="AH882" s="2">
        <v>94.084221809949796</v>
      </c>
      <c r="AI882" s="2">
        <v>52.3877296052868</v>
      </c>
      <c r="AJ882" s="2">
        <v>0</v>
      </c>
      <c r="AK882" s="2">
        <v>0</v>
      </c>
      <c r="AL882" s="2">
        <v>75.955824302693998</v>
      </c>
      <c r="AM882" s="2">
        <v>67.807514202410104</v>
      </c>
      <c r="AN882"/>
      <c r="AO882"/>
    </row>
    <row r="883" spans="1:41" ht="15.75" hidden="1" customHeight="1" x14ac:dyDescent="0.45">
      <c r="A883" s="2" t="s">
        <v>179</v>
      </c>
      <c r="B883" s="2" t="s">
        <v>106</v>
      </c>
      <c r="C883" s="2">
        <v>0.03</v>
      </c>
      <c r="D883" s="2"/>
      <c r="E883" s="2" t="s">
        <v>85</v>
      </c>
      <c r="F883" s="2" t="s">
        <v>84</v>
      </c>
      <c r="G883" s="2" t="s">
        <v>86</v>
      </c>
      <c r="H883" s="2">
        <v>0.8</v>
      </c>
      <c r="I883" s="2">
        <v>3539</v>
      </c>
      <c r="J883" s="2">
        <v>0.8</v>
      </c>
      <c r="K883" s="2">
        <v>5.5965471040111101</v>
      </c>
      <c r="L883" s="2"/>
      <c r="M883" s="2">
        <v>0.60995868487484695</v>
      </c>
      <c r="N883" s="2">
        <v>123.333333333333</v>
      </c>
      <c r="O883" s="2">
        <v>17.5269633549124</v>
      </c>
      <c r="P883" s="2">
        <v>0.43565642114555497</v>
      </c>
      <c r="Q883" s="2">
        <v>0.16893773077912799</v>
      </c>
      <c r="R883" s="2">
        <v>0.31585352729277699</v>
      </c>
      <c r="S883" s="2">
        <v>0.26137855490065698</v>
      </c>
      <c r="T883" s="2">
        <v>3.8048496272783301</v>
      </c>
      <c r="U883" s="2">
        <v>1.14169076140784</v>
      </c>
      <c r="V883" s="2">
        <v>0.13888888888888801</v>
      </c>
      <c r="W883" s="2">
        <v>0.24056261216234401</v>
      </c>
      <c r="X883" s="2">
        <v>0.49214941172777699</v>
      </c>
      <c r="Y883" s="2">
        <v>0.22535692174511501</v>
      </c>
      <c r="Z883" s="7">
        <v>79.824278646727507</v>
      </c>
      <c r="AA883" s="2">
        <v>10.974523594461299</v>
      </c>
      <c r="AB883" s="7">
        <v>134.86286453092899</v>
      </c>
      <c r="AC883" s="2">
        <v>20.563523950009301</v>
      </c>
      <c r="AD883" s="2">
        <v>50.874830888668299</v>
      </c>
      <c r="AE883" s="2">
        <v>21.518985904347598</v>
      </c>
      <c r="AF883" s="2">
        <v>235.44603875367201</v>
      </c>
      <c r="AG883" s="2">
        <v>188.11941650074701</v>
      </c>
      <c r="AH883" s="2">
        <v>113.649879016423</v>
      </c>
      <c r="AI883" s="2">
        <v>96.983960138192501</v>
      </c>
      <c r="AJ883" s="2">
        <v>5220.00000002871</v>
      </c>
      <c r="AK883" s="2">
        <v>0</v>
      </c>
      <c r="AL883" s="2">
        <v>135.875960795255</v>
      </c>
      <c r="AM883" s="2">
        <v>79.782636752076897</v>
      </c>
      <c r="AN883"/>
      <c r="AO883"/>
    </row>
    <row r="884" spans="1:41" ht="15.75" hidden="1" customHeight="1" x14ac:dyDescent="0.45">
      <c r="A884" s="2" t="s">
        <v>179</v>
      </c>
      <c r="B884" s="2" t="s">
        <v>106</v>
      </c>
      <c r="C884" s="2">
        <v>0.1</v>
      </c>
      <c r="D884" s="2"/>
      <c r="E884" s="2" t="s">
        <v>85</v>
      </c>
      <c r="F884" s="2" t="s">
        <v>84</v>
      </c>
      <c r="G884" s="2" t="s">
        <v>86</v>
      </c>
      <c r="H884" s="2">
        <v>0.8</v>
      </c>
      <c r="I884" s="2">
        <v>3539</v>
      </c>
      <c r="J884" s="2">
        <v>0.8</v>
      </c>
      <c r="K884" s="2">
        <v>4.1535636007444401</v>
      </c>
      <c r="L884" s="2"/>
      <c r="M884" s="2">
        <v>1.31144883429663</v>
      </c>
      <c r="N884" s="2">
        <v>124.444444444444</v>
      </c>
      <c r="O884" s="2">
        <v>12.5136962002675</v>
      </c>
      <c r="P884" s="2">
        <v>0.198455838356111</v>
      </c>
      <c r="Q884" s="2">
        <v>4.2516917567939003E-2</v>
      </c>
      <c r="R884" s="2">
        <v>1.20285227079499</v>
      </c>
      <c r="S884" s="2">
        <v>1.98262380455667</v>
      </c>
      <c r="T884" s="2">
        <v>7.29119432822222</v>
      </c>
      <c r="U884" s="2">
        <v>2.18655959725008</v>
      </c>
      <c r="V884" s="2">
        <v>3.10366232155555E-2</v>
      </c>
      <c r="W884" s="2">
        <v>5.3757008304713902E-2</v>
      </c>
      <c r="X884" s="2">
        <v>0.38468920272388801</v>
      </c>
      <c r="Y884" s="2">
        <v>0.22509637648793701</v>
      </c>
      <c r="Z884" s="7">
        <v>80.387345568201397</v>
      </c>
      <c r="AA884" s="2">
        <v>4.7044371788201103</v>
      </c>
      <c r="AB884" s="7">
        <v>98.795565571130894</v>
      </c>
      <c r="AC884" s="2">
        <v>25.1964878847153</v>
      </c>
      <c r="AD884" s="2">
        <v>100.85663223516499</v>
      </c>
      <c r="AE884" s="2">
        <v>54.358514319442797</v>
      </c>
      <c r="AF884" s="2">
        <v>101.781097161657</v>
      </c>
      <c r="AG884" s="2">
        <v>71.239914308110798</v>
      </c>
      <c r="AH884" s="2">
        <v>265.42859839721098</v>
      </c>
      <c r="AI884" s="2">
        <v>423.91744441591499</v>
      </c>
      <c r="AJ884" s="2">
        <v>1166.48044693985</v>
      </c>
      <c r="AK884" s="2">
        <v>0</v>
      </c>
      <c r="AL884" s="2">
        <v>97.401614610770395</v>
      </c>
      <c r="AM884" s="2">
        <v>62.388967614725303</v>
      </c>
      <c r="AN884"/>
      <c r="AO884"/>
    </row>
    <row r="885" spans="1:41" ht="15.75" hidden="1" customHeight="1" x14ac:dyDescent="0.45">
      <c r="A885" s="2" t="s">
        <v>179</v>
      </c>
      <c r="B885" s="2" t="s">
        <v>106</v>
      </c>
      <c r="C885" s="2">
        <v>0.3</v>
      </c>
      <c r="D885" s="2"/>
      <c r="E885" s="2" t="s">
        <v>85</v>
      </c>
      <c r="F885" s="2" t="s">
        <v>84</v>
      </c>
      <c r="G885" s="2" t="s">
        <v>86</v>
      </c>
      <c r="H885" s="2">
        <v>0.8</v>
      </c>
      <c r="I885" s="2">
        <v>3539</v>
      </c>
      <c r="J885" s="2">
        <v>0.8</v>
      </c>
      <c r="K885" s="2">
        <v>1.35805724283944</v>
      </c>
      <c r="L885" s="2"/>
      <c r="M885" s="2">
        <v>0.72660207471009297</v>
      </c>
      <c r="N885" s="2">
        <v>94.1666666666666</v>
      </c>
      <c r="O885" s="2">
        <v>6.8455175926376297</v>
      </c>
      <c r="P885" s="2">
        <v>0.58137792313222203</v>
      </c>
      <c r="Q885" s="2">
        <v>0.42256158768672802</v>
      </c>
      <c r="R885" s="2">
        <v>0.195230113838888</v>
      </c>
      <c r="S885" s="2">
        <v>0.19594986854058899</v>
      </c>
      <c r="T885" s="2">
        <v>4.9865225645500004</v>
      </c>
      <c r="U885" s="2">
        <v>0.69780571195447605</v>
      </c>
      <c r="V885" s="2">
        <v>0</v>
      </c>
      <c r="W885" s="2">
        <v>0</v>
      </c>
      <c r="X885" s="2">
        <v>0.203784382221111</v>
      </c>
      <c r="Y885" s="2">
        <v>0.245164558526762</v>
      </c>
      <c r="Z885" s="7">
        <v>61.121525593795702</v>
      </c>
      <c r="AA885" s="2">
        <v>7.0922966052127503</v>
      </c>
      <c r="AB885" s="7">
        <v>32.307557163003203</v>
      </c>
      <c r="AC885" s="2">
        <v>17.148997185489598</v>
      </c>
      <c r="AD885" s="2">
        <v>65.462653267165095</v>
      </c>
      <c r="AE885" s="2">
        <v>14.8834790973978</v>
      </c>
      <c r="AF885" s="2">
        <v>229.42707220011701</v>
      </c>
      <c r="AG885" s="2">
        <v>155.75645757124499</v>
      </c>
      <c r="AH885" s="2">
        <v>76.368676856527003</v>
      </c>
      <c r="AI885" s="2">
        <v>98.267386895189205</v>
      </c>
      <c r="AJ885" s="2">
        <v>0</v>
      </c>
      <c r="AK885" s="2">
        <v>0</v>
      </c>
      <c r="AL885" s="2">
        <v>59.888742208634397</v>
      </c>
      <c r="AM885" s="2">
        <v>71.910762551353599</v>
      </c>
      <c r="AN885"/>
      <c r="AO885"/>
    </row>
    <row r="886" spans="1:41" ht="15.75" hidden="1" customHeight="1" x14ac:dyDescent="0.45">
      <c r="A886" s="2" t="s">
        <v>179</v>
      </c>
      <c r="B886" s="2" t="s">
        <v>106</v>
      </c>
      <c r="C886" s="2">
        <v>1</v>
      </c>
      <c r="D886" s="2"/>
      <c r="E886" s="2" t="s">
        <v>85</v>
      </c>
      <c r="F886" s="2" t="s">
        <v>84</v>
      </c>
      <c r="G886" s="2" t="s">
        <v>86</v>
      </c>
      <c r="H886" s="2">
        <v>0.8</v>
      </c>
      <c r="I886" s="2">
        <v>3539</v>
      </c>
      <c r="J886" s="2">
        <v>0.8</v>
      </c>
      <c r="K886" s="2">
        <v>0.47645191148333299</v>
      </c>
      <c r="L886" s="2"/>
      <c r="M886" s="2">
        <v>0.82523891805244198</v>
      </c>
      <c r="N886" s="2">
        <v>94.5555555555555</v>
      </c>
      <c r="O886" s="2">
        <v>16.634413235930602</v>
      </c>
      <c r="P886" s="2">
        <v>0.313463939313888</v>
      </c>
      <c r="Q886" s="2">
        <v>0.43585966293591399</v>
      </c>
      <c r="R886" s="2">
        <v>0.16557581424444401</v>
      </c>
      <c r="S886" s="2">
        <v>0.18315917092168099</v>
      </c>
      <c r="T886" s="2">
        <v>8.1986584657588892</v>
      </c>
      <c r="U886" s="2">
        <v>2.5057179282334201</v>
      </c>
      <c r="V886" s="2">
        <v>0</v>
      </c>
      <c r="W886" s="2">
        <v>0</v>
      </c>
      <c r="X886" s="2">
        <v>0.35306331101666599</v>
      </c>
      <c r="Y886" s="2">
        <v>0.32813371692309901</v>
      </c>
      <c r="Z886" s="7">
        <v>61.174610724494698</v>
      </c>
      <c r="AA886" s="2">
        <v>10.3752967390341</v>
      </c>
      <c r="AB886" s="7">
        <v>10.499467237963501</v>
      </c>
      <c r="AC886" s="2">
        <v>18.1856107085577</v>
      </c>
      <c r="AD886" s="2">
        <v>105.065016256833</v>
      </c>
      <c r="AE886" s="2">
        <v>29.537628637073301</v>
      </c>
      <c r="AF886" s="2">
        <v>124.137388120501</v>
      </c>
      <c r="AG886" s="2">
        <v>183.40229364543899</v>
      </c>
      <c r="AH886" s="2">
        <v>47.5002290261464</v>
      </c>
      <c r="AI886" s="2">
        <v>41.733523800178901</v>
      </c>
      <c r="AJ886" s="2">
        <v>0</v>
      </c>
      <c r="AK886" s="2">
        <v>0</v>
      </c>
      <c r="AL886" s="2">
        <v>90.451112134167104</v>
      </c>
      <c r="AM886" s="2">
        <v>96.244152181377501</v>
      </c>
      <c r="AN886"/>
      <c r="AO886"/>
    </row>
    <row r="887" spans="1:41" ht="15.75" hidden="1" customHeight="1" x14ac:dyDescent="0.45">
      <c r="A887" s="2" t="s">
        <v>179</v>
      </c>
      <c r="B887" s="2" t="s">
        <v>106</v>
      </c>
      <c r="C887" s="2">
        <v>3</v>
      </c>
      <c r="D887" s="2"/>
      <c r="E887" s="2" t="s">
        <v>85</v>
      </c>
      <c r="F887" s="2" t="s">
        <v>84</v>
      </c>
      <c r="G887" s="2" t="s">
        <v>86</v>
      </c>
      <c r="H887" s="2">
        <v>0.8</v>
      </c>
      <c r="I887" s="2">
        <v>3539</v>
      </c>
      <c r="J887" s="2">
        <v>0.8</v>
      </c>
      <c r="K887" s="2">
        <v>0</v>
      </c>
      <c r="L887" s="2"/>
      <c r="M887" s="2">
        <v>0</v>
      </c>
      <c r="N887" s="2">
        <v>17.533333333333299</v>
      </c>
      <c r="O887" s="2">
        <v>2.33523731841826</v>
      </c>
      <c r="P887" s="2">
        <v>0</v>
      </c>
      <c r="Q887" s="2">
        <v>0</v>
      </c>
      <c r="R887" s="2">
        <v>0</v>
      </c>
      <c r="S887" s="2">
        <v>0</v>
      </c>
      <c r="T887" s="2">
        <v>51.285776326911098</v>
      </c>
      <c r="U887" s="2">
        <v>0.55438473612836503</v>
      </c>
      <c r="V887" s="2">
        <v>0</v>
      </c>
      <c r="W887" s="2">
        <v>0</v>
      </c>
      <c r="X887" s="2">
        <v>0.49382716049444397</v>
      </c>
      <c r="Y887" s="2">
        <v>0.855333732133848</v>
      </c>
      <c r="Z887" s="7">
        <v>11.349787186110801</v>
      </c>
      <c r="AA887" s="2">
        <v>1.48105697346902</v>
      </c>
      <c r="AB887" s="7">
        <v>0</v>
      </c>
      <c r="AC887" s="2">
        <v>0</v>
      </c>
      <c r="AD887" s="2">
        <v>689.66587925764395</v>
      </c>
      <c r="AE887" s="2">
        <v>211.89618778368899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144.919459980136</v>
      </c>
      <c r="AM887" s="2">
        <v>251.00786769103999</v>
      </c>
      <c r="AN887"/>
      <c r="AO887"/>
    </row>
    <row r="888" spans="1:41" ht="15.75" hidden="1" customHeight="1" x14ac:dyDescent="0.45">
      <c r="A888" s="2" t="s">
        <v>179</v>
      </c>
      <c r="B888" s="2" t="s">
        <v>106</v>
      </c>
      <c r="C888" s="2">
        <v>10</v>
      </c>
      <c r="D888" s="2"/>
      <c r="E888" s="2" t="s">
        <v>85</v>
      </c>
      <c r="F888" s="2" t="s">
        <v>84</v>
      </c>
      <c r="G888" s="2" t="s">
        <v>86</v>
      </c>
      <c r="H888" s="2">
        <v>0.8</v>
      </c>
      <c r="I888" s="2">
        <v>3539</v>
      </c>
      <c r="J888" s="2">
        <v>0.8</v>
      </c>
      <c r="K888" s="2">
        <v>0</v>
      </c>
      <c r="L888" s="2"/>
      <c r="M888" s="2">
        <v>0</v>
      </c>
      <c r="N888" s="2">
        <v>49.5555555555555</v>
      </c>
      <c r="O888" s="2">
        <v>12.482580454970501</v>
      </c>
      <c r="P888" s="2">
        <v>0.32027593003333299</v>
      </c>
      <c r="Q888" s="2">
        <v>0.55473418325910795</v>
      </c>
      <c r="R888" s="2">
        <v>0.30551599700555498</v>
      </c>
      <c r="S888" s="2">
        <v>0.276266286527589</v>
      </c>
      <c r="T888" s="2">
        <v>17.1486727399611</v>
      </c>
      <c r="U888" s="2">
        <v>6.7600237387306903</v>
      </c>
      <c r="V888" s="2">
        <v>0.13888888888888801</v>
      </c>
      <c r="W888" s="2">
        <v>0.24056261216234401</v>
      </c>
      <c r="X888" s="2">
        <v>0.54940736358888798</v>
      </c>
      <c r="Y888" s="2">
        <v>0.21973921528360199</v>
      </c>
      <c r="Z888" s="7">
        <v>31.9668547693229</v>
      </c>
      <c r="AA888" s="2">
        <v>7.1595952510629903</v>
      </c>
      <c r="AB888" s="7">
        <v>0</v>
      </c>
      <c r="AC888" s="2">
        <v>0</v>
      </c>
      <c r="AD888" s="2">
        <v>247.816346900886</v>
      </c>
      <c r="AE888" s="2">
        <v>144.009570365352</v>
      </c>
      <c r="AF888" s="2">
        <v>132.18430019435499</v>
      </c>
      <c r="AG888" s="2">
        <v>228.94992389956101</v>
      </c>
      <c r="AH888" s="2">
        <v>124.40593245814399</v>
      </c>
      <c r="AI888" s="2">
        <v>107.886052221527</v>
      </c>
      <c r="AJ888" s="2">
        <v>0</v>
      </c>
      <c r="AK888" s="2">
        <v>0</v>
      </c>
      <c r="AL888" s="2">
        <v>151.80208378560101</v>
      </c>
      <c r="AM888" s="2">
        <v>81.718334621141906</v>
      </c>
      <c r="AN888"/>
      <c r="AO888"/>
    </row>
    <row r="889" spans="1:41" ht="15.75" hidden="1" customHeight="1" x14ac:dyDescent="0.45">
      <c r="A889" s="2" t="s">
        <v>180</v>
      </c>
      <c r="B889" s="2" t="s">
        <v>181</v>
      </c>
      <c r="C889" s="2">
        <v>3.0000000000000001E-3</v>
      </c>
      <c r="D889" s="2"/>
      <c r="E889" s="2" t="s">
        <v>83</v>
      </c>
      <c r="F889" s="2" t="s">
        <v>84</v>
      </c>
      <c r="H889" s="2">
        <v>23.5</v>
      </c>
      <c r="J889" s="2">
        <v>23.456808809999998</v>
      </c>
      <c r="K889" s="2">
        <v>48.062084190244398</v>
      </c>
      <c r="L889" s="2"/>
      <c r="M889" s="2">
        <v>3.7336763905703201</v>
      </c>
      <c r="N889" s="2">
        <v>369.05555555555497</v>
      </c>
      <c r="O889" s="2">
        <v>36.642542569067501</v>
      </c>
      <c r="P889" s="2">
        <v>18.304216847522198</v>
      </c>
      <c r="Q889" s="2">
        <v>1.6970598078300101</v>
      </c>
      <c r="R889" s="2">
        <v>5.1904819357333301</v>
      </c>
      <c r="S889" s="2">
        <v>0.62584818398468001</v>
      </c>
      <c r="T889" s="2">
        <v>3.2327047487716598</v>
      </c>
      <c r="U889" s="2">
        <v>1.1952392312604201</v>
      </c>
      <c r="V889" s="2">
        <v>0.35479148756166601</v>
      </c>
      <c r="W889" s="2">
        <v>0.13400190542030499</v>
      </c>
      <c r="X889" s="2">
        <v>3.4450575350788801</v>
      </c>
      <c r="Y889" s="2">
        <v>0.14340943736837</v>
      </c>
      <c r="Z889" s="7">
        <v>102.98426478567499</v>
      </c>
      <c r="AA889" s="2">
        <v>10.2250331949959</v>
      </c>
      <c r="AB889" s="7">
        <v>104.62352325257299</v>
      </c>
      <c r="AC889" s="2">
        <v>8.1276204569111794</v>
      </c>
      <c r="AD889" s="2">
        <v>73.269228855592203</v>
      </c>
      <c r="AE889" s="2">
        <v>27.0900882011194</v>
      </c>
      <c r="AF889" s="2">
        <v>94.999282577535993</v>
      </c>
      <c r="AG889" s="2">
        <v>8.8077772230307598</v>
      </c>
      <c r="AH889" s="2">
        <v>92.546145547180998</v>
      </c>
      <c r="AI889" s="2">
        <v>11.1588553515121</v>
      </c>
      <c r="AJ889" s="2">
        <v>87.9131715642758</v>
      </c>
      <c r="AK889" s="2">
        <v>33.2041013219281</v>
      </c>
      <c r="AL889" s="2">
        <v>102.430777219851</v>
      </c>
      <c r="AM889" s="2">
        <v>4.26394624203785</v>
      </c>
      <c r="AN889"/>
      <c r="AO889"/>
    </row>
    <row r="890" spans="1:41" ht="15.75" hidden="1" customHeight="1" x14ac:dyDescent="0.45">
      <c r="A890" s="2" t="s">
        <v>180</v>
      </c>
      <c r="B890" s="2" t="s">
        <v>181</v>
      </c>
      <c r="C890" s="2">
        <v>0.01</v>
      </c>
      <c r="D890" s="2"/>
      <c r="E890" s="2" t="s">
        <v>83</v>
      </c>
      <c r="F890" s="2" t="s">
        <v>84</v>
      </c>
      <c r="H890" s="2">
        <v>23.5</v>
      </c>
      <c r="J890" s="2">
        <v>23.456808809999998</v>
      </c>
      <c r="K890" s="2">
        <v>48.537402732966598</v>
      </c>
      <c r="L890" s="2"/>
      <c r="M890" s="2">
        <v>3.8665928739775701</v>
      </c>
      <c r="N890" s="2">
        <v>350.722222222222</v>
      </c>
      <c r="O890" s="2">
        <v>22.9252004312909</v>
      </c>
      <c r="P890" s="2">
        <v>18.494190384066599</v>
      </c>
      <c r="Q890" s="2">
        <v>0.45092708364616002</v>
      </c>
      <c r="R890" s="2">
        <v>5.2767013362477702</v>
      </c>
      <c r="S890" s="2">
        <v>1.3603210988963399</v>
      </c>
      <c r="T890" s="2">
        <v>4.1245301645083297</v>
      </c>
      <c r="U890" s="2">
        <v>3.3709018581479002</v>
      </c>
      <c r="V890" s="2">
        <v>0.36954000129333298</v>
      </c>
      <c r="W890" s="2">
        <v>9.0873321434132903E-2</v>
      </c>
      <c r="X890" s="2">
        <v>3.6395439281177699</v>
      </c>
      <c r="Y890" s="2">
        <v>0.49327565591508699</v>
      </c>
      <c r="Z890" s="7">
        <v>97.868382295946006</v>
      </c>
      <c r="AA890" s="2">
        <v>6.3972344432716302</v>
      </c>
      <c r="AB890" s="7">
        <v>105.65821622198401</v>
      </c>
      <c r="AC890" s="2">
        <v>8.4169585292545204</v>
      </c>
      <c r="AD890" s="2">
        <v>93.482445206288006</v>
      </c>
      <c r="AE890" s="2">
        <v>76.401465301842407</v>
      </c>
      <c r="AF890" s="2">
        <v>95.985249353977594</v>
      </c>
      <c r="AG890" s="2">
        <v>2.3403213476988798</v>
      </c>
      <c r="AH890" s="2">
        <v>94.083435010432495</v>
      </c>
      <c r="AI890" s="2">
        <v>24.254486571404598</v>
      </c>
      <c r="AJ890" s="2">
        <v>91.567680377102803</v>
      </c>
      <c r="AK890" s="2">
        <v>22.5173437862314</v>
      </c>
      <c r="AL890" s="2">
        <v>108.21337800222101</v>
      </c>
      <c r="AM890" s="2">
        <v>14.666404930696499</v>
      </c>
      <c r="AN890"/>
      <c r="AO890"/>
    </row>
    <row r="891" spans="1:41" ht="15.75" hidden="1" customHeight="1" x14ac:dyDescent="0.45">
      <c r="A891" s="2" t="s">
        <v>180</v>
      </c>
      <c r="B891" s="2" t="s">
        <v>181</v>
      </c>
      <c r="C891" s="2">
        <v>0.03</v>
      </c>
      <c r="D891" s="2"/>
      <c r="E891" s="2" t="s">
        <v>83</v>
      </c>
      <c r="F891" s="2" t="s">
        <v>84</v>
      </c>
      <c r="H891" s="2">
        <v>23.5</v>
      </c>
      <c r="J891" s="2">
        <v>23.456808809999998</v>
      </c>
      <c r="K891" s="2">
        <v>45.159668852222197</v>
      </c>
      <c r="L891" s="2"/>
      <c r="M891" s="2">
        <v>2.0395057293578698</v>
      </c>
      <c r="N891" s="2">
        <v>396.5</v>
      </c>
      <c r="O891" s="2">
        <v>24.182178929488099</v>
      </c>
      <c r="P891" s="2">
        <v>17.2291388436111</v>
      </c>
      <c r="Q891" s="2">
        <v>1.6272009761803801</v>
      </c>
      <c r="R891" s="2">
        <v>5.5476647531444403</v>
      </c>
      <c r="S891" s="2">
        <v>0.76352010705522699</v>
      </c>
      <c r="T891" s="2">
        <v>3.3768416076516599</v>
      </c>
      <c r="U891" s="2">
        <v>0.35448795562631902</v>
      </c>
      <c r="V891" s="2">
        <v>0.34345289202055501</v>
      </c>
      <c r="W891" s="2">
        <v>0.15942652487485601</v>
      </c>
      <c r="X891" s="2">
        <v>3.3147117097444401</v>
      </c>
      <c r="Y891" s="2">
        <v>0.41344484187025698</v>
      </c>
      <c r="Z891" s="7">
        <v>110.642585846058</v>
      </c>
      <c r="AA891" s="2">
        <v>6.7479919499385597</v>
      </c>
      <c r="AB891" s="7">
        <v>98.305426072180296</v>
      </c>
      <c r="AC891" s="2">
        <v>4.4396800241663499</v>
      </c>
      <c r="AD891" s="2">
        <v>76.536089679741906</v>
      </c>
      <c r="AE891" s="2">
        <v>8.0344668523176495</v>
      </c>
      <c r="AF891" s="2">
        <v>89.419604411721906</v>
      </c>
      <c r="AG891" s="2">
        <v>8.4452083710714891</v>
      </c>
      <c r="AH891" s="2">
        <v>98.914705040570396</v>
      </c>
      <c r="AI891" s="2">
        <v>13.6135418311111</v>
      </c>
      <c r="AJ891" s="2">
        <v>85.103600506203605</v>
      </c>
      <c r="AK891" s="2">
        <v>39.5040239819267</v>
      </c>
      <c r="AL891" s="2">
        <v>98.555247113192394</v>
      </c>
      <c r="AM891" s="2">
        <v>12.2928212545336</v>
      </c>
      <c r="AN891"/>
      <c r="AO891"/>
    </row>
    <row r="892" spans="1:41" ht="15.75" hidden="1" customHeight="1" x14ac:dyDescent="0.45">
      <c r="A892" s="2" t="s">
        <v>180</v>
      </c>
      <c r="B892" s="2" t="s">
        <v>181</v>
      </c>
      <c r="C892" s="2">
        <v>0.1</v>
      </c>
      <c r="D892" s="2"/>
      <c r="E892" s="2" t="s">
        <v>83</v>
      </c>
      <c r="F892" s="2" t="s">
        <v>84</v>
      </c>
      <c r="H892" s="2">
        <v>23.5</v>
      </c>
      <c r="J892" s="2">
        <v>23.456808809999998</v>
      </c>
      <c r="K892" s="2">
        <v>47.166797481833299</v>
      </c>
      <c r="L892" s="2"/>
      <c r="M892" s="2">
        <v>3.34153030159381</v>
      </c>
      <c r="N892" s="2">
        <v>376.888888888888</v>
      </c>
      <c r="O892" s="2">
        <v>10.0572435661156</v>
      </c>
      <c r="P892" s="2">
        <v>17.8417153457777</v>
      </c>
      <c r="Q892" s="2">
        <v>1.2875815248879701</v>
      </c>
      <c r="R892" s="2">
        <v>4.5408568918777696</v>
      </c>
      <c r="S892" s="2">
        <v>0.58236273442313902</v>
      </c>
      <c r="T892" s="2">
        <v>4.2147810831888801</v>
      </c>
      <c r="U892" s="2">
        <v>1.12657413111494</v>
      </c>
      <c r="V892" s="2">
        <v>0.35615326557722199</v>
      </c>
      <c r="W892" s="2">
        <v>0.16303072404961</v>
      </c>
      <c r="X892" s="2">
        <v>2.9708099831722201</v>
      </c>
      <c r="Y892" s="2">
        <v>0.34876178971397298</v>
      </c>
      <c r="Z892" s="7">
        <v>105.170141849469</v>
      </c>
      <c r="AA892" s="2">
        <v>2.80645506844558</v>
      </c>
      <c r="AB892" s="7">
        <v>102.674626292874</v>
      </c>
      <c r="AC892" s="2">
        <v>7.2739807084550101</v>
      </c>
      <c r="AD892" s="2">
        <v>95.527981600462397</v>
      </c>
      <c r="AE892" s="2">
        <v>25.533794221948199</v>
      </c>
      <c r="AF892" s="2">
        <v>92.598889748781701</v>
      </c>
      <c r="AG892" s="2">
        <v>6.6825760502834699</v>
      </c>
      <c r="AH892" s="2">
        <v>80.963349459238103</v>
      </c>
      <c r="AI892" s="2">
        <v>10.383511020458499</v>
      </c>
      <c r="AJ892" s="2">
        <v>88.250604193048204</v>
      </c>
      <c r="AK892" s="2">
        <v>40.397102287101397</v>
      </c>
      <c r="AL892" s="2">
        <v>88.330128727982398</v>
      </c>
      <c r="AM892" s="2">
        <v>10.369621064738</v>
      </c>
      <c r="AN892"/>
      <c r="AO892"/>
    </row>
    <row r="893" spans="1:41" ht="15.75" hidden="1" customHeight="1" x14ac:dyDescent="0.45">
      <c r="A893" s="2" t="s">
        <v>180</v>
      </c>
      <c r="B893" s="2" t="s">
        <v>181</v>
      </c>
      <c r="C893" s="2">
        <v>0.3</v>
      </c>
      <c r="D893" s="2"/>
      <c r="E893" s="2" t="s">
        <v>83</v>
      </c>
      <c r="F893" s="2" t="s">
        <v>84</v>
      </c>
      <c r="H893" s="2">
        <v>23.5</v>
      </c>
      <c r="J893" s="2">
        <v>23.456808809999998</v>
      </c>
      <c r="K893" s="2">
        <v>45.769311272722199</v>
      </c>
      <c r="L893" s="2"/>
      <c r="M893" s="2">
        <v>2.6233476255521402</v>
      </c>
      <c r="N893" s="2">
        <v>360.666666666666</v>
      </c>
      <c r="O893" s="2">
        <v>24.742563417002799</v>
      </c>
      <c r="P893" s="2">
        <v>19.330707782333299</v>
      </c>
      <c r="Q893" s="2">
        <v>2.6131830553711599</v>
      </c>
      <c r="R893" s="2">
        <v>6.6764450129277702</v>
      </c>
      <c r="S893" s="2">
        <v>3.9193124621973698</v>
      </c>
      <c r="T893" s="2">
        <v>3.58119311940666</v>
      </c>
      <c r="U893" s="2">
        <v>0.68544554111345501</v>
      </c>
      <c r="V893" s="2">
        <v>0.31884596976000001</v>
      </c>
      <c r="W893" s="2">
        <v>0.14457571106366099</v>
      </c>
      <c r="X893" s="2">
        <v>3.12531249555555</v>
      </c>
      <c r="Y893" s="2">
        <v>5.8746003452991302E-2</v>
      </c>
      <c r="Z893" s="7">
        <v>100.643360979769</v>
      </c>
      <c r="AA893" s="2">
        <v>6.9043661965126999</v>
      </c>
      <c r="AB893" s="7">
        <v>99.632520787933004</v>
      </c>
      <c r="AC893" s="2">
        <v>5.71061109657927</v>
      </c>
      <c r="AD893" s="2">
        <v>81.167715159134204</v>
      </c>
      <c r="AE893" s="2">
        <v>15.535618042127</v>
      </c>
      <c r="AF893" s="2">
        <v>100.326792800547</v>
      </c>
      <c r="AG893" s="2">
        <v>13.562476754510101</v>
      </c>
      <c r="AH893" s="2">
        <v>119.040825024443</v>
      </c>
      <c r="AI893" s="2">
        <v>69.881229924780101</v>
      </c>
      <c r="AJ893" s="2">
        <v>79.006293625398001</v>
      </c>
      <c r="AK893" s="2">
        <v>35.824166408608399</v>
      </c>
      <c r="AL893" s="2">
        <v>92.923901767967905</v>
      </c>
      <c r="AM893" s="2">
        <v>1.7466758482198099</v>
      </c>
      <c r="AN893"/>
      <c r="AO893"/>
    </row>
    <row r="894" spans="1:41" ht="15.75" hidden="1" customHeight="1" x14ac:dyDescent="0.45">
      <c r="A894" s="2" t="s">
        <v>180</v>
      </c>
      <c r="B894" s="2" t="s">
        <v>181</v>
      </c>
      <c r="C894" s="2">
        <v>1</v>
      </c>
      <c r="D894" s="2"/>
      <c r="E894" s="2" t="s">
        <v>83</v>
      </c>
      <c r="F894" s="2" t="s">
        <v>84</v>
      </c>
      <c r="H894" s="2">
        <v>23.5</v>
      </c>
      <c r="J894" s="2">
        <v>23.456808809999998</v>
      </c>
      <c r="K894" s="2">
        <v>44.202862731555498</v>
      </c>
      <c r="L894" s="2"/>
      <c r="M894" s="2">
        <v>1.67002701424585</v>
      </c>
      <c r="N894" s="2">
        <v>367.166666666666</v>
      </c>
      <c r="O894" s="2">
        <v>45.288887525897202</v>
      </c>
      <c r="P894" s="2">
        <v>17.355381548444399</v>
      </c>
      <c r="Q894" s="2">
        <v>0.84286478369401896</v>
      </c>
      <c r="R894" s="2">
        <v>5.41671812987222</v>
      </c>
      <c r="S894" s="2">
        <v>0.122079082957653</v>
      </c>
      <c r="T894" s="2">
        <v>3.9137991666744401</v>
      </c>
      <c r="U894" s="2">
        <v>0.39862562839740301</v>
      </c>
      <c r="V894" s="2">
        <v>0.31493016464333301</v>
      </c>
      <c r="W894" s="2">
        <v>0.10476043510264101</v>
      </c>
      <c r="X894" s="2">
        <v>4.0088101597555497</v>
      </c>
      <c r="Y894" s="2">
        <v>0.95528222350009295</v>
      </c>
      <c r="Z894" s="7">
        <v>102.457173862491</v>
      </c>
      <c r="AA894" s="2">
        <v>12.637779636712599</v>
      </c>
      <c r="AB894" s="7">
        <v>96.222611123549896</v>
      </c>
      <c r="AC894" s="2">
        <v>3.6353835481991399</v>
      </c>
      <c r="AD894" s="2">
        <v>88.706228722823099</v>
      </c>
      <c r="AE894" s="2">
        <v>9.0348468742316808</v>
      </c>
      <c r="AF894" s="2">
        <v>90.074806788841798</v>
      </c>
      <c r="AG894" s="2">
        <v>4.3744865146547296</v>
      </c>
      <c r="AH894" s="2">
        <v>96.579930465432398</v>
      </c>
      <c r="AI894" s="2">
        <v>2.1766665830942999</v>
      </c>
      <c r="AJ894" s="2">
        <v>78.036003020627106</v>
      </c>
      <c r="AK894" s="2">
        <v>25.958407761195101</v>
      </c>
      <c r="AL894" s="2">
        <v>119.192650981718</v>
      </c>
      <c r="AM894" s="2">
        <v>28.403096209881301</v>
      </c>
      <c r="AN894"/>
      <c r="AO894"/>
    </row>
    <row r="895" spans="1:41" ht="15.75" hidden="1" customHeight="1" x14ac:dyDescent="0.45">
      <c r="A895" s="2" t="s">
        <v>180</v>
      </c>
      <c r="B895" s="2" t="s">
        <v>181</v>
      </c>
      <c r="C895" s="2">
        <v>3</v>
      </c>
      <c r="D895" s="2"/>
      <c r="E895" s="2" t="s">
        <v>83</v>
      </c>
      <c r="F895" s="2" t="s">
        <v>84</v>
      </c>
      <c r="H895" s="2">
        <v>23.5</v>
      </c>
      <c r="J895" s="2">
        <v>23.456808809999998</v>
      </c>
      <c r="K895" s="2">
        <v>44.544683362833297</v>
      </c>
      <c r="L895" s="2"/>
      <c r="M895" s="2">
        <v>2.16838646919375</v>
      </c>
      <c r="N895" s="2">
        <v>327.77777777777698</v>
      </c>
      <c r="O895" s="2">
        <v>29.6855433078373</v>
      </c>
      <c r="P895" s="2">
        <v>19.8577528821111</v>
      </c>
      <c r="Q895" s="2">
        <v>1.27760670102843</v>
      </c>
      <c r="R895" s="2">
        <v>4.7933631442666602</v>
      </c>
      <c r="S895" s="2">
        <v>1.31579718375193</v>
      </c>
      <c r="T895" s="2">
        <v>4.0505897891061098</v>
      </c>
      <c r="U895" s="2">
        <v>1.1944526592032501</v>
      </c>
      <c r="V895" s="2">
        <v>0.43612534821944399</v>
      </c>
      <c r="W895" s="2">
        <v>0.183474814354392</v>
      </c>
      <c r="X895" s="2">
        <v>2.9991902694500001</v>
      </c>
      <c r="Y895" s="2">
        <v>0.37985275235814198</v>
      </c>
      <c r="Z895" s="7">
        <v>91.465777846678506</v>
      </c>
      <c r="AA895" s="2">
        <v>8.2836955203638905</v>
      </c>
      <c r="AB895" s="7">
        <v>96.966700344132605</v>
      </c>
      <c r="AC895" s="2">
        <v>4.7202329237795801</v>
      </c>
      <c r="AD895" s="2">
        <v>91.806587153036304</v>
      </c>
      <c r="AE895" s="2">
        <v>27.072260551350201</v>
      </c>
      <c r="AF895" s="2">
        <v>103.06216830347</v>
      </c>
      <c r="AG895" s="2">
        <v>6.6308064980329098</v>
      </c>
      <c r="AH895" s="2">
        <v>85.465528770233803</v>
      </c>
      <c r="AI895" s="2">
        <v>23.460626428492301</v>
      </c>
      <c r="AJ895" s="2">
        <v>108.066748796732</v>
      </c>
      <c r="AK895" s="2">
        <v>45.4629082081847</v>
      </c>
      <c r="AL895" s="2">
        <v>89.173950565950094</v>
      </c>
      <c r="AM895" s="2">
        <v>11.2940385630608</v>
      </c>
      <c r="AN895"/>
      <c r="AO895"/>
    </row>
    <row r="896" spans="1:41" ht="15.75" hidden="1" customHeight="1" x14ac:dyDescent="0.45">
      <c r="A896" s="2" t="s">
        <v>180</v>
      </c>
      <c r="B896" s="2" t="s">
        <v>181</v>
      </c>
      <c r="C896" s="2">
        <v>10</v>
      </c>
      <c r="D896" s="2"/>
      <c r="E896" s="2" t="s">
        <v>83</v>
      </c>
      <c r="F896" s="2" t="s">
        <v>84</v>
      </c>
      <c r="H896" s="2">
        <v>23.5</v>
      </c>
      <c r="J896" s="2">
        <v>23.456808809999998</v>
      </c>
      <c r="K896" s="2">
        <v>38.7550026027222</v>
      </c>
      <c r="L896" s="2"/>
      <c r="M896" s="2">
        <v>1.8741277185458201</v>
      </c>
      <c r="N896" s="2">
        <v>261.61111111111097</v>
      </c>
      <c r="O896" s="2">
        <v>5.2607913782893299</v>
      </c>
      <c r="P896" s="2">
        <v>23.2507918248888</v>
      </c>
      <c r="Q896" s="2">
        <v>0.56725304533139498</v>
      </c>
      <c r="R896" s="2">
        <v>8.0460292799555493</v>
      </c>
      <c r="S896" s="2">
        <v>2.9193676382828899</v>
      </c>
      <c r="T896" s="2">
        <v>3.1823469056238798</v>
      </c>
      <c r="U896" s="2">
        <v>1.3361743748453101</v>
      </c>
      <c r="V896" s="2">
        <v>0.292036959905</v>
      </c>
      <c r="W896" s="2">
        <v>0.148942000293046</v>
      </c>
      <c r="X896" s="2">
        <v>3.3923641645833298</v>
      </c>
      <c r="Y896" s="2">
        <v>0.29467599347204698</v>
      </c>
      <c r="Z896" s="7">
        <v>73.002092861018497</v>
      </c>
      <c r="AA896" s="2">
        <v>1.46801402696237</v>
      </c>
      <c r="AB896" s="7">
        <v>84.3634849439687</v>
      </c>
      <c r="AC896" s="2">
        <v>4.0796783627492097</v>
      </c>
      <c r="AD896" s="2">
        <v>72.127868718799405</v>
      </c>
      <c r="AE896" s="2">
        <v>30.284382172148199</v>
      </c>
      <c r="AF896" s="2">
        <v>120.67211403382601</v>
      </c>
      <c r="AG896" s="2">
        <v>2.94405561272072</v>
      </c>
      <c r="AH896" s="2">
        <v>143.460473620633</v>
      </c>
      <c r="AI896" s="2">
        <v>52.052242104583499</v>
      </c>
      <c r="AJ896" s="2">
        <v>72.363335252724795</v>
      </c>
      <c r="AK896" s="2">
        <v>36.906081695697701</v>
      </c>
      <c r="AL896" s="2">
        <v>100.86406234231001</v>
      </c>
      <c r="AM896" s="2">
        <v>8.7615056445443091</v>
      </c>
      <c r="AN896"/>
      <c r="AO896"/>
    </row>
    <row r="897" spans="1:41" ht="15.75" hidden="1" customHeight="1" x14ac:dyDescent="0.45">
      <c r="A897" s="2" t="s">
        <v>182</v>
      </c>
      <c r="B897" s="2" t="s">
        <v>183</v>
      </c>
      <c r="C897" s="2">
        <v>3.0000000000000001E-3</v>
      </c>
      <c r="D897" s="2"/>
      <c r="E897" s="2" t="s">
        <v>109</v>
      </c>
      <c r="F897" s="2" t="s">
        <v>84</v>
      </c>
      <c r="H897" s="2">
        <v>1.4</v>
      </c>
      <c r="J897" s="2">
        <v>1.4</v>
      </c>
      <c r="K897" s="2">
        <v>29.2222222222222</v>
      </c>
      <c r="L897" s="2"/>
      <c r="M897" s="2">
        <v>1.3574213025411801</v>
      </c>
      <c r="N897" s="2">
        <v>116.055555555555</v>
      </c>
      <c r="O897" s="2">
        <v>10.3095604676938</v>
      </c>
      <c r="P897" s="2">
        <v>19.7777777777777</v>
      </c>
      <c r="Q897" s="2">
        <v>0.976577546180323</v>
      </c>
      <c r="R897" s="2">
        <v>2.4444444444444402</v>
      </c>
      <c r="S897" s="2">
        <v>0.25458753860865702</v>
      </c>
      <c r="T897" s="2">
        <v>3.9444444444444402</v>
      </c>
      <c r="U897" s="2">
        <v>0.50917507721731203</v>
      </c>
      <c r="V897" s="2">
        <v>0.61111111111111105</v>
      </c>
      <c r="W897" s="2">
        <v>9.6225044864937798E-2</v>
      </c>
      <c r="X897" s="2">
        <v>2.1666666666666599</v>
      </c>
      <c r="Y897" s="2">
        <v>0.28867513459480898</v>
      </c>
      <c r="Z897" s="7">
        <v>80.835832446551194</v>
      </c>
      <c r="AA897" s="2">
        <v>7.1808876238169601</v>
      </c>
      <c r="AB897" s="7">
        <v>82.1875</v>
      </c>
      <c r="AC897" s="2">
        <v>3.8177474133970799</v>
      </c>
      <c r="AD897" s="2">
        <v>80.681818181818201</v>
      </c>
      <c r="AE897" s="2">
        <v>10.4149447612632</v>
      </c>
      <c r="AF897" s="2">
        <v>117.88079470198601</v>
      </c>
      <c r="AG897" s="2">
        <v>5.82066087127345</v>
      </c>
      <c r="AH897" s="2">
        <v>104.76190476190401</v>
      </c>
      <c r="AI897" s="2">
        <v>10.910894511799601</v>
      </c>
      <c r="AJ897" s="2">
        <v>100</v>
      </c>
      <c r="AK897" s="2">
        <v>15.7459164324443</v>
      </c>
      <c r="AL897" s="2">
        <v>96.296296296296305</v>
      </c>
      <c r="AM897" s="2">
        <v>12.8300059819915</v>
      </c>
      <c r="AN897"/>
      <c r="AO897"/>
    </row>
    <row r="898" spans="1:41" ht="15.75" hidden="1" customHeight="1" x14ac:dyDescent="0.45">
      <c r="A898" s="2" t="s">
        <v>182</v>
      </c>
      <c r="B898" s="2" t="s">
        <v>183</v>
      </c>
      <c r="C898" s="2">
        <v>0.01</v>
      </c>
      <c r="D898" s="2"/>
      <c r="E898" s="2" t="s">
        <v>109</v>
      </c>
      <c r="F898" s="2" t="s">
        <v>84</v>
      </c>
      <c r="H898" s="2">
        <v>1.4</v>
      </c>
      <c r="J898" s="2">
        <v>1.4</v>
      </c>
      <c r="K898" s="2">
        <v>29.2777777777777</v>
      </c>
      <c r="L898" s="2"/>
      <c r="M898" s="2">
        <v>1.2285191326386999</v>
      </c>
      <c r="N898" s="2">
        <v>138.888888888888</v>
      </c>
      <c r="O898" s="2">
        <v>2.50185116648762</v>
      </c>
      <c r="P898" s="2">
        <v>18.1111111111111</v>
      </c>
      <c r="Q898" s="2">
        <v>4.8942521087193498</v>
      </c>
      <c r="R898" s="2">
        <v>1.3333333333333299</v>
      </c>
      <c r="S898" s="2">
        <v>0.33333333333333398</v>
      </c>
      <c r="T898" s="2">
        <v>4.9444444444444402</v>
      </c>
      <c r="U898" s="2">
        <v>2.4400212506664101</v>
      </c>
      <c r="V898" s="2">
        <v>0.61111111111111105</v>
      </c>
      <c r="W898" s="2">
        <v>9.6225044864937798E-2</v>
      </c>
      <c r="X898" s="2">
        <v>2.3333333333333299</v>
      </c>
      <c r="Y898" s="2">
        <v>0.33333333333333198</v>
      </c>
      <c r="Z898" s="7">
        <v>96.739866498984199</v>
      </c>
      <c r="AA898" s="2">
        <v>1.74260698449365</v>
      </c>
      <c r="AB898" s="7">
        <v>82.34375</v>
      </c>
      <c r="AC898" s="2">
        <v>3.4552100605463498</v>
      </c>
      <c r="AD898" s="2">
        <v>101.136363636363</v>
      </c>
      <c r="AE898" s="2">
        <v>49.909525581813</v>
      </c>
      <c r="AF898" s="2">
        <v>107.947019867549</v>
      </c>
      <c r="AG898" s="2">
        <v>29.1710390585921</v>
      </c>
      <c r="AH898" s="2">
        <v>57.142857142857103</v>
      </c>
      <c r="AI898" s="2">
        <v>14.285714285714301</v>
      </c>
      <c r="AJ898" s="2">
        <v>99.999999999999901</v>
      </c>
      <c r="AK898" s="2">
        <v>15.7459164324443</v>
      </c>
      <c r="AL898" s="2">
        <v>103.703703703703</v>
      </c>
      <c r="AM898" s="2">
        <v>14.814814814814699</v>
      </c>
      <c r="AN898"/>
      <c r="AO898"/>
    </row>
    <row r="899" spans="1:41" ht="15.75" hidden="1" customHeight="1" x14ac:dyDescent="0.45">
      <c r="A899" s="2" t="s">
        <v>182</v>
      </c>
      <c r="B899" s="2" t="s">
        <v>183</v>
      </c>
      <c r="C899" s="2">
        <v>0.03</v>
      </c>
      <c r="D899" s="2"/>
      <c r="E899" s="2" t="s">
        <v>109</v>
      </c>
      <c r="F899" s="2" t="s">
        <v>84</v>
      </c>
      <c r="H899" s="2">
        <v>1.4</v>
      </c>
      <c r="J899" s="2">
        <v>1.4</v>
      </c>
      <c r="K899" s="2">
        <v>30.25</v>
      </c>
      <c r="L899" s="2"/>
      <c r="M899" s="2">
        <v>2.9462782549439601</v>
      </c>
      <c r="N899" s="2">
        <v>123.25</v>
      </c>
      <c r="O899" s="2">
        <v>6.4818121608768102</v>
      </c>
      <c r="P899" s="2">
        <v>14.5833333333333</v>
      </c>
      <c r="Q899" s="2">
        <v>0.58925565098879495</v>
      </c>
      <c r="R899" s="2">
        <v>2.0833333333333299</v>
      </c>
      <c r="S899" s="2">
        <v>0.58925565098878896</v>
      </c>
      <c r="T899" s="2">
        <v>6.75</v>
      </c>
      <c r="U899" s="2">
        <v>2.4748737341529101</v>
      </c>
      <c r="V899" s="2">
        <v>0.41666666666666602</v>
      </c>
      <c r="W899" s="2">
        <v>0.117851130197757</v>
      </c>
      <c r="X899" s="2">
        <v>3.3333333333333299</v>
      </c>
      <c r="Y899" s="2">
        <v>0.23570226039551101</v>
      </c>
      <c r="Z899" s="7">
        <v>85.846957531198598</v>
      </c>
      <c r="AA899" s="2">
        <v>4.5147574304259397</v>
      </c>
      <c r="AB899" s="7">
        <v>85.078125</v>
      </c>
      <c r="AC899" s="2">
        <v>8.2864075920298994</v>
      </c>
      <c r="AD899" s="2">
        <v>138.06818181818099</v>
      </c>
      <c r="AE899" s="2">
        <v>50.622417289491402</v>
      </c>
      <c r="AF899" s="2">
        <v>86.920529801324406</v>
      </c>
      <c r="AG899" s="2">
        <v>3.5121197741054</v>
      </c>
      <c r="AH899" s="2">
        <v>89.285714285714207</v>
      </c>
      <c r="AI899" s="2">
        <v>25.2538136138052</v>
      </c>
      <c r="AJ899" s="2">
        <v>68.181818181818102</v>
      </c>
      <c r="AK899" s="2">
        <v>19.2847303959967</v>
      </c>
      <c r="AL899" s="2">
        <v>148.14814814814801</v>
      </c>
      <c r="AM899" s="2">
        <v>10.475656017578199</v>
      </c>
      <c r="AN899"/>
      <c r="AO899"/>
    </row>
    <row r="900" spans="1:41" ht="15.75" hidden="1" customHeight="1" x14ac:dyDescent="0.45">
      <c r="A900" s="2" t="s">
        <v>182</v>
      </c>
      <c r="B900" s="2" t="s">
        <v>183</v>
      </c>
      <c r="C900" s="2">
        <v>0.1</v>
      </c>
      <c r="D900" s="2"/>
      <c r="E900" s="2" t="s">
        <v>109</v>
      </c>
      <c r="F900" s="2" t="s">
        <v>84</v>
      </c>
      <c r="H900" s="2">
        <v>1.4</v>
      </c>
      <c r="J900" s="2">
        <v>1.4</v>
      </c>
      <c r="K900" s="2">
        <v>32.6666666666666</v>
      </c>
      <c r="L900" s="2"/>
      <c r="M900" s="2">
        <v>3.2998316455371901</v>
      </c>
      <c r="N900" s="2">
        <v>120.166666666666</v>
      </c>
      <c r="O900" s="2">
        <v>15.7920514464993</v>
      </c>
      <c r="P900" s="2">
        <v>13.75</v>
      </c>
      <c r="Q900" s="2">
        <v>1.0606601717798201</v>
      </c>
      <c r="R900" s="2">
        <v>1.6666666666666601</v>
      </c>
      <c r="S900" s="2">
        <v>0</v>
      </c>
      <c r="T900" s="2">
        <v>2.75</v>
      </c>
      <c r="U900" s="2">
        <v>1.29636243217533</v>
      </c>
      <c r="V900" s="2">
        <v>0.58333333333333304</v>
      </c>
      <c r="W900" s="2">
        <v>0.35355339059327301</v>
      </c>
      <c r="X900" s="2">
        <v>2.25</v>
      </c>
      <c r="Y900" s="2">
        <v>1.76776695296636</v>
      </c>
      <c r="Z900" s="7">
        <v>83.699332494921094</v>
      </c>
      <c r="AA900" s="2">
        <v>10.999590830491901</v>
      </c>
      <c r="AB900" s="7">
        <v>91.875</v>
      </c>
      <c r="AC900" s="2">
        <v>9.2807765030733496</v>
      </c>
      <c r="AD900" s="2">
        <v>56.25</v>
      </c>
      <c r="AE900" s="2">
        <v>26.516504294495501</v>
      </c>
      <c r="AF900" s="2">
        <v>81.953642384105905</v>
      </c>
      <c r="AG900" s="2">
        <v>6.32181559338966</v>
      </c>
      <c r="AH900" s="2">
        <v>71.428571428571402</v>
      </c>
      <c r="AI900" s="2">
        <v>0</v>
      </c>
      <c r="AJ900" s="2">
        <v>95.454545454545396</v>
      </c>
      <c r="AK900" s="2">
        <v>57.854191187990203</v>
      </c>
      <c r="AL900" s="2">
        <v>100</v>
      </c>
      <c r="AM900" s="2">
        <v>78.567420131838603</v>
      </c>
      <c r="AN900"/>
      <c r="AO900"/>
    </row>
    <row r="901" spans="1:41" ht="15.75" hidden="1" customHeight="1" x14ac:dyDescent="0.45">
      <c r="A901" s="2" t="s">
        <v>182</v>
      </c>
      <c r="B901" s="2" t="s">
        <v>183</v>
      </c>
      <c r="C901" s="2">
        <v>0.3</v>
      </c>
      <c r="D901" s="2"/>
      <c r="E901" s="2" t="s">
        <v>109</v>
      </c>
      <c r="F901" s="2" t="s">
        <v>84</v>
      </c>
      <c r="H901" s="2">
        <v>1.4</v>
      </c>
      <c r="J901" s="2">
        <v>1.4</v>
      </c>
      <c r="K901" s="2">
        <v>25.1666666666666</v>
      </c>
      <c r="L901" s="2"/>
      <c r="M901" s="2">
        <v>2.0883273476902899</v>
      </c>
      <c r="N901" s="2">
        <v>89.6111111111111</v>
      </c>
      <c r="O901" s="2">
        <v>22.804929616528401</v>
      </c>
      <c r="P901" s="2">
        <v>14.1111111111111</v>
      </c>
      <c r="Q901" s="2">
        <v>3.3761143564974399</v>
      </c>
      <c r="R901" s="2">
        <v>0.61111111111111105</v>
      </c>
      <c r="S901" s="2">
        <v>0.53575837561071904</v>
      </c>
      <c r="T901" s="2">
        <v>5.1666666666666599</v>
      </c>
      <c r="U901" s="2">
        <v>3.9686269665968799</v>
      </c>
      <c r="V901" s="2">
        <v>0.44444444444444398</v>
      </c>
      <c r="W901" s="2">
        <v>0.50917507721731503</v>
      </c>
      <c r="X901" s="2">
        <v>2.4444444444444402</v>
      </c>
      <c r="Y901" s="2">
        <v>1.2619796324000601</v>
      </c>
      <c r="Z901" s="7">
        <v>62.416561865144601</v>
      </c>
      <c r="AA901" s="2">
        <v>15.8842500956761</v>
      </c>
      <c r="AB901" s="7">
        <v>70.78125</v>
      </c>
      <c r="AC901" s="2">
        <v>5.8734206653789602</v>
      </c>
      <c r="AD901" s="2">
        <v>105.681818181818</v>
      </c>
      <c r="AE901" s="2">
        <v>81.176460680390804</v>
      </c>
      <c r="AF901" s="2">
        <v>84.105960264900602</v>
      </c>
      <c r="AG901" s="2">
        <v>20.122535899653599</v>
      </c>
      <c r="AH901" s="2">
        <v>26.190476190476101</v>
      </c>
      <c r="AI901" s="2">
        <v>22.961073240459399</v>
      </c>
      <c r="AJ901" s="2">
        <v>72.727272727272705</v>
      </c>
      <c r="AK901" s="2">
        <v>83.319558090106099</v>
      </c>
      <c r="AL901" s="2">
        <v>108.64197530864099</v>
      </c>
      <c r="AM901" s="2">
        <v>56.0879836622249</v>
      </c>
      <c r="AN901"/>
      <c r="AO901"/>
    </row>
    <row r="902" spans="1:41" ht="15.75" hidden="1" customHeight="1" x14ac:dyDescent="0.45">
      <c r="A902" s="2" t="s">
        <v>182</v>
      </c>
      <c r="B902" s="2" t="s">
        <v>183</v>
      </c>
      <c r="C902" s="2">
        <v>1</v>
      </c>
      <c r="D902" s="2"/>
      <c r="E902" s="2" t="s">
        <v>109</v>
      </c>
      <c r="F902" s="2" t="s">
        <v>84</v>
      </c>
      <c r="H902" s="2">
        <v>1.4</v>
      </c>
      <c r="J902" s="2">
        <v>1.4</v>
      </c>
      <c r="K902" s="2">
        <v>22.4444444444444</v>
      </c>
      <c r="L902" s="2"/>
      <c r="M902" s="2">
        <v>3.3096380019125302</v>
      </c>
      <c r="N902" s="2">
        <v>95.8333333333333</v>
      </c>
      <c r="O902" s="2">
        <v>4.1932485418031096</v>
      </c>
      <c r="P902" s="2">
        <v>13.5555555555555</v>
      </c>
      <c r="Q902" s="2">
        <v>3.3347219329908699</v>
      </c>
      <c r="R902" s="2">
        <v>1.1666666666666601</v>
      </c>
      <c r="S902" s="2">
        <v>0.16666666666666699</v>
      </c>
      <c r="T902" s="2">
        <v>4</v>
      </c>
      <c r="U902" s="2">
        <v>1.0408329997330601</v>
      </c>
      <c r="V902" s="2">
        <v>0.5</v>
      </c>
      <c r="W902" s="2">
        <v>0.16666666666666599</v>
      </c>
      <c r="X902" s="2">
        <v>2.7222222222222201</v>
      </c>
      <c r="Y902" s="2">
        <v>0.85526690657448001</v>
      </c>
      <c r="Z902" s="7">
        <v>66.750507884299097</v>
      </c>
      <c r="AA902" s="2">
        <v>2.9207109897438701</v>
      </c>
      <c r="AB902" s="7">
        <v>63.125</v>
      </c>
      <c r="AC902" s="2">
        <v>9.3083568803789998</v>
      </c>
      <c r="AD902" s="2">
        <v>81.818181818181799</v>
      </c>
      <c r="AE902" s="2">
        <v>21.289765903630901</v>
      </c>
      <c r="AF902" s="2">
        <v>80.794701986754902</v>
      </c>
      <c r="AG902" s="2">
        <v>19.875826090674</v>
      </c>
      <c r="AH902" s="2">
        <v>50</v>
      </c>
      <c r="AI902" s="2">
        <v>7.1428571428571797</v>
      </c>
      <c r="AJ902" s="2">
        <v>81.818181818181799</v>
      </c>
      <c r="AK902" s="2">
        <v>27.272727272727199</v>
      </c>
      <c r="AL902" s="2">
        <v>120.98765432098701</v>
      </c>
      <c r="AM902" s="2">
        <v>38.011862514421303</v>
      </c>
      <c r="AN902"/>
      <c r="AO902"/>
    </row>
    <row r="903" spans="1:41" ht="15.75" hidden="1" customHeight="1" x14ac:dyDescent="0.45">
      <c r="A903" s="2" t="s">
        <v>182</v>
      </c>
      <c r="B903" s="2" t="s">
        <v>183</v>
      </c>
      <c r="C903" s="2">
        <v>3</v>
      </c>
      <c r="D903" s="2"/>
      <c r="E903" s="2" t="s">
        <v>109</v>
      </c>
      <c r="F903" s="2" t="s">
        <v>84</v>
      </c>
      <c r="H903" s="2">
        <v>1.4</v>
      </c>
      <c r="J903" s="2">
        <v>1.4</v>
      </c>
      <c r="K903" s="2">
        <v>17.2222222222222</v>
      </c>
      <c r="L903" s="2"/>
      <c r="M903" s="2">
        <v>2.0161385901804398</v>
      </c>
      <c r="N903" s="2">
        <v>73.8333333333333</v>
      </c>
      <c r="O903" s="2">
        <v>7.3105707331537602</v>
      </c>
      <c r="P903" s="2">
        <v>13.6111111111111</v>
      </c>
      <c r="Q903" s="2">
        <v>2.6787918780535902</v>
      </c>
      <c r="R903" s="2">
        <v>1</v>
      </c>
      <c r="S903" s="2">
        <v>0.600925212577331</v>
      </c>
      <c r="T903" s="2">
        <v>3.38888888888888</v>
      </c>
      <c r="U903" s="2">
        <v>1.2619796324000601</v>
      </c>
      <c r="V903" s="2">
        <v>0.33333333333333298</v>
      </c>
      <c r="W903" s="2">
        <v>0.28867513459481298</v>
      </c>
      <c r="X903" s="2">
        <v>2.6111111111111098</v>
      </c>
      <c r="Y903" s="2">
        <v>0.53575837561072204</v>
      </c>
      <c r="Z903" s="7">
        <v>51.42691303086</v>
      </c>
      <c r="AA903" s="2">
        <v>5.0920101846480597</v>
      </c>
      <c r="AB903" s="7">
        <v>48.4375</v>
      </c>
      <c r="AC903" s="2">
        <v>5.6703897848824898</v>
      </c>
      <c r="AD903" s="2">
        <v>69.318181818181799</v>
      </c>
      <c r="AE903" s="2">
        <v>25.8132197536376</v>
      </c>
      <c r="AF903" s="2">
        <v>81.125827814569504</v>
      </c>
      <c r="AG903" s="2">
        <v>15.966309206941901</v>
      </c>
      <c r="AH903" s="2">
        <v>42.857142857142797</v>
      </c>
      <c r="AI903" s="2">
        <v>25.753937681885599</v>
      </c>
      <c r="AJ903" s="2">
        <v>54.545454545454497</v>
      </c>
      <c r="AK903" s="2">
        <v>47.237749297333004</v>
      </c>
      <c r="AL903" s="2">
        <v>116.049382716049</v>
      </c>
      <c r="AM903" s="2">
        <v>23.811483360476501</v>
      </c>
      <c r="AN903"/>
      <c r="AO903"/>
    </row>
    <row r="904" spans="1:41" ht="15.75" hidden="1" customHeight="1" x14ac:dyDescent="0.45">
      <c r="A904" s="2" t="s">
        <v>182</v>
      </c>
      <c r="B904" s="2" t="s">
        <v>183</v>
      </c>
      <c r="C904" s="2">
        <v>10</v>
      </c>
      <c r="D904" s="2"/>
      <c r="E904" s="2" t="s">
        <v>109</v>
      </c>
      <c r="F904" s="2" t="s">
        <v>84</v>
      </c>
      <c r="H904" s="2">
        <v>1.4</v>
      </c>
      <c r="J904" s="2">
        <v>1.4</v>
      </c>
      <c r="K904" s="2">
        <v>12.3333333333333</v>
      </c>
      <c r="L904" s="2"/>
      <c r="M904" s="2">
        <v>4.9074772881118198</v>
      </c>
      <c r="N904" s="2">
        <v>57.0555555555555</v>
      </c>
      <c r="O904" s="2">
        <v>37.032393227391402</v>
      </c>
      <c r="P904" s="2">
        <v>6.1666666666666599</v>
      </c>
      <c r="Q904" s="2">
        <v>1.99999999999999</v>
      </c>
      <c r="R904" s="2">
        <v>0.38888888888888801</v>
      </c>
      <c r="S904" s="2">
        <v>0.25458753860865702</v>
      </c>
      <c r="T904" s="2">
        <v>19.0555555555555</v>
      </c>
      <c r="U904" s="2">
        <v>6.5517879945802502</v>
      </c>
      <c r="V904" s="2">
        <v>0.16666666666666599</v>
      </c>
      <c r="W904" s="2">
        <v>0.28867513459481198</v>
      </c>
      <c r="X904" s="2">
        <v>5.3888888888888804</v>
      </c>
      <c r="Y904" s="2">
        <v>0.25458753860866101</v>
      </c>
      <c r="Z904" s="7">
        <v>39.740737157782704</v>
      </c>
      <c r="AA904" s="2">
        <v>25.7940631940813</v>
      </c>
      <c r="AB904" s="7">
        <v>34.6875</v>
      </c>
      <c r="AC904" s="2">
        <v>13.8022798728145</v>
      </c>
      <c r="AD904" s="2">
        <v>389.77272727272702</v>
      </c>
      <c r="AE904" s="2">
        <v>134.013845343687</v>
      </c>
      <c r="AF904" s="2">
        <v>36.754966887417197</v>
      </c>
      <c r="AG904" s="2">
        <v>11.920529801324401</v>
      </c>
      <c r="AH904" s="2">
        <v>16.6666666666666</v>
      </c>
      <c r="AI904" s="2">
        <v>10.910894511799601</v>
      </c>
      <c r="AJ904" s="2">
        <v>27.272727272727199</v>
      </c>
      <c r="AK904" s="2">
        <v>47.237749297333004</v>
      </c>
      <c r="AL904" s="2">
        <v>239.50617283950601</v>
      </c>
      <c r="AM904" s="2">
        <v>11.3150017159405</v>
      </c>
      <c r="AN904"/>
      <c r="AO904"/>
    </row>
    <row r="905" spans="1:41" ht="15.75" hidden="1" customHeight="1" x14ac:dyDescent="0.45">
      <c r="A905" s="2" t="s">
        <v>182</v>
      </c>
      <c r="B905" s="2" t="s">
        <v>183</v>
      </c>
      <c r="C905" s="2">
        <v>3.0000000000000001E-3</v>
      </c>
      <c r="D905" s="2"/>
      <c r="E905" s="2" t="s">
        <v>109</v>
      </c>
      <c r="F905" s="2" t="s">
        <v>84</v>
      </c>
      <c r="H905" s="2">
        <v>10</v>
      </c>
      <c r="J905" s="2">
        <v>10</v>
      </c>
      <c r="K905" s="2">
        <v>32</v>
      </c>
      <c r="L905" s="2"/>
      <c r="M905" s="2">
        <v>5.2041649986652798</v>
      </c>
      <c r="N905" s="2">
        <v>229.777777777777</v>
      </c>
      <c r="O905" s="2">
        <v>26.903290449999499</v>
      </c>
      <c r="P905" s="2">
        <v>13.6111111111111</v>
      </c>
      <c r="Q905" s="2">
        <v>1.0844011831079201</v>
      </c>
      <c r="R905" s="2">
        <v>1.7777777777777699</v>
      </c>
      <c r="S905" s="2">
        <v>0.25458753860865602</v>
      </c>
      <c r="T905" s="2">
        <v>9.2222222222222197</v>
      </c>
      <c r="U905" s="2">
        <v>2.7755546659548398</v>
      </c>
      <c r="V905" s="2">
        <v>0.5</v>
      </c>
      <c r="W905" s="2">
        <v>0.16666666666666599</v>
      </c>
      <c r="X905" s="2">
        <v>3.9444444444444402</v>
      </c>
      <c r="Y905" s="2">
        <v>0.58531409738070905</v>
      </c>
      <c r="Z905" s="7">
        <v>96.958330891402397</v>
      </c>
      <c r="AA905" s="2">
        <v>11.352264621695801</v>
      </c>
      <c r="AB905" s="7">
        <v>91.356066613798504</v>
      </c>
      <c r="AC905" s="2">
        <v>14.857251383976999</v>
      </c>
      <c r="AD905" s="2">
        <v>115.67944250871</v>
      </c>
      <c r="AE905" s="2">
        <v>34.815319851698298</v>
      </c>
      <c r="AF905" s="2">
        <v>98</v>
      </c>
      <c r="AG905" s="2">
        <v>7.8076885183770504</v>
      </c>
      <c r="AH905" s="2">
        <v>97.709923664122101</v>
      </c>
      <c r="AI905" s="2">
        <v>13.992597541849801</v>
      </c>
      <c r="AJ905" s="2">
        <v>76.595744680850999</v>
      </c>
      <c r="AK905" s="2">
        <v>25.5319148936169</v>
      </c>
      <c r="AL905" s="2">
        <v>103.272727272727</v>
      </c>
      <c r="AM905" s="2">
        <v>15.3245872768767</v>
      </c>
      <c r="AN905"/>
      <c r="AO905"/>
    </row>
    <row r="906" spans="1:41" ht="15.75" hidden="1" customHeight="1" x14ac:dyDescent="0.45">
      <c r="A906" s="2" t="s">
        <v>182</v>
      </c>
      <c r="B906" s="2" t="s">
        <v>183</v>
      </c>
      <c r="C906" s="2">
        <v>0.01</v>
      </c>
      <c r="D906" s="2"/>
      <c r="E906" s="2" t="s">
        <v>109</v>
      </c>
      <c r="F906" s="2" t="s">
        <v>84</v>
      </c>
      <c r="H906" s="2">
        <v>10</v>
      </c>
      <c r="J906" s="2">
        <v>10</v>
      </c>
      <c r="K906" s="2">
        <v>33.1666666666666</v>
      </c>
      <c r="L906" s="2"/>
      <c r="M906" s="2">
        <v>2.6457513110645401</v>
      </c>
      <c r="N906" s="2">
        <v>221.055555555555</v>
      </c>
      <c r="O906" s="2">
        <v>18.522008930318599</v>
      </c>
      <c r="P906" s="2">
        <v>14.7777777777777</v>
      </c>
      <c r="Q906" s="2">
        <v>1.3574213025411801</v>
      </c>
      <c r="R906" s="2">
        <v>1.7222222222222201</v>
      </c>
      <c r="S906" s="2">
        <v>0.34694433324435497</v>
      </c>
      <c r="T906" s="2">
        <v>8.6111111111111107</v>
      </c>
      <c r="U906" s="2">
        <v>1.22851913263866</v>
      </c>
      <c r="V906" s="2">
        <v>0.61111111111111105</v>
      </c>
      <c r="W906" s="2">
        <v>9.6225044864937201E-2</v>
      </c>
      <c r="X906" s="2">
        <v>4.1111111111111098</v>
      </c>
      <c r="Y906" s="2">
        <v>0.48112522432469401</v>
      </c>
      <c r="Z906" s="7">
        <v>93.277852663658194</v>
      </c>
      <c r="AA906" s="2">
        <v>7.81565166138979</v>
      </c>
      <c r="AB906" s="7">
        <v>94.686756542426593</v>
      </c>
      <c r="AC906" s="2">
        <v>7.55329478178618</v>
      </c>
      <c r="AD906" s="2">
        <v>108.01393728222899</v>
      </c>
      <c r="AE906" s="2">
        <v>15.409996088847301</v>
      </c>
      <c r="AF906" s="2">
        <v>106.399999999999</v>
      </c>
      <c r="AG906" s="2">
        <v>9.7734333782965308</v>
      </c>
      <c r="AH906" s="2">
        <v>94.656488549618302</v>
      </c>
      <c r="AI906" s="2">
        <v>19.068696178315701</v>
      </c>
      <c r="AJ906" s="2">
        <v>93.617021276595693</v>
      </c>
      <c r="AK906" s="2">
        <v>14.740857936756299</v>
      </c>
      <c r="AL906" s="2">
        <v>107.636363636363</v>
      </c>
      <c r="AM906" s="2">
        <v>12.5967331459556</v>
      </c>
      <c r="AN906"/>
      <c r="AO906"/>
    </row>
    <row r="907" spans="1:41" ht="15.75" hidden="1" customHeight="1" x14ac:dyDescent="0.45">
      <c r="A907" s="2" t="s">
        <v>182</v>
      </c>
      <c r="B907" s="2" t="s">
        <v>183</v>
      </c>
      <c r="C907" s="2">
        <v>0.03</v>
      </c>
      <c r="D907" s="2"/>
      <c r="E907" s="2" t="s">
        <v>109</v>
      </c>
      <c r="F907" s="2" t="s">
        <v>84</v>
      </c>
      <c r="H907" s="2">
        <v>10</v>
      </c>
      <c r="J907" s="2">
        <v>10</v>
      </c>
      <c r="K907" s="2">
        <v>29.8888888888888</v>
      </c>
      <c r="L907" s="2"/>
      <c r="M907" s="2">
        <v>3.6298658275376501</v>
      </c>
      <c r="N907" s="2">
        <v>187.166666666666</v>
      </c>
      <c r="O907" s="2">
        <v>7.0059498523291097</v>
      </c>
      <c r="P907" s="2">
        <v>14.4444444444444</v>
      </c>
      <c r="Q907" s="2">
        <v>1.5122952876462501</v>
      </c>
      <c r="R907" s="2">
        <v>1.8333333333333299</v>
      </c>
      <c r="S907" s="2">
        <v>0.5</v>
      </c>
      <c r="T907" s="2">
        <v>7.8888888888888804</v>
      </c>
      <c r="U907" s="2">
        <v>1.0584754935143099</v>
      </c>
      <c r="V907" s="2">
        <v>0.88888888888888795</v>
      </c>
      <c r="W907" s="2">
        <v>0.38490017945975002</v>
      </c>
      <c r="X907" s="2">
        <v>3.38888888888888</v>
      </c>
      <c r="Y907" s="2">
        <v>1.0183501544346301</v>
      </c>
      <c r="Z907" s="7">
        <v>78.977905409365306</v>
      </c>
      <c r="AA907" s="2">
        <v>2.9562702301335899</v>
      </c>
      <c r="AB907" s="7">
        <v>85.329103885804898</v>
      </c>
      <c r="AC907" s="2">
        <v>10.362820760615</v>
      </c>
      <c r="AD907" s="2">
        <v>98.9547038327526</v>
      </c>
      <c r="AE907" s="2">
        <v>13.2770445179495</v>
      </c>
      <c r="AF907" s="2">
        <v>104</v>
      </c>
      <c r="AG907" s="2">
        <v>10.888526071053001</v>
      </c>
      <c r="AH907" s="2">
        <v>100.763358778625</v>
      </c>
      <c r="AI907" s="2">
        <v>27.480916030534399</v>
      </c>
      <c r="AJ907" s="2">
        <v>136.17021276595699</v>
      </c>
      <c r="AK907" s="2">
        <v>58.963431747025602</v>
      </c>
      <c r="AL907" s="2">
        <v>88.727272727272705</v>
      </c>
      <c r="AM907" s="2">
        <v>26.662258588834</v>
      </c>
      <c r="AN907"/>
      <c r="AO907"/>
    </row>
    <row r="908" spans="1:41" ht="15.75" hidden="1" customHeight="1" x14ac:dyDescent="0.45">
      <c r="A908" s="2" t="s">
        <v>182</v>
      </c>
      <c r="B908" s="2" t="s">
        <v>183</v>
      </c>
      <c r="C908" s="2">
        <v>0.1</v>
      </c>
      <c r="D908" s="2"/>
      <c r="E908" s="2" t="s">
        <v>109</v>
      </c>
      <c r="F908" s="2" t="s">
        <v>84</v>
      </c>
      <c r="H908" s="2">
        <v>10</v>
      </c>
      <c r="J908" s="2">
        <v>10</v>
      </c>
      <c r="K908" s="2">
        <v>32</v>
      </c>
      <c r="L908" s="2"/>
      <c r="M908" s="2">
        <v>1.7559422921421</v>
      </c>
      <c r="N908" s="2">
        <v>203.111111111111</v>
      </c>
      <c r="O908" s="2">
        <v>11.168324918333999</v>
      </c>
      <c r="P908" s="2">
        <v>12.1111111111111</v>
      </c>
      <c r="Q908" s="2">
        <v>0.346944333244329</v>
      </c>
      <c r="R908" s="2">
        <v>2.1111111111111098</v>
      </c>
      <c r="S908" s="2">
        <v>0.41943524640392998</v>
      </c>
      <c r="T908" s="2">
        <v>9.55555555555555</v>
      </c>
      <c r="U908" s="2">
        <v>0.25458753860870298</v>
      </c>
      <c r="V908" s="2">
        <v>0.61111111111111105</v>
      </c>
      <c r="W908" s="2">
        <v>0.25458753860865702</v>
      </c>
      <c r="X908" s="2">
        <v>4</v>
      </c>
      <c r="Y908" s="2">
        <v>1.0137937550497</v>
      </c>
      <c r="Z908" s="7">
        <v>85.705913379827706</v>
      </c>
      <c r="AA908" s="2">
        <v>4.71264955822571</v>
      </c>
      <c r="AB908" s="7">
        <v>91.356066613798504</v>
      </c>
      <c r="AC908" s="2">
        <v>5.0129994065912502</v>
      </c>
      <c r="AD908" s="2">
        <v>119.8606271777</v>
      </c>
      <c r="AE908" s="2">
        <v>3.1934325400394798</v>
      </c>
      <c r="AF908" s="2">
        <v>87.2</v>
      </c>
      <c r="AG908" s="2">
        <v>2.4979991993591701</v>
      </c>
      <c r="AH908" s="2">
        <v>116.03053435114499</v>
      </c>
      <c r="AI908" s="2">
        <v>23.0529295733457</v>
      </c>
      <c r="AJ908" s="2">
        <v>93.617021276595693</v>
      </c>
      <c r="AK908" s="2">
        <v>39.0006442123901</v>
      </c>
      <c r="AL908" s="2">
        <v>104.72727272727199</v>
      </c>
      <c r="AM908" s="2">
        <v>26.542963768574001</v>
      </c>
      <c r="AN908"/>
      <c r="AO908"/>
    </row>
    <row r="909" spans="1:41" ht="15.75" hidden="1" customHeight="1" x14ac:dyDescent="0.45">
      <c r="A909" s="2" t="s">
        <v>182</v>
      </c>
      <c r="B909" s="2" t="s">
        <v>183</v>
      </c>
      <c r="C909" s="2">
        <v>0.3</v>
      </c>
      <c r="D909" s="2"/>
      <c r="E909" s="2" t="s">
        <v>109</v>
      </c>
      <c r="F909" s="2" t="s">
        <v>84</v>
      </c>
      <c r="H909" s="2">
        <v>10</v>
      </c>
      <c r="J909" s="2">
        <v>10</v>
      </c>
      <c r="K909" s="2">
        <v>32.5</v>
      </c>
      <c r="L909" s="2"/>
      <c r="M909" s="2">
        <v>1.7400510848185</v>
      </c>
      <c r="N909" s="2">
        <v>183.99999999999901</v>
      </c>
      <c r="O909" s="2">
        <v>38.545788067929998</v>
      </c>
      <c r="P909" s="2">
        <v>11.9444444444444</v>
      </c>
      <c r="Q909" s="2">
        <v>0.384900179459645</v>
      </c>
      <c r="R909" s="2">
        <v>1.7777777777777699</v>
      </c>
      <c r="S909" s="2">
        <v>0.50917507721731403</v>
      </c>
      <c r="T909" s="2">
        <v>9.6666666666666607</v>
      </c>
      <c r="U909" s="2">
        <v>1.8027756377319699</v>
      </c>
      <c r="V909" s="2">
        <v>1</v>
      </c>
      <c r="W909" s="2">
        <v>0.33333333333333298</v>
      </c>
      <c r="X909" s="2">
        <v>3.88888888888888</v>
      </c>
      <c r="Y909" s="2">
        <v>0.25458753860864702</v>
      </c>
      <c r="Z909" s="7">
        <v>77.641680829865706</v>
      </c>
      <c r="AA909" s="2">
        <v>16.264998774488401</v>
      </c>
      <c r="AB909" s="7">
        <v>92.783505154639101</v>
      </c>
      <c r="AC909" s="2">
        <v>4.9676319630028702</v>
      </c>
      <c r="AD909" s="2">
        <v>121.254355400696</v>
      </c>
      <c r="AE909" s="2">
        <v>22.613213574338399</v>
      </c>
      <c r="AF909" s="2">
        <v>86</v>
      </c>
      <c r="AG909" s="2">
        <v>2.7712812921094399</v>
      </c>
      <c r="AH909" s="2">
        <v>97.709923664122101</v>
      </c>
      <c r="AI909" s="2">
        <v>27.985195083699701</v>
      </c>
      <c r="AJ909" s="2">
        <v>153.191489361702</v>
      </c>
      <c r="AK909" s="2">
        <v>51.063829787233999</v>
      </c>
      <c r="AL909" s="2">
        <v>101.818181818181</v>
      </c>
      <c r="AM909" s="2">
        <v>6.6655646472082202</v>
      </c>
      <c r="AN909"/>
      <c r="AO909"/>
    </row>
    <row r="910" spans="1:41" ht="15.75" hidden="1" customHeight="1" x14ac:dyDescent="0.45">
      <c r="A910" s="2" t="s">
        <v>182</v>
      </c>
      <c r="B910" s="2" t="s">
        <v>183</v>
      </c>
      <c r="C910" s="2">
        <v>1</v>
      </c>
      <c r="D910" s="2"/>
      <c r="E910" s="2" t="s">
        <v>109</v>
      </c>
      <c r="F910" s="2" t="s">
        <v>84</v>
      </c>
      <c r="H910" s="2">
        <v>10</v>
      </c>
      <c r="J910" s="2">
        <v>10</v>
      </c>
      <c r="K910" s="2">
        <v>26.7222222222222</v>
      </c>
      <c r="L910" s="2"/>
      <c r="M910" s="2">
        <v>2.6475005683209099</v>
      </c>
      <c r="N910" s="2">
        <v>198.722222222222</v>
      </c>
      <c r="O910" s="2">
        <v>13.977495139343</v>
      </c>
      <c r="P910" s="2">
        <v>11.3333333333333</v>
      </c>
      <c r="Q910" s="2">
        <v>0.33333333333338</v>
      </c>
      <c r="R910" s="2">
        <v>2</v>
      </c>
      <c r="S910" s="2">
        <v>0.16666666666666899</v>
      </c>
      <c r="T910" s="2">
        <v>7.4444444444444402</v>
      </c>
      <c r="U910" s="2">
        <v>0.75154162547047798</v>
      </c>
      <c r="V910" s="2">
        <v>0.72222222222222199</v>
      </c>
      <c r="W910" s="2">
        <v>0.25458753860865702</v>
      </c>
      <c r="X910" s="2">
        <v>3.7222222222222201</v>
      </c>
      <c r="Y910" s="2">
        <v>0.63098981620002803</v>
      </c>
      <c r="Z910" s="7">
        <v>83.853952997714302</v>
      </c>
      <c r="AA910" s="2">
        <v>5.8980229152710297</v>
      </c>
      <c r="AB910" s="7">
        <v>76.288659793814404</v>
      </c>
      <c r="AC910" s="2">
        <v>7.5582886962373497</v>
      </c>
      <c r="AD910" s="2">
        <v>93.379790940766497</v>
      </c>
      <c r="AE910" s="2">
        <v>9.4270029675739497</v>
      </c>
      <c r="AF910" s="2">
        <v>81.599999999999994</v>
      </c>
      <c r="AG910" s="2">
        <v>2.4000000000003401</v>
      </c>
      <c r="AH910" s="2">
        <v>109.923664122137</v>
      </c>
      <c r="AI910" s="2">
        <v>9.1603053435115793</v>
      </c>
      <c r="AJ910" s="2">
        <v>110.63829787234</v>
      </c>
      <c r="AK910" s="2">
        <v>39.0006442123901</v>
      </c>
      <c r="AL910" s="2">
        <v>97.454545454545396</v>
      </c>
      <c r="AM910" s="2">
        <v>16.520460642328</v>
      </c>
      <c r="AN910"/>
      <c r="AO910"/>
    </row>
    <row r="911" spans="1:41" ht="15.75" hidden="1" customHeight="1" x14ac:dyDescent="0.45">
      <c r="A911" s="2" t="s">
        <v>182</v>
      </c>
      <c r="B911" s="2" t="s">
        <v>183</v>
      </c>
      <c r="C911" s="2">
        <v>3</v>
      </c>
      <c r="D911" s="2"/>
      <c r="E911" s="2" t="s">
        <v>109</v>
      </c>
      <c r="F911" s="2" t="s">
        <v>84</v>
      </c>
      <c r="H911" s="2">
        <v>10</v>
      </c>
      <c r="J911" s="2">
        <v>10</v>
      </c>
      <c r="K911" s="2">
        <v>24.5555555555555</v>
      </c>
      <c r="L911" s="2"/>
      <c r="M911" s="2">
        <v>2.5513250007122399</v>
      </c>
      <c r="N911" s="2">
        <v>187.944444444444</v>
      </c>
      <c r="O911" s="2">
        <v>3.8018026913183198</v>
      </c>
      <c r="P911" s="2">
        <v>9.2222222222222197</v>
      </c>
      <c r="Q911" s="2">
        <v>0.91792842454766899</v>
      </c>
      <c r="R911" s="2">
        <v>2.1666666666666599</v>
      </c>
      <c r="S911" s="2">
        <v>0.28867513459481198</v>
      </c>
      <c r="T911" s="2">
        <v>10.4444444444444</v>
      </c>
      <c r="U911" s="2">
        <v>4.32798815634718</v>
      </c>
      <c r="V911" s="2">
        <v>0.66666666666666596</v>
      </c>
      <c r="W911" s="2">
        <v>0.33333333333333298</v>
      </c>
      <c r="X911" s="2">
        <v>3.2777777777777701</v>
      </c>
      <c r="Y911" s="2">
        <v>9.6225044864938894E-2</v>
      </c>
      <c r="Z911" s="7">
        <v>79.306100920119505</v>
      </c>
      <c r="AA911" s="2">
        <v>1.60423016922533</v>
      </c>
      <c r="AB911" s="7">
        <v>70.103092783505105</v>
      </c>
      <c r="AC911" s="2">
        <v>7.2837192724536797</v>
      </c>
      <c r="AD911" s="2">
        <v>131.010452961672</v>
      </c>
      <c r="AE911" s="2">
        <v>54.288353180661503</v>
      </c>
      <c r="AF911" s="2">
        <v>66.399999999999906</v>
      </c>
      <c r="AG911" s="2">
        <v>6.60908465674322</v>
      </c>
      <c r="AH911" s="2">
        <v>119.083969465648</v>
      </c>
      <c r="AI911" s="2">
        <v>15.866114267806401</v>
      </c>
      <c r="AJ911" s="2">
        <v>102.127659574468</v>
      </c>
      <c r="AK911" s="2">
        <v>51.063829787233999</v>
      </c>
      <c r="AL911" s="2">
        <v>85.818181818181799</v>
      </c>
      <c r="AM911" s="2">
        <v>2.5193466291911299</v>
      </c>
      <c r="AN911"/>
      <c r="AO911"/>
    </row>
    <row r="912" spans="1:41" ht="15.75" hidden="1" customHeight="1" x14ac:dyDescent="0.45">
      <c r="A912" s="2" t="s">
        <v>182</v>
      </c>
      <c r="B912" s="2" t="s">
        <v>183</v>
      </c>
      <c r="C912" s="2">
        <v>10</v>
      </c>
      <c r="D912" s="2"/>
      <c r="E912" s="2" t="s">
        <v>109</v>
      </c>
      <c r="F912" s="2" t="s">
        <v>84</v>
      </c>
      <c r="H912" s="2">
        <v>10</v>
      </c>
      <c r="J912" s="2">
        <v>10</v>
      </c>
      <c r="K912" s="2">
        <v>21.8333333333333</v>
      </c>
      <c r="L912" s="2"/>
      <c r="M912" s="2">
        <v>3.9051248379533701</v>
      </c>
      <c r="N912" s="2">
        <v>94.0555555555555</v>
      </c>
      <c r="O912" s="2">
        <v>13.6994863380319</v>
      </c>
      <c r="P912" s="2">
        <v>7</v>
      </c>
      <c r="Q912" s="2">
        <v>0.76376261582597904</v>
      </c>
      <c r="R912" s="2">
        <v>1.88888888888888</v>
      </c>
      <c r="S912" s="2">
        <v>0.82214714371937303</v>
      </c>
      <c r="T912" s="2">
        <v>13.8888888888888</v>
      </c>
      <c r="U912" s="2">
        <v>1.3977495139343601</v>
      </c>
      <c r="V912" s="2">
        <v>0.55555555555555503</v>
      </c>
      <c r="W912" s="2">
        <v>0.25458753860865702</v>
      </c>
      <c r="X912" s="2">
        <v>5.8888888888888804</v>
      </c>
      <c r="Y912" s="2">
        <v>1.0715167512214401</v>
      </c>
      <c r="Z912" s="7">
        <v>39.688214264783397</v>
      </c>
      <c r="AA912" s="2">
        <v>5.7807127488618804</v>
      </c>
      <c r="AB912" s="7">
        <v>62.3314829500396</v>
      </c>
      <c r="AC912" s="2">
        <v>11.1486514009771</v>
      </c>
      <c r="AD912" s="2">
        <v>174.21602787456399</v>
      </c>
      <c r="AE912" s="2">
        <v>17.532746516249802</v>
      </c>
      <c r="AF912" s="2">
        <v>50.4</v>
      </c>
      <c r="AG912" s="2">
        <v>5.4990908339470499</v>
      </c>
      <c r="AH912" s="2">
        <v>103.816793893129</v>
      </c>
      <c r="AI912" s="2">
        <v>45.186713242591502</v>
      </c>
      <c r="AJ912" s="2">
        <v>85.106382978723303</v>
      </c>
      <c r="AK912" s="2">
        <v>39.0006442123901</v>
      </c>
      <c r="AL912" s="2">
        <v>154.18181818181799</v>
      </c>
      <c r="AM912" s="2">
        <v>28.054256759252201</v>
      </c>
      <c r="AN912"/>
      <c r="AO912"/>
    </row>
    <row r="913" spans="1:41" ht="15.75" hidden="1" customHeight="1" x14ac:dyDescent="0.45">
      <c r="A913" s="2" t="s">
        <v>184</v>
      </c>
      <c r="B913" s="2" t="s">
        <v>82</v>
      </c>
      <c r="C913" s="2">
        <v>3.0000000000000001E-3</v>
      </c>
      <c r="D913" s="2"/>
      <c r="E913" s="2" t="s">
        <v>83</v>
      </c>
      <c r="F913" s="2" t="s">
        <v>84</v>
      </c>
      <c r="H913" s="2">
        <v>0.7</v>
      </c>
      <c r="J913" s="2">
        <v>0.7</v>
      </c>
      <c r="K913" s="2">
        <v>23.917346615500001</v>
      </c>
      <c r="L913" s="2"/>
      <c r="M913" s="2">
        <v>20.719735039983501</v>
      </c>
      <c r="N913" s="2">
        <v>273.944444444444</v>
      </c>
      <c r="O913" s="2">
        <v>53.928021301374102</v>
      </c>
      <c r="P913" s="2">
        <v>13.0233957059177</v>
      </c>
      <c r="Q913" s="2">
        <v>3.5879047002225799</v>
      </c>
      <c r="R913" s="2">
        <v>1.84961447357444</v>
      </c>
      <c r="S913" s="2">
        <v>0.84145339671367603</v>
      </c>
      <c r="T913" s="2">
        <v>4.4351681409911103</v>
      </c>
      <c r="U913" s="2">
        <v>2.41242800510161</v>
      </c>
      <c r="V913" s="2">
        <v>0.51341870542088897</v>
      </c>
      <c r="W913" s="2">
        <v>0.47159010877357299</v>
      </c>
      <c r="X913" s="2">
        <v>3.1043327486488801</v>
      </c>
      <c r="Y913" s="2">
        <v>0.66318189188449395</v>
      </c>
      <c r="Z913" s="7">
        <v>118.884806974741</v>
      </c>
      <c r="AA913" s="2">
        <v>26.664627618472998</v>
      </c>
      <c r="AB913" s="7">
        <v>69.442974302156102</v>
      </c>
      <c r="AC913" s="2">
        <v>60.339982117513102</v>
      </c>
      <c r="AD913" s="2">
        <v>92.445101182224406</v>
      </c>
      <c r="AE913" s="2">
        <v>36.258638266504001</v>
      </c>
      <c r="AF913" s="2">
        <v>84.169824142438202</v>
      </c>
      <c r="AG913" s="2">
        <v>16.103662580730699</v>
      </c>
      <c r="AH913" s="2">
        <v>101.45955788391301</v>
      </c>
      <c r="AI913" s="2">
        <v>28.562253853958399</v>
      </c>
      <c r="AJ913" s="2">
        <v>66.265337169682098</v>
      </c>
      <c r="AK913" s="2">
        <v>52.796333133604598</v>
      </c>
      <c r="AL913" s="2">
        <v>93.828906310389897</v>
      </c>
      <c r="AM913" s="2">
        <v>9.5542586561526992</v>
      </c>
      <c r="AN913"/>
      <c r="AO913"/>
    </row>
    <row r="914" spans="1:41" ht="15.75" hidden="1" customHeight="1" x14ac:dyDescent="0.45">
      <c r="A914" s="2" t="s">
        <v>184</v>
      </c>
      <c r="B914" s="2" t="s">
        <v>82</v>
      </c>
      <c r="C914" s="2">
        <v>0.01</v>
      </c>
      <c r="D914" s="2"/>
      <c r="E914" s="2" t="s">
        <v>83</v>
      </c>
      <c r="F914" s="2" t="s">
        <v>84</v>
      </c>
      <c r="H914" s="2">
        <v>0.7</v>
      </c>
      <c r="J914" s="2">
        <v>0.7</v>
      </c>
      <c r="K914" s="2">
        <v>18.3210719936666</v>
      </c>
      <c r="L914" s="2"/>
      <c r="M914" s="2">
        <v>15.9281767582693</v>
      </c>
      <c r="N914" s="2">
        <v>238.777777777777</v>
      </c>
      <c r="O914" s="2">
        <v>37.968310373159802</v>
      </c>
      <c r="P914" s="2">
        <v>16.820853192833301</v>
      </c>
      <c r="Q914" s="2">
        <v>3.3156533421415899</v>
      </c>
      <c r="R914" s="2">
        <v>2.4726558490777699</v>
      </c>
      <c r="S914" s="2">
        <v>1.0582785816937199</v>
      </c>
      <c r="T914" s="2">
        <v>3.8279566947338801</v>
      </c>
      <c r="U914" s="2">
        <v>1.5479706777314499</v>
      </c>
      <c r="V914" s="2">
        <v>0.56921648534555502</v>
      </c>
      <c r="W914" s="2">
        <v>7.4816838378164996E-2</v>
      </c>
      <c r="X914" s="2">
        <v>4.6033237260666597</v>
      </c>
      <c r="Y914" s="2">
        <v>0.50936675859547098</v>
      </c>
      <c r="Z914" s="7">
        <v>103.252048131179</v>
      </c>
      <c r="AA914" s="2">
        <v>17.030353535595999</v>
      </c>
      <c r="AB914" s="7">
        <v>53.080912294714103</v>
      </c>
      <c r="AC914" s="2">
        <v>45.992895626266098</v>
      </c>
      <c r="AD914" s="2">
        <v>81.257578319625793</v>
      </c>
      <c r="AE914" s="2">
        <v>22.536022261123101</v>
      </c>
      <c r="AF914" s="2">
        <v>109.483009570086</v>
      </c>
      <c r="AG914" s="2">
        <v>16.558424621206701</v>
      </c>
      <c r="AH914" s="2">
        <v>135.84031220729801</v>
      </c>
      <c r="AI914" s="2">
        <v>18.730986721437901</v>
      </c>
      <c r="AJ914" s="2">
        <v>84.664967669333507</v>
      </c>
      <c r="AK914" s="2">
        <v>49.133165209886201</v>
      </c>
      <c r="AL914" s="2">
        <v>144.390753191756</v>
      </c>
      <c r="AM914" s="2">
        <v>44.129951604943102</v>
      </c>
      <c r="AN914"/>
      <c r="AO914"/>
    </row>
    <row r="915" spans="1:41" ht="15.75" hidden="1" customHeight="1" x14ac:dyDescent="0.45">
      <c r="A915" s="2" t="s">
        <v>184</v>
      </c>
      <c r="B915" s="2" t="s">
        <v>82</v>
      </c>
      <c r="C915" s="2">
        <v>0.03</v>
      </c>
      <c r="D915" s="2"/>
      <c r="E915" s="2" t="s">
        <v>83</v>
      </c>
      <c r="F915" s="2" t="s">
        <v>84</v>
      </c>
      <c r="H915" s="2">
        <v>0.7</v>
      </c>
      <c r="J915" s="2">
        <v>0.7</v>
      </c>
      <c r="K915" s="2">
        <v>27.477110406944401</v>
      </c>
      <c r="L915" s="2"/>
      <c r="M915" s="2">
        <v>3.39112671409658</v>
      </c>
      <c r="N915" s="2">
        <v>269.444444444444</v>
      </c>
      <c r="O915" s="2">
        <v>63.559756077195502</v>
      </c>
      <c r="P915" s="2">
        <v>14.4179050053722</v>
      </c>
      <c r="Q915" s="2">
        <v>1.62450430928828</v>
      </c>
      <c r="R915" s="2">
        <v>2.6270543322694402</v>
      </c>
      <c r="S915" s="2">
        <v>0.87814418893561397</v>
      </c>
      <c r="T915" s="2">
        <v>3.8267401587605501</v>
      </c>
      <c r="U915" s="2">
        <v>0.88464959549705402</v>
      </c>
      <c r="V915" s="2">
        <v>0.47655677824722198</v>
      </c>
      <c r="W915" s="2">
        <v>0.21559673971846199</v>
      </c>
      <c r="X915" s="2">
        <v>4.3562869362555503</v>
      </c>
      <c r="Y915" s="2">
        <v>1.6126395863154901</v>
      </c>
      <c r="Z915" s="7">
        <v>116.851859366065</v>
      </c>
      <c r="AA915" s="2">
        <v>30.328478346378301</v>
      </c>
      <c r="AB915" s="7">
        <v>82.606499508370106</v>
      </c>
      <c r="AC915" s="2">
        <v>14.835284635464401</v>
      </c>
      <c r="AD915" s="2">
        <v>85.180390423038801</v>
      </c>
      <c r="AE915" s="2">
        <v>28.7685104184457</v>
      </c>
      <c r="AF915" s="2">
        <v>93.974944780793706</v>
      </c>
      <c r="AG915" s="2">
        <v>2.9898969631099002</v>
      </c>
      <c r="AH915" s="2">
        <v>148.62549018267501</v>
      </c>
      <c r="AI915" s="2">
        <v>26.173328050313401</v>
      </c>
      <c r="AJ915" s="2">
        <v>63.264868505638297</v>
      </c>
      <c r="AK915" s="2">
        <v>22.9277850051024</v>
      </c>
      <c r="AL915" s="2">
        <v>128.20961509997301</v>
      </c>
      <c r="AM915" s="2">
        <v>22.728040548533802</v>
      </c>
      <c r="AN915"/>
      <c r="AO915"/>
    </row>
    <row r="916" spans="1:41" ht="15.75" hidden="1" customHeight="1" x14ac:dyDescent="0.45">
      <c r="A916" s="2" t="s">
        <v>184</v>
      </c>
      <c r="B916" s="2" t="s">
        <v>82</v>
      </c>
      <c r="C916" s="2">
        <v>0.1</v>
      </c>
      <c r="D916" s="2"/>
      <c r="E916" s="2" t="s">
        <v>83</v>
      </c>
      <c r="F916" s="2" t="s">
        <v>84</v>
      </c>
      <c r="H916" s="2">
        <v>0.7</v>
      </c>
      <c r="J916" s="2">
        <v>0.7</v>
      </c>
      <c r="K916" s="2">
        <v>12.7291554027</v>
      </c>
      <c r="L916" s="2"/>
      <c r="M916" s="2">
        <v>2.07833228277044</v>
      </c>
      <c r="N916" s="2">
        <v>148.055555555555</v>
      </c>
      <c r="O916" s="2">
        <v>14.7434856926838</v>
      </c>
      <c r="P916" s="2">
        <v>13.539871430461099</v>
      </c>
      <c r="Q916" s="2">
        <v>1.06955089112557</v>
      </c>
      <c r="R916" s="2">
        <v>0.89306695465722197</v>
      </c>
      <c r="S916" s="2">
        <v>0.40347676323185799</v>
      </c>
      <c r="T916" s="2">
        <v>4.91723649136111</v>
      </c>
      <c r="U916" s="2">
        <v>1.86103033292498</v>
      </c>
      <c r="V916" s="2">
        <v>0.46721574432222202</v>
      </c>
      <c r="W916" s="2">
        <v>0.34296594659934998</v>
      </c>
      <c r="X916" s="2">
        <v>6.2803144259000003</v>
      </c>
      <c r="Y916" s="2">
        <v>0.38654356761997599</v>
      </c>
      <c r="Z916" s="7">
        <v>63.879632533269401</v>
      </c>
      <c r="AA916" s="2">
        <v>4.41258329572885</v>
      </c>
      <c r="AB916" s="7">
        <v>37.850476651175498</v>
      </c>
      <c r="AC916" s="2">
        <v>3.9617475183833801</v>
      </c>
      <c r="AD916" s="2">
        <v>103.993633499854</v>
      </c>
      <c r="AE916" s="2">
        <v>18.821921957737999</v>
      </c>
      <c r="AF916" s="2">
        <v>88.481456259020106</v>
      </c>
      <c r="AG916" s="2">
        <v>4.6419360514350698</v>
      </c>
      <c r="AH916" s="2">
        <v>49.755827970358602</v>
      </c>
      <c r="AI916" s="2">
        <v>10.5345282164065</v>
      </c>
      <c r="AJ916" s="2">
        <v>54.456534206392</v>
      </c>
      <c r="AK916" s="2">
        <v>21.285141402297899</v>
      </c>
      <c r="AL916" s="2">
        <v>197.07751897035001</v>
      </c>
      <c r="AM916" s="2">
        <v>57.3999691443437</v>
      </c>
      <c r="AN916"/>
      <c r="AO916"/>
    </row>
    <row r="917" spans="1:41" ht="15.75" hidden="1" customHeight="1" x14ac:dyDescent="0.45">
      <c r="A917" s="2" t="s">
        <v>184</v>
      </c>
      <c r="B917" s="2" t="s">
        <v>82</v>
      </c>
      <c r="C917" s="2">
        <v>0.3</v>
      </c>
      <c r="D917" s="2"/>
      <c r="E917" s="2" t="s">
        <v>83</v>
      </c>
      <c r="F917" s="2" t="s">
        <v>84</v>
      </c>
      <c r="H917" s="2">
        <v>0.7</v>
      </c>
      <c r="J917" s="2">
        <v>0.7</v>
      </c>
      <c r="K917" s="2">
        <v>10.1232926876555</v>
      </c>
      <c r="L917" s="2"/>
      <c r="M917" s="2">
        <v>2.3426238400405799</v>
      </c>
      <c r="N917" s="2">
        <v>122.833333333333</v>
      </c>
      <c r="O917" s="2">
        <v>20.610137742814199</v>
      </c>
      <c r="P917" s="2">
        <v>12.0588266507444</v>
      </c>
      <c r="Q917" s="2">
        <v>4.3989211053023904</v>
      </c>
      <c r="R917" s="2">
        <v>0.567452848522222</v>
      </c>
      <c r="S917" s="2">
        <v>0.15080198935994901</v>
      </c>
      <c r="T917" s="2">
        <v>8.1661125099500005</v>
      </c>
      <c r="U917" s="2">
        <v>5.47840419498882</v>
      </c>
      <c r="V917" s="2">
        <v>0.33353322037222199</v>
      </c>
      <c r="W917" s="2">
        <v>0.220263807136519</v>
      </c>
      <c r="X917" s="2">
        <v>5.5179027211111098</v>
      </c>
      <c r="Y917" s="2">
        <v>1.4288652856200901</v>
      </c>
      <c r="Z917" s="7">
        <v>53.2199428429034</v>
      </c>
      <c r="AA917" s="2">
        <v>10.165771352646599</v>
      </c>
      <c r="AB917" s="7">
        <v>30.239989147153398</v>
      </c>
      <c r="AC917" s="2">
        <v>6.9742686213081404</v>
      </c>
      <c r="AD917" s="2">
        <v>192.16419411579901</v>
      </c>
      <c r="AE917" s="2">
        <v>149.51899324256499</v>
      </c>
      <c r="AF917" s="2">
        <v>77.979193656367201</v>
      </c>
      <c r="AG917" s="2">
        <v>25.6967865029048</v>
      </c>
      <c r="AH917" s="2">
        <v>35.328934299957602</v>
      </c>
      <c r="AI917" s="2">
        <v>15.7323614059704</v>
      </c>
      <c r="AJ917" s="2">
        <v>39.101873211173697</v>
      </c>
      <c r="AK917" s="2">
        <v>12.592980057713699</v>
      </c>
      <c r="AL917" s="2">
        <v>166.256803210779</v>
      </c>
      <c r="AM917" s="2">
        <v>25.181880829285699</v>
      </c>
      <c r="AN917"/>
      <c r="AO917"/>
    </row>
    <row r="918" spans="1:41" ht="15.75" hidden="1" customHeight="1" x14ac:dyDescent="0.45">
      <c r="A918" s="2" t="s">
        <v>184</v>
      </c>
      <c r="B918" s="2" t="s">
        <v>82</v>
      </c>
      <c r="C918" s="2">
        <v>1</v>
      </c>
      <c r="D918" s="2"/>
      <c r="E918" s="2" t="s">
        <v>83</v>
      </c>
      <c r="F918" s="2" t="s">
        <v>84</v>
      </c>
      <c r="H918" s="2">
        <v>0.7</v>
      </c>
      <c r="J918" s="2">
        <v>0.7</v>
      </c>
      <c r="K918" s="2">
        <v>10.6635733661277</v>
      </c>
      <c r="L918" s="2"/>
      <c r="M918" s="2">
        <v>2.9172783755988001</v>
      </c>
      <c r="N918" s="2">
        <v>82.7777777777777</v>
      </c>
      <c r="O918" s="2">
        <v>12.6318967227734</v>
      </c>
      <c r="P918" s="2">
        <v>11.674239828416599</v>
      </c>
      <c r="Q918" s="2">
        <v>0.47596466517507702</v>
      </c>
      <c r="R918" s="2">
        <v>1.1450043274388799</v>
      </c>
      <c r="S918" s="2">
        <v>0.74680531272098805</v>
      </c>
      <c r="T918" s="2">
        <v>10.6294306721888</v>
      </c>
      <c r="U918" s="2">
        <v>2.4267481293744702</v>
      </c>
      <c r="V918" s="2">
        <v>0.47486367937666601</v>
      </c>
      <c r="W918" s="2">
        <v>0.30344345011814999</v>
      </c>
      <c r="X918" s="2">
        <v>8.0661418490444401</v>
      </c>
      <c r="Y918" s="2">
        <v>0.83708986704007904</v>
      </c>
      <c r="Z918" s="7">
        <v>35.677369223016697</v>
      </c>
      <c r="AA918" s="2">
        <v>4.3746496890792503</v>
      </c>
      <c r="AB918" s="7">
        <v>31.758864699190202</v>
      </c>
      <c r="AC918" s="2">
        <v>7.9591044290777004</v>
      </c>
      <c r="AD918" s="2">
        <v>242.25681890965501</v>
      </c>
      <c r="AE918" s="2">
        <v>93.588458417263695</v>
      </c>
      <c r="AF918" s="2">
        <v>76.429983625912101</v>
      </c>
      <c r="AG918" s="2">
        <v>4.6289572086209496</v>
      </c>
      <c r="AH918" s="2">
        <v>70.658906998845197</v>
      </c>
      <c r="AI918" s="2">
        <v>51.184281723723103</v>
      </c>
      <c r="AJ918" s="2">
        <v>67.079326103827995</v>
      </c>
      <c r="AK918" s="2">
        <v>39.398423658214497</v>
      </c>
      <c r="AL918" s="2">
        <v>248.300003850054</v>
      </c>
      <c r="AM918" s="2">
        <v>43.690763605858699</v>
      </c>
      <c r="AN918"/>
      <c r="AO918"/>
    </row>
    <row r="919" spans="1:41" ht="15.75" hidden="1" customHeight="1" x14ac:dyDescent="0.45">
      <c r="A919" s="2" t="s">
        <v>184</v>
      </c>
      <c r="B919" s="2" t="s">
        <v>82</v>
      </c>
      <c r="C919" s="2">
        <v>3</v>
      </c>
      <c r="D919" s="2"/>
      <c r="E919" s="2" t="s">
        <v>83</v>
      </c>
      <c r="F919" s="2" t="s">
        <v>84</v>
      </c>
      <c r="H919" s="2">
        <v>0.7</v>
      </c>
      <c r="J919" s="2">
        <v>0.7</v>
      </c>
      <c r="K919" s="2">
        <v>8.4264992944666606</v>
      </c>
      <c r="L919" s="2"/>
      <c r="M919" s="2">
        <v>1.4667751158316</v>
      </c>
      <c r="N919" s="2">
        <v>80.1666666666666</v>
      </c>
      <c r="O919" s="2">
        <v>7.4516963020359004</v>
      </c>
      <c r="P919" s="2">
        <v>11.4367319582666</v>
      </c>
      <c r="Q919" s="2">
        <v>1.68981062493475</v>
      </c>
      <c r="R919" s="2">
        <v>1.06074736626111</v>
      </c>
      <c r="S919" s="2">
        <v>0.79800846955729199</v>
      </c>
      <c r="T919" s="2">
        <v>10.7179812124888</v>
      </c>
      <c r="U919" s="2">
        <v>1.2891966055001001</v>
      </c>
      <c r="V919" s="2">
        <v>0.60631705887388798</v>
      </c>
      <c r="W919" s="2">
        <v>0.27970204470730597</v>
      </c>
      <c r="X919" s="2">
        <v>9.07191007082222</v>
      </c>
      <c r="Y919" s="2">
        <v>1.0953282630030301</v>
      </c>
      <c r="Z919" s="7">
        <v>34.682036824234501</v>
      </c>
      <c r="AA919" s="2">
        <v>3.81480696650888</v>
      </c>
      <c r="AB919" s="7">
        <v>25.178060635567</v>
      </c>
      <c r="AC919" s="2">
        <v>4.3718996808186503</v>
      </c>
      <c r="AD919" s="2">
        <v>241.04802297724899</v>
      </c>
      <c r="AE919" s="2">
        <v>70.666498057052095</v>
      </c>
      <c r="AF919" s="2">
        <v>74.899429028980094</v>
      </c>
      <c r="AG919" s="2">
        <v>12.089310477159399</v>
      </c>
      <c r="AH919" s="2">
        <v>60.761690064124203</v>
      </c>
      <c r="AI919" s="2">
        <v>47.215092603631099</v>
      </c>
      <c r="AJ919" s="2">
        <v>90.668648434087004</v>
      </c>
      <c r="AK919" s="2">
        <v>54.883540810518298</v>
      </c>
      <c r="AL919" s="2">
        <v>289.680426339478</v>
      </c>
      <c r="AM919" s="2">
        <v>115.126737248612</v>
      </c>
      <c r="AN919"/>
      <c r="AO919"/>
    </row>
    <row r="920" spans="1:41" ht="15.75" hidden="1" customHeight="1" x14ac:dyDescent="0.45">
      <c r="A920" s="2" t="s">
        <v>184</v>
      </c>
      <c r="B920" s="2" t="s">
        <v>82</v>
      </c>
      <c r="C920" s="2">
        <v>10</v>
      </c>
      <c r="D920" s="2"/>
      <c r="E920" s="2" t="s">
        <v>83</v>
      </c>
      <c r="F920" s="2" t="s">
        <v>84</v>
      </c>
      <c r="H920" s="2">
        <v>0.7</v>
      </c>
      <c r="J920" s="2">
        <v>0.7</v>
      </c>
      <c r="K920" s="2">
        <v>9.8220116462666596</v>
      </c>
      <c r="L920" s="2"/>
      <c r="M920" s="2">
        <v>0.80952298661256505</v>
      </c>
      <c r="N920" s="2">
        <v>58.1111111111111</v>
      </c>
      <c r="O920" s="2">
        <v>1.7023948273384499</v>
      </c>
      <c r="P920" s="2">
        <v>12.842455594583299</v>
      </c>
      <c r="Q920" s="2">
        <v>1.14386081032174</v>
      </c>
      <c r="R920" s="2">
        <v>1.2288900737722199</v>
      </c>
      <c r="S920" s="2">
        <v>0.83273237660946697</v>
      </c>
      <c r="T920" s="2">
        <v>7.6327032581277701</v>
      </c>
      <c r="U920" s="2">
        <v>1.2968092039611701</v>
      </c>
      <c r="V920" s="2">
        <v>0.244073056577777</v>
      </c>
      <c r="W920" s="2">
        <v>0.285892296339887</v>
      </c>
      <c r="X920" s="2">
        <v>9.4701267130944409</v>
      </c>
      <c r="Y920" s="2">
        <v>1.36514689186003</v>
      </c>
      <c r="Z920" s="7">
        <v>25.1092372981085</v>
      </c>
      <c r="AA920" s="2">
        <v>0.43466306458630899</v>
      </c>
      <c r="AB920" s="7">
        <v>29.3938921078033</v>
      </c>
      <c r="AC920" s="2">
        <v>3.16694976516556</v>
      </c>
      <c r="AD920" s="2">
        <v>167.04677462335101</v>
      </c>
      <c r="AE920" s="2">
        <v>30.5722794914169</v>
      </c>
      <c r="AF920" s="2">
        <v>83.859086047659403</v>
      </c>
      <c r="AG920" s="2">
        <v>4.0784425220791798</v>
      </c>
      <c r="AH920" s="2">
        <v>63.324136222487098</v>
      </c>
      <c r="AI920" s="2">
        <v>14.556460731678699</v>
      </c>
      <c r="AJ920" s="2">
        <v>48.417037873212202</v>
      </c>
      <c r="AK920" s="2">
        <v>66.781683369197097</v>
      </c>
      <c r="AL920" s="2">
        <v>298.35296758840798</v>
      </c>
      <c r="AM920" s="2">
        <v>98.157244004116905</v>
      </c>
      <c r="AN920"/>
      <c r="AO920"/>
    </row>
    <row r="921" spans="1:41" ht="15.75" hidden="1" customHeight="1" x14ac:dyDescent="0.45">
      <c r="A921" s="2" t="s">
        <v>184</v>
      </c>
      <c r="B921" s="2" t="s">
        <v>82</v>
      </c>
      <c r="C921" s="2">
        <v>3.0000000000000001E-3</v>
      </c>
      <c r="D921" s="2"/>
      <c r="E921" s="2" t="s">
        <v>83</v>
      </c>
      <c r="F921" s="2" t="s">
        <v>84</v>
      </c>
      <c r="H921" s="2">
        <v>0.1</v>
      </c>
      <c r="J921" s="2">
        <v>0.10186100100000001</v>
      </c>
      <c r="K921" s="2">
        <v>47.025047580833302</v>
      </c>
      <c r="L921" s="2"/>
      <c r="M921" s="2">
        <v>0.98675542980687603</v>
      </c>
      <c r="N921" s="2">
        <v>373.444444444444</v>
      </c>
      <c r="O921" s="2">
        <v>46.6774789061812</v>
      </c>
      <c r="P921" s="2">
        <v>21.5161760608888</v>
      </c>
      <c r="Q921" s="2">
        <v>1.68959097097209</v>
      </c>
      <c r="R921" s="2">
        <v>5.6063557493499996</v>
      </c>
      <c r="S921" s="2">
        <v>1.2146420810982299</v>
      </c>
      <c r="T921" s="2">
        <v>4.3162050154833302</v>
      </c>
      <c r="U921" s="2">
        <v>1.65609167588774</v>
      </c>
      <c r="V921" s="2">
        <v>0.47541053346722201</v>
      </c>
      <c r="W921" s="2">
        <v>0.100645453640811</v>
      </c>
      <c r="X921" s="2">
        <v>3.5075612553222202</v>
      </c>
      <c r="Y921" s="2">
        <v>0.870666305636006</v>
      </c>
      <c r="Z921" s="7">
        <v>104.208976048368</v>
      </c>
      <c r="AA921" s="2">
        <v>13.025263472773601</v>
      </c>
      <c r="AB921" s="7">
        <v>102.366059273503</v>
      </c>
      <c r="AC921" s="2">
        <v>2.1480098375749899</v>
      </c>
      <c r="AD921" s="2">
        <v>97.826754264294294</v>
      </c>
      <c r="AE921" s="2">
        <v>37.535305397922897</v>
      </c>
      <c r="AF921" s="2">
        <v>111.669420583437</v>
      </c>
      <c r="AG921" s="2">
        <v>8.7690137976899702</v>
      </c>
      <c r="AH921" s="2">
        <v>99.9611638365744</v>
      </c>
      <c r="AI921" s="2">
        <v>21.657033820148701</v>
      </c>
      <c r="AJ921" s="2">
        <v>117.801157179407</v>
      </c>
      <c r="AK921" s="2">
        <v>24.938763592943101</v>
      </c>
      <c r="AL921" s="2">
        <v>104.289180041419</v>
      </c>
      <c r="AM921" s="2">
        <v>25.8872385953898</v>
      </c>
      <c r="AN921"/>
      <c r="AO921"/>
    </row>
    <row r="922" spans="1:41" ht="15.75" hidden="1" customHeight="1" x14ac:dyDescent="0.45">
      <c r="A922" s="2" t="s">
        <v>184</v>
      </c>
      <c r="B922" s="2" t="s">
        <v>82</v>
      </c>
      <c r="C922" s="2">
        <v>0.01</v>
      </c>
      <c r="D922" s="2"/>
      <c r="E922" s="2" t="s">
        <v>83</v>
      </c>
      <c r="F922" s="2" t="s">
        <v>84</v>
      </c>
      <c r="H922" s="2">
        <v>0.1</v>
      </c>
      <c r="J922" s="2">
        <v>0.10186100100000001</v>
      </c>
      <c r="K922" s="2">
        <v>45.484721558888801</v>
      </c>
      <c r="L922" s="2"/>
      <c r="M922" s="2">
        <v>0.63198547577381503</v>
      </c>
      <c r="N922" s="2">
        <v>359.166666666666</v>
      </c>
      <c r="O922" s="2">
        <v>49.958593966515402</v>
      </c>
      <c r="P922" s="2">
        <v>21.157005697999999</v>
      </c>
      <c r="Q922" s="2">
        <v>3.0874566938956001</v>
      </c>
      <c r="R922" s="2">
        <v>5.0887292581166603</v>
      </c>
      <c r="S922" s="2">
        <v>1.1838182393396299</v>
      </c>
      <c r="T922" s="2">
        <v>3.6327597215472198</v>
      </c>
      <c r="U922" s="2">
        <v>1.17831964951623</v>
      </c>
      <c r="V922" s="2">
        <v>0.46833321049722199</v>
      </c>
      <c r="W922" s="2">
        <v>0.24641522396766699</v>
      </c>
      <c r="X922" s="2">
        <v>3.5624693039222199</v>
      </c>
      <c r="Y922" s="2">
        <v>8.8755380582696497E-2</v>
      </c>
      <c r="Z922" s="7">
        <v>100.22478877606299</v>
      </c>
      <c r="AA922" s="2">
        <v>13.940852513716401</v>
      </c>
      <c r="AB922" s="7">
        <v>99.013014184248803</v>
      </c>
      <c r="AC922" s="2">
        <v>1.3757319981835301</v>
      </c>
      <c r="AD922" s="2">
        <v>82.336471809421298</v>
      </c>
      <c r="AE922" s="2">
        <v>26.706606007941399</v>
      </c>
      <c r="AF922" s="2">
        <v>109.805318607275</v>
      </c>
      <c r="AG922" s="2">
        <v>16.023967228567699</v>
      </c>
      <c r="AH922" s="2">
        <v>90.731898194213898</v>
      </c>
      <c r="AI922" s="2">
        <v>21.107445596736198</v>
      </c>
      <c r="AJ922" s="2">
        <v>116.047479511565</v>
      </c>
      <c r="AK922" s="2">
        <v>61.058803889576701</v>
      </c>
      <c r="AL922" s="2">
        <v>105.921743224024</v>
      </c>
      <c r="AM922" s="2">
        <v>2.63893491558802</v>
      </c>
      <c r="AN922"/>
      <c r="AO922"/>
    </row>
    <row r="923" spans="1:41" ht="15.75" hidden="1" customHeight="1" x14ac:dyDescent="0.45">
      <c r="A923" s="2" t="s">
        <v>184</v>
      </c>
      <c r="B923" s="2" t="s">
        <v>82</v>
      </c>
      <c r="C923" s="2">
        <v>0.03</v>
      </c>
      <c r="D923" s="2"/>
      <c r="E923" s="2" t="s">
        <v>83</v>
      </c>
      <c r="F923" s="2" t="s">
        <v>84</v>
      </c>
      <c r="H923" s="2">
        <v>0.1</v>
      </c>
      <c r="J923" s="2">
        <v>0.10186100100000001</v>
      </c>
      <c r="K923" s="2">
        <v>39.206835051055499</v>
      </c>
      <c r="L923" s="2"/>
      <c r="M923" s="2">
        <v>0.91489282394434202</v>
      </c>
      <c r="N923" s="2">
        <v>355.388888888888</v>
      </c>
      <c r="O923" s="2">
        <v>30.898729447689501</v>
      </c>
      <c r="P923" s="2">
        <v>21.125368127277699</v>
      </c>
      <c r="Q923" s="2">
        <v>3.2295448411186798</v>
      </c>
      <c r="R923" s="2">
        <v>6.1672980578222196</v>
      </c>
      <c r="S923" s="2">
        <v>2.0421298873121101</v>
      </c>
      <c r="T923" s="2">
        <v>4.6872023110777699</v>
      </c>
      <c r="U923" s="2">
        <v>2.6620769000146001</v>
      </c>
      <c r="V923" s="2">
        <v>0.498510920403333</v>
      </c>
      <c r="W923" s="2">
        <v>0.14674482624590901</v>
      </c>
      <c r="X923" s="2">
        <v>3.6346694041833301</v>
      </c>
      <c r="Y923" s="2">
        <v>0.65043195630868</v>
      </c>
      <c r="Z923" s="7">
        <v>99.170606929695296</v>
      </c>
      <c r="AA923" s="2">
        <v>8.6222328510721908</v>
      </c>
      <c r="AB923" s="7">
        <v>85.347052416352</v>
      </c>
      <c r="AC923" s="2">
        <v>1.9915763590415001</v>
      </c>
      <c r="AD923" s="2">
        <v>106.235405183016</v>
      </c>
      <c r="AE923" s="2">
        <v>60.335952948523499</v>
      </c>
      <c r="AF923" s="2">
        <v>109.6411189288</v>
      </c>
      <c r="AG923" s="2">
        <v>16.761407795482299</v>
      </c>
      <c r="AH923" s="2">
        <v>109.962749270491</v>
      </c>
      <c r="AI923" s="2">
        <v>36.411117911102799</v>
      </c>
      <c r="AJ923" s="2">
        <v>123.52516226722</v>
      </c>
      <c r="AK923" s="2">
        <v>36.361647723253803</v>
      </c>
      <c r="AL923" s="2">
        <v>108.068445364639</v>
      </c>
      <c r="AM923" s="2">
        <v>19.339082188013698</v>
      </c>
      <c r="AN923"/>
      <c r="AO923"/>
    </row>
    <row r="924" spans="1:41" ht="15.75" hidden="1" customHeight="1" x14ac:dyDescent="0.45">
      <c r="A924" s="2" t="s">
        <v>184</v>
      </c>
      <c r="B924" s="2" t="s">
        <v>82</v>
      </c>
      <c r="C924" s="2">
        <v>0.1</v>
      </c>
      <c r="D924" s="2"/>
      <c r="E924" s="2" t="s">
        <v>83</v>
      </c>
      <c r="F924" s="2" t="s">
        <v>84</v>
      </c>
      <c r="H924" s="2">
        <v>0.1</v>
      </c>
      <c r="J924" s="2">
        <v>0.10186100100000001</v>
      </c>
      <c r="K924" s="2">
        <v>26.194361953888802</v>
      </c>
      <c r="L924" s="2"/>
      <c r="M924" s="2">
        <v>1.4375757673232199</v>
      </c>
      <c r="N924" s="2">
        <v>232.222222222222</v>
      </c>
      <c r="O924" s="2">
        <v>13.7743051179175</v>
      </c>
      <c r="P924" s="2">
        <v>21.541154653833299</v>
      </c>
      <c r="Q924" s="2">
        <v>0.892767758762398</v>
      </c>
      <c r="R924" s="2">
        <v>3.77347399685944</v>
      </c>
      <c r="S924" s="2">
        <v>0.99991893945195798</v>
      </c>
      <c r="T924" s="2">
        <v>3.8303870608783299</v>
      </c>
      <c r="U924" s="2">
        <v>1.26860536517032</v>
      </c>
      <c r="V924" s="2">
        <v>0.31034520850277703</v>
      </c>
      <c r="W924" s="2">
        <v>0.115473832467298</v>
      </c>
      <c r="X924" s="2">
        <v>3.69432294854888</v>
      </c>
      <c r="Y924" s="2">
        <v>1.0223904154052901</v>
      </c>
      <c r="Z924" s="7">
        <v>64.801178203239999</v>
      </c>
      <c r="AA924" s="2">
        <v>3.8436941651424701</v>
      </c>
      <c r="AB924" s="7">
        <v>57.020965343930797</v>
      </c>
      <c r="AC924" s="2">
        <v>3.1293741054701401</v>
      </c>
      <c r="AD924" s="2">
        <v>86.815693971319902</v>
      </c>
      <c r="AE924" s="2">
        <v>28.752931075259799</v>
      </c>
      <c r="AF924" s="2">
        <v>111.799060022769</v>
      </c>
      <c r="AG924" s="2">
        <v>4.6334840379834796</v>
      </c>
      <c r="AH924" s="2">
        <v>67.2809342284162</v>
      </c>
      <c r="AI924" s="2">
        <v>17.828526300964601</v>
      </c>
      <c r="AJ924" s="2">
        <v>76.899904636278805</v>
      </c>
      <c r="AK924" s="2">
        <v>28.613062040045602</v>
      </c>
      <c r="AL924" s="2">
        <v>109.84210483216999</v>
      </c>
      <c r="AM924" s="2">
        <v>30.3984022924868</v>
      </c>
      <c r="AN924"/>
      <c r="AO924"/>
    </row>
    <row r="925" spans="1:41" ht="15.75" hidden="1" customHeight="1" x14ac:dyDescent="0.45">
      <c r="A925" s="2" t="s">
        <v>184</v>
      </c>
      <c r="B925" s="2" t="s">
        <v>82</v>
      </c>
      <c r="C925" s="2">
        <v>0.3</v>
      </c>
      <c r="D925" s="2"/>
      <c r="E925" s="2" t="s">
        <v>83</v>
      </c>
      <c r="F925" s="2" t="s">
        <v>84</v>
      </c>
      <c r="H925" s="2">
        <v>0.1</v>
      </c>
      <c r="J925" s="2">
        <v>0.10186100100000001</v>
      </c>
      <c r="K925" s="2">
        <v>17.252637091366601</v>
      </c>
      <c r="L925" s="2"/>
      <c r="M925" s="2">
        <v>2.4147276826912898</v>
      </c>
      <c r="N925" s="2">
        <v>184.722222222222</v>
      </c>
      <c r="O925" s="2">
        <v>17.908202134879001</v>
      </c>
      <c r="P925" s="2">
        <v>15.976883811716601</v>
      </c>
      <c r="Q925" s="2">
        <v>1.1920918036210999</v>
      </c>
      <c r="R925" s="2">
        <v>2.1149300801566602</v>
      </c>
      <c r="S925" s="2">
        <v>0.47155734793337301</v>
      </c>
      <c r="T925" s="2">
        <v>8.4402132627222208</v>
      </c>
      <c r="U925" s="2">
        <v>3.6969421470310899</v>
      </c>
      <c r="V925" s="2">
        <v>0.35268361501555501</v>
      </c>
      <c r="W925" s="2">
        <v>0.27510675216404501</v>
      </c>
      <c r="X925" s="2">
        <v>4.7210201719722198</v>
      </c>
      <c r="Y925" s="2">
        <v>0.388555970887621</v>
      </c>
      <c r="Z925" s="7">
        <v>51.5463917525773</v>
      </c>
      <c r="AA925" s="2">
        <v>4.9972504213289302</v>
      </c>
      <c r="AB925" s="7">
        <v>37.556250593543503</v>
      </c>
      <c r="AC925" s="2">
        <v>5.2564786175037401</v>
      </c>
      <c r="AD925" s="2">
        <v>191.297370219589</v>
      </c>
      <c r="AE925" s="2">
        <v>83.791166001048694</v>
      </c>
      <c r="AF925" s="2">
        <v>82.920373626538904</v>
      </c>
      <c r="AG925" s="2">
        <v>6.1869823251080804</v>
      </c>
      <c r="AH925" s="2">
        <v>37.7091432825951</v>
      </c>
      <c r="AI925" s="2">
        <v>8.4078541253065495</v>
      </c>
      <c r="AJ925" s="2">
        <v>87.390865456946599</v>
      </c>
      <c r="AK925" s="2">
        <v>68.168228239367593</v>
      </c>
      <c r="AL925" s="2">
        <v>140.368560049211</v>
      </c>
      <c r="AM925" s="2">
        <v>11.552808534015201</v>
      </c>
      <c r="AN925"/>
      <c r="AO925"/>
    </row>
    <row r="926" spans="1:41" ht="15.75" hidden="1" customHeight="1" x14ac:dyDescent="0.45">
      <c r="A926" s="2" t="s">
        <v>184</v>
      </c>
      <c r="B926" s="2" t="s">
        <v>82</v>
      </c>
      <c r="C926" s="2">
        <v>1</v>
      </c>
      <c r="D926" s="2"/>
      <c r="E926" s="2" t="s">
        <v>83</v>
      </c>
      <c r="F926" s="2" t="s">
        <v>84</v>
      </c>
      <c r="H926" s="2">
        <v>0.1</v>
      </c>
      <c r="J926" s="2">
        <v>0.10186100100000001</v>
      </c>
      <c r="K926" s="2">
        <v>14.900825023377701</v>
      </c>
      <c r="L926" s="2"/>
      <c r="M926" s="2">
        <v>2.2547562931946699</v>
      </c>
      <c r="N926" s="2">
        <v>143.944444444444</v>
      </c>
      <c r="O926" s="2">
        <v>9.8563760149528896</v>
      </c>
      <c r="P926" s="2">
        <v>17.536460737055499</v>
      </c>
      <c r="Q926" s="2">
        <v>1.6187890039261601</v>
      </c>
      <c r="R926" s="2">
        <v>1.60151193195555</v>
      </c>
      <c r="S926" s="2">
        <v>0.44015291795766798</v>
      </c>
      <c r="T926" s="2">
        <v>6.8842719243605499</v>
      </c>
      <c r="U926" s="2">
        <v>3.25524917732394</v>
      </c>
      <c r="V926" s="2">
        <v>0.98791635651611098</v>
      </c>
      <c r="W926" s="2">
        <v>0.22103205478664401</v>
      </c>
      <c r="X926" s="2">
        <v>3.9060232521938798</v>
      </c>
      <c r="Y926" s="2">
        <v>0.77414361915977503</v>
      </c>
      <c r="Z926" s="7">
        <v>40.167428881482003</v>
      </c>
      <c r="AA926" s="2">
        <v>2.7504033527502001</v>
      </c>
      <c r="AB926" s="7">
        <v>32.436729275929501</v>
      </c>
      <c r="AC926" s="2">
        <v>4.90824631191966</v>
      </c>
      <c r="AD926" s="2">
        <v>156.031971469637</v>
      </c>
      <c r="AE926" s="2">
        <v>73.780198159436907</v>
      </c>
      <c r="AF926" s="2">
        <v>91.014611706532506</v>
      </c>
      <c r="AG926" s="2">
        <v>8.4015500525610598</v>
      </c>
      <c r="AH926" s="2">
        <v>28.5549122770168</v>
      </c>
      <c r="AI926" s="2">
        <v>7.8479140304669404</v>
      </c>
      <c r="AJ926" s="2">
        <v>244.794092266544</v>
      </c>
      <c r="AK926" s="2">
        <v>54.769152121456301</v>
      </c>
      <c r="AL926" s="2">
        <v>116.136521229933</v>
      </c>
      <c r="AM926" s="2">
        <v>23.017360895398902</v>
      </c>
      <c r="AN926"/>
      <c r="AO926"/>
    </row>
    <row r="927" spans="1:41" ht="15.75" hidden="1" customHeight="1" x14ac:dyDescent="0.45">
      <c r="A927" s="2" t="s">
        <v>184</v>
      </c>
      <c r="B927" s="2" t="s">
        <v>82</v>
      </c>
      <c r="C927" s="2">
        <v>3</v>
      </c>
      <c r="D927" s="2"/>
      <c r="E927" s="2" t="s">
        <v>83</v>
      </c>
      <c r="F927" s="2" t="s">
        <v>84</v>
      </c>
      <c r="H927" s="2">
        <v>0.1</v>
      </c>
      <c r="J927" s="2">
        <v>0.10186100100000001</v>
      </c>
      <c r="K927" s="2">
        <v>10.48602887865</v>
      </c>
      <c r="L927" s="2"/>
      <c r="M927" s="2">
        <v>1.4581364646638799</v>
      </c>
      <c r="N927" s="2">
        <v>140.277777777777</v>
      </c>
      <c r="O927" s="2">
        <v>14.4773130308281</v>
      </c>
      <c r="P927" s="2">
        <v>16.0005066428444</v>
      </c>
      <c r="Q927" s="2">
        <v>0.58982053538327806</v>
      </c>
      <c r="R927" s="2">
        <v>2.3527619501622201</v>
      </c>
      <c r="S927" s="2">
        <v>0.26070817379981798</v>
      </c>
      <c r="T927" s="2">
        <v>5.77246707446111</v>
      </c>
      <c r="U927" s="2">
        <v>2.4483356182304199</v>
      </c>
      <c r="V927" s="2">
        <v>0.78426796656222197</v>
      </c>
      <c r="W927" s="2">
        <v>8.5290934808467597E-2</v>
      </c>
      <c r="X927" s="2">
        <v>4.6737075540499902</v>
      </c>
      <c r="Y927" s="2">
        <v>1.4310002667494</v>
      </c>
      <c r="Z927" s="7">
        <v>39.144252383536099</v>
      </c>
      <c r="AA927" s="2">
        <v>4.03986721269525</v>
      </c>
      <c r="AB927" s="7">
        <v>22.8264193011271</v>
      </c>
      <c r="AC927" s="2">
        <v>3.1741314777845702</v>
      </c>
      <c r="AD927" s="2">
        <v>130.832922895531</v>
      </c>
      <c r="AE927" s="2">
        <v>55.491508401930197</v>
      </c>
      <c r="AF927" s="2">
        <v>83.042976632626704</v>
      </c>
      <c r="AG927" s="2">
        <v>3.0611813757273301</v>
      </c>
      <c r="AH927" s="2">
        <v>41.949678772327502</v>
      </c>
      <c r="AI927" s="2">
        <v>4.6484193368855102</v>
      </c>
      <c r="AJ927" s="2">
        <v>194.332408510129</v>
      </c>
      <c r="AK927" s="2">
        <v>21.1340938200807</v>
      </c>
      <c r="AL927" s="2">
        <v>138.961829341021</v>
      </c>
      <c r="AM927" s="2">
        <v>42.5474663434319</v>
      </c>
      <c r="AN927"/>
      <c r="AO927"/>
    </row>
    <row r="928" spans="1:41" ht="15.75" hidden="1" customHeight="1" x14ac:dyDescent="0.45">
      <c r="A928" s="2" t="s">
        <v>184</v>
      </c>
      <c r="B928" s="2" t="s">
        <v>82</v>
      </c>
      <c r="C928" s="2">
        <v>10</v>
      </c>
      <c r="D928" s="2"/>
      <c r="E928" s="2" t="s">
        <v>83</v>
      </c>
      <c r="F928" s="2" t="s">
        <v>84</v>
      </c>
      <c r="H928" s="2">
        <v>0.1</v>
      </c>
      <c r="J928" s="2">
        <v>0.10186100100000001</v>
      </c>
      <c r="K928" s="2">
        <v>8.0607907522888809</v>
      </c>
      <c r="L928" s="2"/>
      <c r="M928" s="2">
        <v>1.16864009872813</v>
      </c>
      <c r="N928" s="2">
        <v>102.166666666666</v>
      </c>
      <c r="O928" s="2">
        <v>9.6191360203387895</v>
      </c>
      <c r="P928" s="2">
        <v>15.8163887944555</v>
      </c>
      <c r="Q928" s="2">
        <v>0.81557785114528303</v>
      </c>
      <c r="R928" s="2">
        <v>0.88270164549166596</v>
      </c>
      <c r="S928" s="2">
        <v>0.208213365655882</v>
      </c>
      <c r="T928" s="2">
        <v>5.0931540307838796</v>
      </c>
      <c r="U928" s="2">
        <v>2.3636099030782001</v>
      </c>
      <c r="V928" s="2">
        <v>0.65040730078777698</v>
      </c>
      <c r="W928" s="2">
        <v>0.250068174509196</v>
      </c>
      <c r="X928" s="2">
        <v>3.5834287609333302</v>
      </c>
      <c r="Y928" s="2">
        <v>0.59202854216883705</v>
      </c>
      <c r="Z928" s="7">
        <v>28.509417874583299</v>
      </c>
      <c r="AA928" s="2">
        <v>2.68420197451512</v>
      </c>
      <c r="AB928" s="7">
        <v>17.547061117199799</v>
      </c>
      <c r="AC928" s="2">
        <v>2.5439438718304599</v>
      </c>
      <c r="AD928" s="2">
        <v>115.436297861745</v>
      </c>
      <c r="AE928" s="2">
        <v>53.571200704234997</v>
      </c>
      <c r="AF928" s="2">
        <v>82.087401004760906</v>
      </c>
      <c r="AG928" s="2">
        <v>4.2328667426936901</v>
      </c>
      <c r="AH928" s="2">
        <v>15.738545277658501</v>
      </c>
      <c r="AI928" s="2">
        <v>3.7124383980993998</v>
      </c>
      <c r="AJ928" s="2">
        <v>161.16330471676</v>
      </c>
      <c r="AK928" s="2">
        <v>61.963962211948797</v>
      </c>
      <c r="AL928" s="2">
        <v>106.544923954648</v>
      </c>
      <c r="AM928" s="2">
        <v>17.602592436616799</v>
      </c>
      <c r="AN928"/>
      <c r="AO928"/>
    </row>
    <row r="929" spans="1:41" ht="15.75" hidden="1" customHeight="1" x14ac:dyDescent="0.45">
      <c r="A929" s="2" t="s">
        <v>184</v>
      </c>
      <c r="B929" s="2" t="s">
        <v>82</v>
      </c>
      <c r="C929" s="2">
        <v>3.0000000000000001E-3</v>
      </c>
      <c r="D929" s="2"/>
      <c r="E929" s="2" t="s">
        <v>85</v>
      </c>
      <c r="F929" s="2" t="s">
        <v>84</v>
      </c>
      <c r="G929" s="2" t="s">
        <v>86</v>
      </c>
      <c r="H929" s="2">
        <v>3.4</v>
      </c>
      <c r="I929" s="2">
        <v>3539</v>
      </c>
      <c r="J929" s="2">
        <v>3.4</v>
      </c>
      <c r="K929" s="2">
        <v>4.0538316130777696</v>
      </c>
      <c r="L929" s="2"/>
      <c r="M929" s="2">
        <v>0.23128537922967499</v>
      </c>
      <c r="N929" s="2">
        <v>167.888888888888</v>
      </c>
      <c r="O929" s="2">
        <v>5.8030962361415002</v>
      </c>
      <c r="P929" s="2">
        <v>0.48135948206666601</v>
      </c>
      <c r="Q929" s="2">
        <v>0.23480624770414801</v>
      </c>
      <c r="R929" s="2">
        <v>0.60178888957611099</v>
      </c>
      <c r="S929" s="2">
        <v>0.87476189798279602</v>
      </c>
      <c r="T929" s="2">
        <v>7.7688656088055499</v>
      </c>
      <c r="U929" s="2">
        <v>1.7426858505568099</v>
      </c>
      <c r="V929" s="2">
        <v>3.5385704175555498E-2</v>
      </c>
      <c r="W929" s="2">
        <v>6.1289837493664401E-2</v>
      </c>
      <c r="X929" s="2">
        <v>0.43886350289055498</v>
      </c>
      <c r="Y929" s="2">
        <v>0.39499195684632699</v>
      </c>
      <c r="Z929" s="7">
        <v>108.746828436603</v>
      </c>
      <c r="AA929" s="2">
        <v>5.7471248424443901</v>
      </c>
      <c r="AB929" s="7">
        <v>97.691527051316896</v>
      </c>
      <c r="AC929" s="2">
        <v>11.6081329415989</v>
      </c>
      <c r="AD929" s="2">
        <v>104.35078414475301</v>
      </c>
      <c r="AE929" s="2">
        <v>39.082560824246599</v>
      </c>
      <c r="AF929" s="2">
        <v>202.57063331041701</v>
      </c>
      <c r="AG929" s="2">
        <v>36.825207285507801</v>
      </c>
      <c r="AH929" s="2">
        <v>139.46022687094299</v>
      </c>
      <c r="AI929" s="2">
        <v>183.12318535587701</v>
      </c>
      <c r="AJ929" s="2">
        <v>1329.93630574139</v>
      </c>
      <c r="AK929" s="2">
        <v>0</v>
      </c>
      <c r="AL929" s="2">
        <v>111.068704073433</v>
      </c>
      <c r="AM929" s="2">
        <v>113.155804045727</v>
      </c>
      <c r="AN929"/>
      <c r="AO929"/>
    </row>
    <row r="930" spans="1:41" ht="15.75" hidden="1" customHeight="1" x14ac:dyDescent="0.45">
      <c r="A930" s="2" t="s">
        <v>184</v>
      </c>
      <c r="B930" s="2" t="s">
        <v>82</v>
      </c>
      <c r="C930" s="2">
        <v>0.01</v>
      </c>
      <c r="D930" s="2"/>
      <c r="E930" s="2" t="s">
        <v>85</v>
      </c>
      <c r="F930" s="2" t="s">
        <v>84</v>
      </c>
      <c r="G930" s="2" t="s">
        <v>86</v>
      </c>
      <c r="H930" s="2">
        <v>3.4</v>
      </c>
      <c r="I930" s="2">
        <v>3539</v>
      </c>
      <c r="J930" s="2">
        <v>3.4</v>
      </c>
      <c r="K930" s="2">
        <v>4.3165048824733301</v>
      </c>
      <c r="L930" s="2"/>
      <c r="M930" s="2">
        <v>1.7129971369877099</v>
      </c>
      <c r="N930" s="2">
        <v>150.722222222222</v>
      </c>
      <c r="O930" s="2">
        <v>25.2874218477032</v>
      </c>
      <c r="P930" s="2">
        <v>0.21847150527611101</v>
      </c>
      <c r="Q930" s="2">
        <v>0.21827990143433401</v>
      </c>
      <c r="R930" s="2">
        <v>0.32753681196000001</v>
      </c>
      <c r="S930" s="2">
        <v>0.34769216000150299</v>
      </c>
      <c r="T930" s="2">
        <v>6.5884428078499901</v>
      </c>
      <c r="U930" s="2">
        <v>1.0037578348818601</v>
      </c>
      <c r="V930" s="2">
        <v>6.6137566138888798E-2</v>
      </c>
      <c r="W930" s="2">
        <v>0.114553624841502</v>
      </c>
      <c r="X930" s="2">
        <v>0.72964249553499905</v>
      </c>
      <c r="Y930" s="2">
        <v>0.24646897296908099</v>
      </c>
      <c r="Z930" s="7">
        <v>97.830768641722102</v>
      </c>
      <c r="AA930" s="2">
        <v>18.742562867408701</v>
      </c>
      <c r="AB930" s="7">
        <v>101.76460863037499</v>
      </c>
      <c r="AC930" s="2">
        <v>34.809424528923699</v>
      </c>
      <c r="AD930" s="2">
        <v>88.300355671898203</v>
      </c>
      <c r="AE930" s="2">
        <v>28.724825044266701</v>
      </c>
      <c r="AF930" s="2">
        <v>114.587260653363</v>
      </c>
      <c r="AG930" s="2">
        <v>99.581634704762905</v>
      </c>
      <c r="AH930" s="2">
        <v>115.152836079097</v>
      </c>
      <c r="AI930" s="2">
        <v>126.517876531374</v>
      </c>
      <c r="AJ930" s="2">
        <v>2485.7142857776698</v>
      </c>
      <c r="AK930" s="2">
        <v>0</v>
      </c>
      <c r="AL930" s="2">
        <v>180.98378507971199</v>
      </c>
      <c r="AM930" s="2">
        <v>14.412292694674999</v>
      </c>
      <c r="AN930"/>
      <c r="AO930"/>
    </row>
    <row r="931" spans="1:41" ht="15.75" hidden="1" customHeight="1" x14ac:dyDescent="0.45">
      <c r="A931" s="2" t="s">
        <v>184</v>
      </c>
      <c r="B931" s="2" t="s">
        <v>82</v>
      </c>
      <c r="C931" s="2">
        <v>0.03</v>
      </c>
      <c r="D931" s="2"/>
      <c r="E931" s="2" t="s">
        <v>85</v>
      </c>
      <c r="F931" s="2" t="s">
        <v>84</v>
      </c>
      <c r="G931" s="2" t="s">
        <v>86</v>
      </c>
      <c r="H931" s="2">
        <v>3.4</v>
      </c>
      <c r="I931" s="2">
        <v>3539</v>
      </c>
      <c r="J931" s="2">
        <v>3.4</v>
      </c>
      <c r="K931" s="2">
        <v>4.6155960219055503</v>
      </c>
      <c r="L931" s="2"/>
      <c r="M931" s="2">
        <v>2.0059066495422999</v>
      </c>
      <c r="N931" s="2">
        <v>151.555555555555</v>
      </c>
      <c r="O931" s="2">
        <v>29.182059430283299</v>
      </c>
      <c r="P931" s="2">
        <v>0.386038790381111</v>
      </c>
      <c r="Q931" s="2">
        <v>0.48702147195642798</v>
      </c>
      <c r="R931" s="2">
        <v>0.101123224908888</v>
      </c>
      <c r="S931" s="2">
        <v>9.0170228941324607E-2</v>
      </c>
      <c r="T931" s="2">
        <v>5.2189739282833303</v>
      </c>
      <c r="U931" s="2">
        <v>0.53223650976051795</v>
      </c>
      <c r="V931" s="2">
        <v>0</v>
      </c>
      <c r="W931" s="2">
        <v>0</v>
      </c>
      <c r="X931" s="2">
        <v>0.252667418976666</v>
      </c>
      <c r="Y931" s="2">
        <v>0.161101405114602</v>
      </c>
      <c r="Z931" s="7">
        <v>98.218158690594706</v>
      </c>
      <c r="AA931" s="2">
        <v>19.639077976775901</v>
      </c>
      <c r="AB931" s="7">
        <v>110.17788881492299</v>
      </c>
      <c r="AC931" s="2">
        <v>47.144591242891003</v>
      </c>
      <c r="AD931" s="2">
        <v>69.6491427727737</v>
      </c>
      <c r="AE931" s="2">
        <v>21.3262756538874</v>
      </c>
      <c r="AF931" s="2">
        <v>132.37381727619999</v>
      </c>
      <c r="AG931" s="2">
        <v>125.571079843795</v>
      </c>
      <c r="AH931" s="2">
        <v>36.954753866157098</v>
      </c>
      <c r="AI931" s="2">
        <v>42.064839220090398</v>
      </c>
      <c r="AJ931" s="2">
        <v>0</v>
      </c>
      <c r="AK931" s="2">
        <v>0</v>
      </c>
      <c r="AL931" s="2">
        <v>63.732053107916499</v>
      </c>
      <c r="AM931" s="2">
        <v>44.390253407152002</v>
      </c>
      <c r="AN931"/>
      <c r="AO931"/>
    </row>
    <row r="932" spans="1:41" ht="15.75" hidden="1" customHeight="1" x14ac:dyDescent="0.45">
      <c r="A932" s="2" t="s">
        <v>184</v>
      </c>
      <c r="B932" s="2" t="s">
        <v>82</v>
      </c>
      <c r="C932" s="2">
        <v>0.1</v>
      </c>
      <c r="D932" s="2"/>
      <c r="E932" s="2" t="s">
        <v>85</v>
      </c>
      <c r="F932" s="2" t="s">
        <v>84</v>
      </c>
      <c r="G932" s="2" t="s">
        <v>86</v>
      </c>
      <c r="H932" s="2">
        <v>3.4</v>
      </c>
      <c r="I932" s="2">
        <v>3539</v>
      </c>
      <c r="J932" s="2">
        <v>3.4</v>
      </c>
      <c r="K932" s="2">
        <v>3.98574072093888</v>
      </c>
      <c r="L932" s="2"/>
      <c r="M932" s="2">
        <v>0.74560451136985295</v>
      </c>
      <c r="N932" s="2">
        <v>151.5</v>
      </c>
      <c r="O932" s="2">
        <v>23.430749027719902</v>
      </c>
      <c r="P932" s="2">
        <v>0.18901967012777701</v>
      </c>
      <c r="Q932" s="2">
        <v>4.1333843918881299E-2</v>
      </c>
      <c r="R932" s="2">
        <v>0.13920367591499999</v>
      </c>
      <c r="S932" s="2">
        <v>8.0262503198621493E-2</v>
      </c>
      <c r="T932" s="2">
        <v>8.0456511323944397</v>
      </c>
      <c r="U932" s="2">
        <v>4.1970721990127204</v>
      </c>
      <c r="V932" s="2">
        <v>0</v>
      </c>
      <c r="W932" s="2">
        <v>0</v>
      </c>
      <c r="X932" s="2">
        <v>0.41432698943166602</v>
      </c>
      <c r="Y932" s="2">
        <v>0.178139505665733</v>
      </c>
      <c r="Z932" s="7">
        <v>98.105912216813394</v>
      </c>
      <c r="AA932" s="2">
        <v>15.219349688564799</v>
      </c>
      <c r="AB932" s="7">
        <v>95.731530050488601</v>
      </c>
      <c r="AC932" s="2">
        <v>18.071058566524499</v>
      </c>
      <c r="AD932" s="2">
        <v>114.553136124567</v>
      </c>
      <c r="AE932" s="2">
        <v>73.501946138276196</v>
      </c>
      <c r="AF932" s="2">
        <v>91.720971265130899</v>
      </c>
      <c r="AG932" s="2">
        <v>52.212523962643203</v>
      </c>
      <c r="AH932" s="2">
        <v>50.160680013832199</v>
      </c>
      <c r="AI932" s="2">
        <v>32.476677296726997</v>
      </c>
      <c r="AJ932" s="2">
        <v>0</v>
      </c>
      <c r="AK932" s="2">
        <v>0</v>
      </c>
      <c r="AL932" s="2">
        <v>102.76421430740901</v>
      </c>
      <c r="AM932" s="2">
        <v>33.154449917576301</v>
      </c>
      <c r="AN932"/>
      <c r="AO932"/>
    </row>
    <row r="933" spans="1:41" ht="15.75" hidden="1" customHeight="1" x14ac:dyDescent="0.45">
      <c r="A933" s="2" t="s">
        <v>184</v>
      </c>
      <c r="B933" s="2" t="s">
        <v>82</v>
      </c>
      <c r="C933" s="2">
        <v>0.3</v>
      </c>
      <c r="D933" s="2"/>
      <c r="E933" s="2" t="s">
        <v>85</v>
      </c>
      <c r="F933" s="2" t="s">
        <v>84</v>
      </c>
      <c r="G933" s="2" t="s">
        <v>86</v>
      </c>
      <c r="H933" s="2">
        <v>3.4</v>
      </c>
      <c r="I933" s="2">
        <v>3539</v>
      </c>
      <c r="J933" s="2">
        <v>3.4</v>
      </c>
      <c r="K933" s="2">
        <v>4.4813957499702699</v>
      </c>
      <c r="L933" s="2"/>
      <c r="M933" s="2">
        <v>3.86096140550214</v>
      </c>
      <c r="N933" s="2">
        <v>115.138888888888</v>
      </c>
      <c r="O933" s="2">
        <v>11.1773373560239</v>
      </c>
      <c r="P933" s="2">
        <v>0.18208321017000001</v>
      </c>
      <c r="Q933" s="2">
        <v>0.157747510539782</v>
      </c>
      <c r="R933" s="2">
        <v>1.9579209559749999</v>
      </c>
      <c r="S933" s="2">
        <v>3.2782237025819998</v>
      </c>
      <c r="T933" s="2">
        <v>7.5312608677000004</v>
      </c>
      <c r="U933" s="2">
        <v>1.53194659981884</v>
      </c>
      <c r="V933" s="2">
        <v>7.75344058927777E-2</v>
      </c>
      <c r="W933" s="2">
        <v>6.7630746964898597E-2</v>
      </c>
      <c r="X933" s="2">
        <v>0.63746481453833304</v>
      </c>
      <c r="Y933" s="2">
        <v>0.18323904683924599</v>
      </c>
      <c r="Z933" s="7">
        <v>74.768109222931599</v>
      </c>
      <c r="AA933" s="2">
        <v>10.06867546286</v>
      </c>
      <c r="AB933" s="7">
        <v>107.32611615816801</v>
      </c>
      <c r="AC933" s="2">
        <v>93.139314558082106</v>
      </c>
      <c r="AD933" s="2">
        <v>105.17892214374901</v>
      </c>
      <c r="AE933" s="2">
        <v>48.485982284713998</v>
      </c>
      <c r="AF933" s="2">
        <v>105.143799377081</v>
      </c>
      <c r="AG933" s="2">
        <v>100.79109097742</v>
      </c>
      <c r="AH933" s="2">
        <v>705.20504714935498</v>
      </c>
      <c r="AI933" s="2">
        <v>1167.5729870154801</v>
      </c>
      <c r="AJ933" s="2">
        <v>1355.84415585025</v>
      </c>
      <c r="AK933" s="2">
        <v>0</v>
      </c>
      <c r="AL933" s="2">
        <v>163.83575078260699</v>
      </c>
      <c r="AM933" s="2">
        <v>54.744700128830097</v>
      </c>
      <c r="AN933"/>
      <c r="AO933"/>
    </row>
    <row r="934" spans="1:41" ht="15.75" hidden="1" customHeight="1" x14ac:dyDescent="0.45">
      <c r="A934" s="2" t="s">
        <v>184</v>
      </c>
      <c r="B934" s="2" t="s">
        <v>82</v>
      </c>
      <c r="C934" s="2">
        <v>1</v>
      </c>
      <c r="D934" s="2"/>
      <c r="E934" s="2" t="s">
        <v>85</v>
      </c>
      <c r="F934" s="2" t="s">
        <v>84</v>
      </c>
      <c r="G934" s="2" t="s">
        <v>86</v>
      </c>
      <c r="H934" s="2">
        <v>3.4</v>
      </c>
      <c r="I934" s="2">
        <v>3539</v>
      </c>
      <c r="J934" s="2">
        <v>3.4</v>
      </c>
      <c r="K934" s="2">
        <v>1.0965547070666599</v>
      </c>
      <c r="L934" s="2"/>
      <c r="M934" s="2">
        <v>0.37414434757142701</v>
      </c>
      <c r="N934" s="2">
        <v>102.166666666666</v>
      </c>
      <c r="O934" s="2">
        <v>12.7573508221731</v>
      </c>
      <c r="P934" s="2">
        <v>0.44904790116277699</v>
      </c>
      <c r="Q934" s="2">
        <v>0.53329806662260804</v>
      </c>
      <c r="R934" s="2">
        <v>0.24925569479999901</v>
      </c>
      <c r="S934" s="2">
        <v>0.300369342095341</v>
      </c>
      <c r="T934" s="2">
        <v>9.89448937514444</v>
      </c>
      <c r="U934" s="2">
        <v>0.59302514352774904</v>
      </c>
      <c r="V934" s="2">
        <v>0.117307056551666</v>
      </c>
      <c r="W934" s="2">
        <v>0.20318178203384199</v>
      </c>
      <c r="X934" s="2">
        <v>0.49679037636055501</v>
      </c>
      <c r="Y934" s="2">
        <v>8.8058960783179596E-2</v>
      </c>
      <c r="Z934" s="7">
        <v>66.181085995530694</v>
      </c>
      <c r="AA934" s="2">
        <v>8.6924408264027306</v>
      </c>
      <c r="AB934" s="7">
        <v>26.733693825360401</v>
      </c>
      <c r="AC934" s="2">
        <v>10.176888636813199</v>
      </c>
      <c r="AD934" s="2">
        <v>133.97345437973701</v>
      </c>
      <c r="AE934" s="2">
        <v>44.499487741392599</v>
      </c>
      <c r="AF934" s="2">
        <v>288.69931054035101</v>
      </c>
      <c r="AG934" s="2">
        <v>424.603155238353</v>
      </c>
      <c r="AH934" s="2">
        <v>95.722936672872393</v>
      </c>
      <c r="AI934" s="2">
        <v>105.185948720176</v>
      </c>
      <c r="AJ934" s="2">
        <v>0</v>
      </c>
      <c r="AK934" s="2">
        <v>0</v>
      </c>
      <c r="AL934" s="2">
        <v>130.27089846055199</v>
      </c>
      <c r="AM934" s="2">
        <v>41.2228614606679</v>
      </c>
      <c r="AN934"/>
      <c r="AO934"/>
    </row>
    <row r="935" spans="1:41" ht="15.75" hidden="1" customHeight="1" x14ac:dyDescent="0.45">
      <c r="A935" s="2" t="s">
        <v>184</v>
      </c>
      <c r="B935" s="2" t="s">
        <v>82</v>
      </c>
      <c r="C935" s="2">
        <v>3</v>
      </c>
      <c r="D935" s="2"/>
      <c r="E935" s="2" t="s">
        <v>85</v>
      </c>
      <c r="F935" s="2" t="s">
        <v>84</v>
      </c>
      <c r="G935" s="2" t="s">
        <v>86</v>
      </c>
      <c r="H935" s="2">
        <v>3.4</v>
      </c>
      <c r="I935" s="2">
        <v>3539</v>
      </c>
      <c r="J935" s="2">
        <v>3.4</v>
      </c>
      <c r="K935" s="2">
        <v>0</v>
      </c>
      <c r="L935" s="2"/>
      <c r="M935" s="2">
        <v>0</v>
      </c>
      <c r="N935" s="2">
        <v>64.5555555555555</v>
      </c>
      <c r="O935" s="2">
        <v>2.8202311436657999</v>
      </c>
      <c r="P935" s="2">
        <v>0.25263951734444401</v>
      </c>
      <c r="Q935" s="2">
        <v>0.25649342098902</v>
      </c>
      <c r="R935" s="2">
        <v>0</v>
      </c>
      <c r="S935" s="2">
        <v>0</v>
      </c>
      <c r="T935" s="2">
        <v>17.7737068051111</v>
      </c>
      <c r="U935" s="2">
        <v>2.78766679201695</v>
      </c>
      <c r="V935" s="2">
        <v>0</v>
      </c>
      <c r="W935" s="2">
        <v>0</v>
      </c>
      <c r="X935" s="2">
        <v>1.24178840098333</v>
      </c>
      <c r="Y935" s="2">
        <v>0.79574691389456098</v>
      </c>
      <c r="Z935" s="7">
        <v>41.790423573439298</v>
      </c>
      <c r="AA935" s="2">
        <v>1.72327024598386</v>
      </c>
      <c r="AB935" s="7">
        <v>0</v>
      </c>
      <c r="AC935" s="2">
        <v>0</v>
      </c>
      <c r="AD935" s="2">
        <v>245.92636329712599</v>
      </c>
      <c r="AE935" s="2">
        <v>104.83644928612701</v>
      </c>
      <c r="AF935" s="2">
        <v>83.488619867332105</v>
      </c>
      <c r="AG935" s="2">
        <v>76.206420754097294</v>
      </c>
      <c r="AH935" s="2">
        <v>0</v>
      </c>
      <c r="AI935" s="2">
        <v>0</v>
      </c>
      <c r="AJ935" s="2">
        <v>0</v>
      </c>
      <c r="AK935" s="2">
        <v>0</v>
      </c>
      <c r="AL935" s="2">
        <v>351.422460129348</v>
      </c>
      <c r="AM935" s="2">
        <v>257.41590252161598</v>
      </c>
      <c r="AN935"/>
      <c r="AO935"/>
    </row>
    <row r="936" spans="1:41" ht="15.75" hidden="1" customHeight="1" x14ac:dyDescent="0.45">
      <c r="A936" s="2" t="s">
        <v>184</v>
      </c>
      <c r="B936" s="2" t="s">
        <v>82</v>
      </c>
      <c r="C936" s="2">
        <v>10</v>
      </c>
      <c r="D936" s="2"/>
      <c r="E936" s="2" t="s">
        <v>85</v>
      </c>
      <c r="F936" s="2" t="s">
        <v>84</v>
      </c>
      <c r="G936" s="2" t="s">
        <v>86</v>
      </c>
      <c r="H936" s="2">
        <v>3.4</v>
      </c>
      <c r="I936" s="2">
        <v>3539</v>
      </c>
      <c r="J936" s="2">
        <v>3.4</v>
      </c>
      <c r="K936" s="2">
        <v>0</v>
      </c>
      <c r="L936" s="2"/>
      <c r="M936" s="2">
        <v>0</v>
      </c>
      <c r="N936" s="2">
        <v>70.1111111111111</v>
      </c>
      <c r="O936" s="2">
        <v>10.726826875400601</v>
      </c>
      <c r="P936" s="2">
        <v>0.332023943133333</v>
      </c>
      <c r="Q936" s="2">
        <v>0.31128767752729603</v>
      </c>
      <c r="R936" s="2">
        <v>7.4074074072222204E-2</v>
      </c>
      <c r="S936" s="2">
        <v>0.128300059816709</v>
      </c>
      <c r="T936" s="2">
        <v>21.564865460322199</v>
      </c>
      <c r="U936" s="2">
        <v>2.7987634409955802</v>
      </c>
      <c r="V936" s="2">
        <v>0</v>
      </c>
      <c r="W936" s="2">
        <v>0</v>
      </c>
      <c r="X936" s="2">
        <v>1.16044949293888</v>
      </c>
      <c r="Y936" s="2">
        <v>0.82677433897244601</v>
      </c>
      <c r="Z936" s="7">
        <v>45.565026960798797</v>
      </c>
      <c r="AA936" s="2">
        <v>8.3485184764576097</v>
      </c>
      <c r="AB936" s="7">
        <v>0</v>
      </c>
      <c r="AC936" s="2">
        <v>0</v>
      </c>
      <c r="AD936" s="2">
        <v>289.35297666361203</v>
      </c>
      <c r="AE936" s="2">
        <v>92.189803762189001</v>
      </c>
      <c r="AF936" s="2">
        <v>154.28388898995701</v>
      </c>
      <c r="AG936" s="2">
        <v>143.26807596238399</v>
      </c>
      <c r="AH936" s="2">
        <v>16.0048868190981</v>
      </c>
      <c r="AI936" s="2">
        <v>27.7212771400674</v>
      </c>
      <c r="AJ936" s="2">
        <v>0</v>
      </c>
      <c r="AK936" s="2">
        <v>0</v>
      </c>
      <c r="AL936" s="2">
        <v>334.41880715781701</v>
      </c>
      <c r="AM936" s="2">
        <v>256.24434024497299</v>
      </c>
      <c r="AN936"/>
      <c r="AO936"/>
    </row>
    <row r="937" spans="1:41" ht="15.75" hidden="1" customHeight="1" x14ac:dyDescent="0.45">
      <c r="A937" s="2" t="s">
        <v>185</v>
      </c>
      <c r="B937" s="2" t="s">
        <v>186</v>
      </c>
      <c r="C937" s="2">
        <v>3.0000000000000001E-3</v>
      </c>
      <c r="D937" s="2"/>
      <c r="E937" s="2" t="s">
        <v>109</v>
      </c>
      <c r="F937" s="2" t="s">
        <v>84</v>
      </c>
      <c r="H937" s="2">
        <v>1.2</v>
      </c>
      <c r="J937" s="2">
        <v>1.2</v>
      </c>
      <c r="K937" s="2">
        <v>35.7222222222222</v>
      </c>
      <c r="L937" s="2"/>
      <c r="M937" s="2">
        <v>2.8593576072128601</v>
      </c>
      <c r="N937" s="2">
        <v>152.166666666666</v>
      </c>
      <c r="O937" s="2">
        <v>5.0000000000007203</v>
      </c>
      <c r="P937" s="2">
        <v>19.4444444444444</v>
      </c>
      <c r="Q937" s="2">
        <v>0.822147143719407</v>
      </c>
      <c r="R937" s="2">
        <v>1.7777777777777699</v>
      </c>
      <c r="S937" s="2">
        <v>0.38490017945975002</v>
      </c>
      <c r="T937" s="2">
        <v>3.7777777777777701</v>
      </c>
      <c r="U937" s="2">
        <v>0.53575837561072004</v>
      </c>
      <c r="V937" s="2">
        <v>0.38888888888888801</v>
      </c>
      <c r="W937" s="2">
        <v>0.25458753860865702</v>
      </c>
      <c r="X937" s="2">
        <v>2.6111111111111098</v>
      </c>
      <c r="Y937" s="2">
        <v>0.25458753860866101</v>
      </c>
      <c r="Z937" s="7">
        <v>105.98819773628701</v>
      </c>
      <c r="AA937" s="2">
        <v>3.48263519396393</v>
      </c>
      <c r="AB937" s="7">
        <v>100.46875</v>
      </c>
      <c r="AC937" s="2">
        <v>8.0419432702861897</v>
      </c>
      <c r="AD937" s="2">
        <v>77.272727272727195</v>
      </c>
      <c r="AE937" s="2">
        <v>10.958694046582901</v>
      </c>
      <c r="AF937" s="2">
        <v>115.894039735099</v>
      </c>
      <c r="AG937" s="2">
        <v>4.90021476389051</v>
      </c>
      <c r="AH937" s="2">
        <v>76.190476190476105</v>
      </c>
      <c r="AI937" s="2">
        <v>16.495721976846401</v>
      </c>
      <c r="AJ937" s="2">
        <v>63.636363636363598</v>
      </c>
      <c r="AK937" s="2">
        <v>41.659779045053099</v>
      </c>
      <c r="AL937" s="2">
        <v>116.049382716049</v>
      </c>
      <c r="AM937" s="2">
        <v>11.3150017159405</v>
      </c>
      <c r="AN937"/>
      <c r="AO937"/>
    </row>
    <row r="938" spans="1:41" ht="15.75" hidden="1" customHeight="1" x14ac:dyDescent="0.45">
      <c r="A938" s="2" t="s">
        <v>185</v>
      </c>
      <c r="B938" s="2" t="s">
        <v>186</v>
      </c>
      <c r="C938" s="2">
        <v>0.01</v>
      </c>
      <c r="D938" s="2"/>
      <c r="E938" s="2" t="s">
        <v>109</v>
      </c>
      <c r="F938" s="2" t="s">
        <v>84</v>
      </c>
      <c r="H938" s="2">
        <v>1.2</v>
      </c>
      <c r="J938" s="2">
        <v>1.2</v>
      </c>
      <c r="K938" s="2">
        <v>36.7222222222222</v>
      </c>
      <c r="L938" s="2"/>
      <c r="M938" s="2">
        <v>2.0705161281760001</v>
      </c>
      <c r="N938" s="2">
        <v>160.055555555555</v>
      </c>
      <c r="O938" s="2">
        <v>15.3245747932068</v>
      </c>
      <c r="P938" s="2">
        <v>18.1111111111111</v>
      </c>
      <c r="Q938" s="2">
        <v>0.254587538608814</v>
      </c>
      <c r="R938" s="2">
        <v>1.88888888888888</v>
      </c>
      <c r="S938" s="2">
        <v>0.67357531405456395</v>
      </c>
      <c r="T938" s="2">
        <v>4.1111111111111098</v>
      </c>
      <c r="U938" s="2">
        <v>1.0046189622236099</v>
      </c>
      <c r="V938" s="2">
        <v>0.61111111111111105</v>
      </c>
      <c r="W938" s="2">
        <v>0.19245008972987501</v>
      </c>
      <c r="X938" s="2">
        <v>2.6666666666666599</v>
      </c>
      <c r="Y938" s="2">
        <v>0.33333333333333498</v>
      </c>
      <c r="Z938" s="7">
        <v>111.483022153429</v>
      </c>
      <c r="AA938" s="2">
        <v>10.6739807014694</v>
      </c>
      <c r="AB938" s="7">
        <v>103.28125</v>
      </c>
      <c r="AC938" s="2">
        <v>5.8233266104950099</v>
      </c>
      <c r="AD938" s="2">
        <v>84.090909090909093</v>
      </c>
      <c r="AE938" s="2">
        <v>20.5490242273011</v>
      </c>
      <c r="AF938" s="2">
        <v>107.947019867549</v>
      </c>
      <c r="AG938" s="2">
        <v>1.5174091705161099</v>
      </c>
      <c r="AH938" s="2">
        <v>80.952380952380906</v>
      </c>
      <c r="AI938" s="2">
        <v>28.867513459481302</v>
      </c>
      <c r="AJ938" s="2">
        <v>100</v>
      </c>
      <c r="AK938" s="2">
        <v>31.4918328648886</v>
      </c>
      <c r="AL938" s="2">
        <v>118.51851851851799</v>
      </c>
      <c r="AM938" s="2">
        <v>14.8148148148149</v>
      </c>
      <c r="AN938"/>
      <c r="AO938"/>
    </row>
    <row r="939" spans="1:41" ht="15.75" hidden="1" customHeight="1" x14ac:dyDescent="0.45">
      <c r="A939" s="2" t="s">
        <v>185</v>
      </c>
      <c r="B939" s="2" t="s">
        <v>186</v>
      </c>
      <c r="C939" s="2">
        <v>0.03</v>
      </c>
      <c r="D939" s="2"/>
      <c r="E939" s="2" t="s">
        <v>109</v>
      </c>
      <c r="F939" s="2" t="s">
        <v>84</v>
      </c>
      <c r="H939" s="2">
        <v>1.2</v>
      </c>
      <c r="J939" s="2">
        <v>1.2</v>
      </c>
      <c r="K939" s="2">
        <v>33.9444444444444</v>
      </c>
      <c r="L939" s="2"/>
      <c r="M939" s="2">
        <v>1.4369463507086</v>
      </c>
      <c r="N939" s="2">
        <v>149.277777777777</v>
      </c>
      <c r="O939" s="2">
        <v>5.6083601617324801</v>
      </c>
      <c r="P939" s="2">
        <v>20.6111111111111</v>
      </c>
      <c r="Q939" s="2">
        <v>1.3471506281091501</v>
      </c>
      <c r="R939" s="2">
        <v>2</v>
      </c>
      <c r="S939" s="2">
        <v>0.83333333333333304</v>
      </c>
      <c r="T939" s="2">
        <v>3.7222222222222201</v>
      </c>
      <c r="U939" s="2">
        <v>1.6015039228221699</v>
      </c>
      <c r="V939" s="2">
        <v>0.5</v>
      </c>
      <c r="W939" s="2">
        <v>0.16666666666666599</v>
      </c>
      <c r="X939" s="2">
        <v>2.2777777777777701</v>
      </c>
      <c r="Y939" s="2">
        <v>0.91792842454768397</v>
      </c>
      <c r="Z939" s="7">
        <v>103.976008513108</v>
      </c>
      <c r="AA939" s="2">
        <v>3.90637449593439</v>
      </c>
      <c r="AB939" s="7">
        <v>95.46875</v>
      </c>
      <c r="AC939" s="2">
        <v>4.0414116113679501</v>
      </c>
      <c r="AD939" s="2">
        <v>76.136363636363598</v>
      </c>
      <c r="AE939" s="2">
        <v>32.758034784998998</v>
      </c>
      <c r="AF939" s="2">
        <v>122.847682119205</v>
      </c>
      <c r="AG939" s="2">
        <v>8.0293746046241097</v>
      </c>
      <c r="AH939" s="2">
        <v>85.714285714285694</v>
      </c>
      <c r="AI939" s="2">
        <v>35.714285714285701</v>
      </c>
      <c r="AJ939" s="2">
        <v>81.818181818181799</v>
      </c>
      <c r="AK939" s="2">
        <v>27.272727272727199</v>
      </c>
      <c r="AL939" s="2">
        <v>101.234567901234</v>
      </c>
      <c r="AM939" s="2">
        <v>40.796818868785898</v>
      </c>
      <c r="AN939"/>
      <c r="AO939"/>
    </row>
    <row r="940" spans="1:41" ht="15.75" hidden="1" customHeight="1" x14ac:dyDescent="0.45">
      <c r="A940" s="2" t="s">
        <v>185</v>
      </c>
      <c r="B940" s="2" t="s">
        <v>186</v>
      </c>
      <c r="C940" s="2">
        <v>0.1</v>
      </c>
      <c r="D940" s="2"/>
      <c r="E940" s="2" t="s">
        <v>109</v>
      </c>
      <c r="F940" s="2" t="s">
        <v>84</v>
      </c>
      <c r="H940" s="2">
        <v>1.2</v>
      </c>
      <c r="J940" s="2">
        <v>1.2</v>
      </c>
      <c r="K940" s="2">
        <v>33.8333333333333</v>
      </c>
      <c r="L940" s="2"/>
      <c r="M940" s="2">
        <v>2.1858128414339499</v>
      </c>
      <c r="N940" s="2">
        <v>148.055555555555</v>
      </c>
      <c r="O940" s="2">
        <v>7.1187025451210104</v>
      </c>
      <c r="P940" s="2">
        <v>18.9444444444444</v>
      </c>
      <c r="Q940" s="2">
        <v>1.2619796324000201</v>
      </c>
      <c r="R940" s="2">
        <v>1.7777777777777699</v>
      </c>
      <c r="S940" s="2">
        <v>0.34694433324435497</v>
      </c>
      <c r="T940" s="2">
        <v>2.8333333333333299</v>
      </c>
      <c r="U940" s="2">
        <v>0.33333333333333198</v>
      </c>
      <c r="V940" s="2">
        <v>0.5</v>
      </c>
      <c r="W940" s="2">
        <v>0.28867513459481198</v>
      </c>
      <c r="X940" s="2">
        <v>2</v>
      </c>
      <c r="Y940" s="2">
        <v>0.28867513459480998</v>
      </c>
      <c r="Z940" s="7">
        <v>103.12469768791701</v>
      </c>
      <c r="AA940" s="2">
        <v>4.9583688037991003</v>
      </c>
      <c r="AB940" s="7">
        <v>95.15625</v>
      </c>
      <c r="AC940" s="2">
        <v>6.1475986165330099</v>
      </c>
      <c r="AD940" s="2">
        <v>57.954545454545404</v>
      </c>
      <c r="AE940" s="2">
        <v>6.8181818181817997</v>
      </c>
      <c r="AF940" s="2">
        <v>112.913907284768</v>
      </c>
      <c r="AG940" s="2">
        <v>7.5217329083445001</v>
      </c>
      <c r="AH940" s="2">
        <v>76.190476190476105</v>
      </c>
      <c r="AI940" s="2">
        <v>14.8690428533295</v>
      </c>
      <c r="AJ940" s="2">
        <v>81.818181818181799</v>
      </c>
      <c r="AK940" s="2">
        <v>47.237749297332897</v>
      </c>
      <c r="AL940" s="2">
        <v>88.8888888888888</v>
      </c>
      <c r="AM940" s="2">
        <v>12.8300059819915</v>
      </c>
      <c r="AN940"/>
      <c r="AO940"/>
    </row>
    <row r="941" spans="1:41" ht="15.75" hidden="1" customHeight="1" x14ac:dyDescent="0.45">
      <c r="A941" s="2" t="s">
        <v>185</v>
      </c>
      <c r="B941" s="2" t="s">
        <v>186</v>
      </c>
      <c r="C941" s="2">
        <v>0.3</v>
      </c>
      <c r="D941" s="2"/>
      <c r="E941" s="2" t="s">
        <v>109</v>
      </c>
      <c r="F941" s="2" t="s">
        <v>84</v>
      </c>
      <c r="H941" s="2">
        <v>1.2</v>
      </c>
      <c r="J941" s="2">
        <v>1.2</v>
      </c>
      <c r="K941" s="2">
        <v>36.6111111111111</v>
      </c>
      <c r="L941" s="2"/>
      <c r="M941" s="2">
        <v>4.4232131776362502</v>
      </c>
      <c r="N941" s="2">
        <v>152.388888888888</v>
      </c>
      <c r="O941" s="2">
        <v>14.810219194617099</v>
      </c>
      <c r="P941" s="2">
        <v>20.3333333333333</v>
      </c>
      <c r="Q941" s="2">
        <v>2.0207259421636401</v>
      </c>
      <c r="R941" s="2">
        <v>1.7777777777777699</v>
      </c>
      <c r="S941" s="2">
        <v>0.48112522432468802</v>
      </c>
      <c r="T941" s="2">
        <v>4.7777777777777697</v>
      </c>
      <c r="U941" s="2">
        <v>2.3353166174426301</v>
      </c>
      <c r="V941" s="2">
        <v>0.66666666666666596</v>
      </c>
      <c r="W941" s="2">
        <v>0.16666666666666699</v>
      </c>
      <c r="X941" s="2">
        <v>1.6111111111111101</v>
      </c>
      <c r="Y941" s="2">
        <v>0.58531409738070805</v>
      </c>
      <c r="Z941" s="7">
        <v>106.14298152268501</v>
      </c>
      <c r="AA941" s="2">
        <v>10.3157181194972</v>
      </c>
      <c r="AB941" s="7">
        <v>102.96875</v>
      </c>
      <c r="AC941" s="2">
        <v>12.4402870621019</v>
      </c>
      <c r="AD941" s="2">
        <v>97.727272727272705</v>
      </c>
      <c r="AE941" s="2">
        <v>47.7678399022356</v>
      </c>
      <c r="AF941" s="2">
        <v>121.192052980132</v>
      </c>
      <c r="AG941" s="2">
        <v>12.0440619069356</v>
      </c>
      <c r="AH941" s="2">
        <v>76.190476190476105</v>
      </c>
      <c r="AI941" s="2">
        <v>20.619652471058</v>
      </c>
      <c r="AJ941" s="2">
        <v>109.09090909090899</v>
      </c>
      <c r="AK941" s="2">
        <v>27.272727272727298</v>
      </c>
      <c r="AL941" s="2">
        <v>71.604938271604894</v>
      </c>
      <c r="AM941" s="2">
        <v>26.013959883586999</v>
      </c>
      <c r="AN941"/>
      <c r="AO941"/>
    </row>
    <row r="942" spans="1:41" ht="15.75" hidden="1" customHeight="1" x14ac:dyDescent="0.45">
      <c r="A942" s="2" t="s">
        <v>185</v>
      </c>
      <c r="B942" s="2" t="s">
        <v>186</v>
      </c>
      <c r="C942" s="2">
        <v>1</v>
      </c>
      <c r="D942" s="2"/>
      <c r="E942" s="2" t="s">
        <v>109</v>
      </c>
      <c r="F942" s="2" t="s">
        <v>84</v>
      </c>
      <c r="H942" s="2">
        <v>1.2</v>
      </c>
      <c r="J942" s="2">
        <v>1.2</v>
      </c>
      <c r="K942" s="2">
        <v>34.1111111111111</v>
      </c>
      <c r="L942" s="2"/>
      <c r="M942" s="2">
        <v>4.4388854123195598</v>
      </c>
      <c r="N942" s="2">
        <v>130.166666666666</v>
      </c>
      <c r="O942" s="2">
        <v>9.8206132417706797</v>
      </c>
      <c r="P942" s="2">
        <v>20.7777777777777</v>
      </c>
      <c r="Q942" s="2">
        <v>3.0837086858617502</v>
      </c>
      <c r="R942" s="2">
        <v>1.94444444444444</v>
      </c>
      <c r="S942" s="2">
        <v>0.34694433324435497</v>
      </c>
      <c r="T942" s="2">
        <v>2.8333333333333299</v>
      </c>
      <c r="U942" s="2">
        <v>0.83333333333333404</v>
      </c>
      <c r="V942" s="2">
        <v>0.44444444444444398</v>
      </c>
      <c r="W942" s="2">
        <v>9.6225044864938103E-2</v>
      </c>
      <c r="X942" s="2">
        <v>1.88888888888888</v>
      </c>
      <c r="Y942" s="2">
        <v>0.25458753860865901</v>
      </c>
      <c r="Z942" s="7">
        <v>90.664602882848001</v>
      </c>
      <c r="AA942" s="2">
        <v>6.8403226604187699</v>
      </c>
      <c r="AB942" s="7">
        <v>95.9375</v>
      </c>
      <c r="AC942" s="2">
        <v>12.4843652221487</v>
      </c>
      <c r="AD942" s="2">
        <v>57.954545454545404</v>
      </c>
      <c r="AE942" s="2">
        <v>17.045454545454501</v>
      </c>
      <c r="AF942" s="2">
        <v>123.841059602649</v>
      </c>
      <c r="AG942" s="2">
        <v>18.379720644209101</v>
      </c>
      <c r="AH942" s="2">
        <v>83.3333333333333</v>
      </c>
      <c r="AI942" s="2">
        <v>14.8690428533295</v>
      </c>
      <c r="AJ942" s="2">
        <v>72.727272727272705</v>
      </c>
      <c r="AK942" s="2">
        <v>15.7459164324444</v>
      </c>
      <c r="AL942" s="2">
        <v>83.950617283950606</v>
      </c>
      <c r="AM942" s="2">
        <v>11.315001715940401</v>
      </c>
      <c r="AN942"/>
      <c r="AO942"/>
    </row>
    <row r="943" spans="1:41" ht="15.75" hidden="1" customHeight="1" x14ac:dyDescent="0.45">
      <c r="A943" s="2" t="s">
        <v>185</v>
      </c>
      <c r="B943" s="2" t="s">
        <v>186</v>
      </c>
      <c r="C943" s="2">
        <v>3</v>
      </c>
      <c r="D943" s="2"/>
      <c r="E943" s="2" t="s">
        <v>109</v>
      </c>
      <c r="F943" s="2" t="s">
        <v>84</v>
      </c>
      <c r="H943" s="2">
        <v>1.2</v>
      </c>
      <c r="J943" s="2">
        <v>1.2</v>
      </c>
      <c r="K943" s="2">
        <v>2.3333333333333299</v>
      </c>
      <c r="L943" s="2"/>
      <c r="M943" s="2">
        <v>4.0414518843273797</v>
      </c>
      <c r="N943" s="2">
        <v>37.4444444444444</v>
      </c>
      <c r="O943" s="2">
        <v>4.8371632335644597</v>
      </c>
      <c r="P943" s="2">
        <v>18.9444444444444</v>
      </c>
      <c r="Q943" s="2">
        <v>6.3995080829469702</v>
      </c>
      <c r="R943" s="2">
        <v>0.27777777777777701</v>
      </c>
      <c r="S943" s="2">
        <v>0.25458753860865702</v>
      </c>
      <c r="T943" s="2">
        <v>12.1111111111111</v>
      </c>
      <c r="U943" s="2">
        <v>6.9448888746675701</v>
      </c>
      <c r="V943" s="2">
        <v>0.44444444444444398</v>
      </c>
      <c r="W943" s="2">
        <v>0.41943524640392998</v>
      </c>
      <c r="X943" s="2">
        <v>7.2222222222222197</v>
      </c>
      <c r="Y943" s="2">
        <v>0.38490017945973698</v>
      </c>
      <c r="Z943" s="7">
        <v>26.081068008126099</v>
      </c>
      <c r="AA943" s="2">
        <v>3.3692149832315099</v>
      </c>
      <c r="AB943" s="7">
        <v>6.5625</v>
      </c>
      <c r="AC943" s="2">
        <v>11.366583424670701</v>
      </c>
      <c r="AD943" s="2">
        <v>247.72727272727201</v>
      </c>
      <c r="AE943" s="2">
        <v>142.05454516365401</v>
      </c>
      <c r="AF943" s="2">
        <v>112.913907284768</v>
      </c>
      <c r="AG943" s="2">
        <v>38.142763408293199</v>
      </c>
      <c r="AH943" s="2">
        <v>11.9047619047619</v>
      </c>
      <c r="AI943" s="2">
        <v>10.910894511799601</v>
      </c>
      <c r="AJ943" s="2">
        <v>72.727272727272705</v>
      </c>
      <c r="AK943" s="2">
        <v>68.634858502461299</v>
      </c>
      <c r="AL943" s="2">
        <v>320.98765432098702</v>
      </c>
      <c r="AM943" s="2">
        <v>17.106674642655001</v>
      </c>
      <c r="AN943"/>
      <c r="AO943"/>
    </row>
    <row r="944" spans="1:41" ht="15.75" hidden="1" customHeight="1" x14ac:dyDescent="0.45">
      <c r="A944" s="2" t="s">
        <v>185</v>
      </c>
      <c r="B944" s="2" t="s">
        <v>186</v>
      </c>
      <c r="C944" s="2">
        <v>10</v>
      </c>
      <c r="D944" s="2"/>
      <c r="E944" s="2" t="s">
        <v>109</v>
      </c>
      <c r="F944" s="2" t="s">
        <v>84</v>
      </c>
      <c r="H944" s="2">
        <v>1.2</v>
      </c>
      <c r="J944" s="2">
        <v>1.2</v>
      </c>
      <c r="K944" s="2">
        <v>0</v>
      </c>
      <c r="L944" s="2"/>
      <c r="M944" s="2">
        <v>0</v>
      </c>
      <c r="N944" s="2">
        <v>37.6111111111111</v>
      </c>
      <c r="O944" s="2">
        <v>2.6051942417096998</v>
      </c>
      <c r="P944" s="2">
        <v>0.33333333333333298</v>
      </c>
      <c r="Q944" s="2">
        <v>0.57735026918962495</v>
      </c>
      <c r="R944" s="2">
        <v>0</v>
      </c>
      <c r="S944" s="2">
        <v>0</v>
      </c>
      <c r="T944" s="2">
        <v>70.4444444444444</v>
      </c>
      <c r="U944" s="2">
        <v>7.4261799162252196</v>
      </c>
      <c r="V944" s="2">
        <v>0</v>
      </c>
      <c r="W944" s="2">
        <v>0</v>
      </c>
      <c r="X944" s="2">
        <v>0.38888888888888801</v>
      </c>
      <c r="Y944" s="2">
        <v>0.41943524640392998</v>
      </c>
      <c r="Z944" s="7">
        <v>26.1971558479249</v>
      </c>
      <c r="AA944" s="2">
        <v>1.8145882306578101</v>
      </c>
      <c r="AB944" s="7">
        <v>0</v>
      </c>
      <c r="AC944" s="2">
        <v>0</v>
      </c>
      <c r="AD944" s="2">
        <v>1440.9090909090901</v>
      </c>
      <c r="AE944" s="2">
        <v>151.899134650061</v>
      </c>
      <c r="AF944" s="2">
        <v>1.98675496688741</v>
      </c>
      <c r="AG944" s="2">
        <v>3.4411605448388198</v>
      </c>
      <c r="AH944" s="2">
        <v>0</v>
      </c>
      <c r="AI944" s="2">
        <v>0</v>
      </c>
      <c r="AJ944" s="2">
        <v>0</v>
      </c>
      <c r="AK944" s="2">
        <v>0</v>
      </c>
      <c r="AL944" s="2">
        <v>17.283950617283899</v>
      </c>
      <c r="AM944" s="2">
        <v>18.641566506841301</v>
      </c>
      <c r="AN944"/>
      <c r="AO944"/>
    </row>
    <row r="945" spans="1:41" ht="15.75" hidden="1" customHeight="1" x14ac:dyDescent="0.45">
      <c r="A945" s="2" t="s">
        <v>185</v>
      </c>
      <c r="B945" s="2" t="s">
        <v>186</v>
      </c>
      <c r="C945" s="2">
        <v>3.0000000000000001E-3</v>
      </c>
      <c r="D945" s="2"/>
      <c r="E945" s="2" t="s">
        <v>109</v>
      </c>
      <c r="F945" s="2" t="s">
        <v>84</v>
      </c>
      <c r="H945" s="2">
        <v>6</v>
      </c>
      <c r="J945" s="2">
        <v>6</v>
      </c>
      <c r="K945" s="2">
        <v>30.1666666666666</v>
      </c>
      <c r="L945" s="2"/>
      <c r="M945" s="2">
        <v>1.92209376577849</v>
      </c>
      <c r="N945" s="2">
        <v>240.444444444444</v>
      </c>
      <c r="O945" s="2">
        <v>26.765615033997602</v>
      </c>
      <c r="P945" s="2">
        <v>12.1666666666666</v>
      </c>
      <c r="Q945" s="2">
        <v>1.92209376577846</v>
      </c>
      <c r="R945" s="2">
        <v>1.8333333333333299</v>
      </c>
      <c r="S945" s="2">
        <v>0.44095855184409899</v>
      </c>
      <c r="T945" s="2">
        <v>9.9444444444444393</v>
      </c>
      <c r="U945" s="2">
        <v>3.0837086858617502</v>
      </c>
      <c r="V945" s="2">
        <v>0.66666666666666596</v>
      </c>
      <c r="W945" s="2">
        <v>0.16666666666666699</v>
      </c>
      <c r="X945" s="2">
        <v>4.1111111111111098</v>
      </c>
      <c r="Y945" s="2">
        <v>0.63098981620003303</v>
      </c>
      <c r="Z945" s="7">
        <v>101.459297896032</v>
      </c>
      <c r="AA945" s="2">
        <v>11.294170324373299</v>
      </c>
      <c r="AB945" s="7">
        <v>86.122125297382993</v>
      </c>
      <c r="AC945" s="2">
        <v>5.4873414407633598</v>
      </c>
      <c r="AD945" s="2">
        <v>124.738675958188</v>
      </c>
      <c r="AE945" s="2">
        <v>38.680666442865203</v>
      </c>
      <c r="AF945" s="2">
        <v>87.6</v>
      </c>
      <c r="AG945" s="2">
        <v>13.839075113604901</v>
      </c>
      <c r="AH945" s="2">
        <v>100.763358778625</v>
      </c>
      <c r="AI945" s="2">
        <v>24.2358898723474</v>
      </c>
      <c r="AJ945" s="2">
        <v>102.127659574468</v>
      </c>
      <c r="AK945" s="2">
        <v>25.531914893617</v>
      </c>
      <c r="AL945" s="2">
        <v>107.636363636363</v>
      </c>
      <c r="AM945" s="2">
        <v>16.5204606423281</v>
      </c>
      <c r="AN945"/>
      <c r="AO945"/>
    </row>
    <row r="946" spans="1:41" ht="15.75" hidden="1" customHeight="1" x14ac:dyDescent="0.45">
      <c r="A946" s="2" t="s">
        <v>185</v>
      </c>
      <c r="B946" s="2" t="s">
        <v>186</v>
      </c>
      <c r="C946" s="2">
        <v>0.01</v>
      </c>
      <c r="D946" s="2"/>
      <c r="E946" s="2" t="s">
        <v>109</v>
      </c>
      <c r="F946" s="2" t="s">
        <v>84</v>
      </c>
      <c r="H946" s="2">
        <v>6</v>
      </c>
      <c r="J946" s="2">
        <v>6</v>
      </c>
      <c r="K946" s="2">
        <v>31.1666666666666</v>
      </c>
      <c r="L946" s="2"/>
      <c r="M946" s="2">
        <v>3.2145502536643402</v>
      </c>
      <c r="N946" s="2">
        <v>252.111111111111</v>
      </c>
      <c r="O946" s="2">
        <v>44.589589384535401</v>
      </c>
      <c r="P946" s="2">
        <v>13.1666666666666</v>
      </c>
      <c r="Q946" s="2">
        <v>2.40370085030932</v>
      </c>
      <c r="R946" s="2">
        <v>2.38888888888888</v>
      </c>
      <c r="S946" s="2">
        <v>0.63098981620003003</v>
      </c>
      <c r="T946" s="2">
        <v>9</v>
      </c>
      <c r="U946" s="2">
        <v>1.6914819275153601</v>
      </c>
      <c r="V946" s="2">
        <v>0.61111111111111105</v>
      </c>
      <c r="W946" s="2">
        <v>0.25458753860865702</v>
      </c>
      <c r="X946" s="2">
        <v>3.6111111111111098</v>
      </c>
      <c r="Y946" s="2">
        <v>9.6225044864920506E-2</v>
      </c>
      <c r="Z946" s="7">
        <v>106.38223055734601</v>
      </c>
      <c r="AA946" s="2">
        <v>18.815275365917699</v>
      </c>
      <c r="AB946" s="7">
        <v>88.977002379064203</v>
      </c>
      <c r="AC946" s="2">
        <v>9.1771458470988296</v>
      </c>
      <c r="AD946" s="2">
        <v>112.891986062717</v>
      </c>
      <c r="AE946" s="2">
        <v>21.217194909600401</v>
      </c>
      <c r="AF946" s="2">
        <v>94.8</v>
      </c>
      <c r="AG946" s="2">
        <v>17.3066461222271</v>
      </c>
      <c r="AH946" s="2">
        <v>131.297709923664</v>
      </c>
      <c r="AI946" s="2">
        <v>34.6803563102307</v>
      </c>
      <c r="AJ946" s="2">
        <v>93.617021276595693</v>
      </c>
      <c r="AK946" s="2">
        <v>39.0006442123901</v>
      </c>
      <c r="AL946" s="2">
        <v>94.545454545454504</v>
      </c>
      <c r="AM946" s="2">
        <v>2.5193466291906401</v>
      </c>
      <c r="AN946"/>
      <c r="AO946"/>
    </row>
    <row r="947" spans="1:41" ht="15.75" hidden="1" customHeight="1" x14ac:dyDescent="0.45">
      <c r="A947" s="2" t="s">
        <v>185</v>
      </c>
      <c r="B947" s="2" t="s">
        <v>186</v>
      </c>
      <c r="C947" s="2">
        <v>0.03</v>
      </c>
      <c r="D947" s="2"/>
      <c r="E947" s="2" t="s">
        <v>109</v>
      </c>
      <c r="F947" s="2" t="s">
        <v>84</v>
      </c>
      <c r="H947" s="2">
        <v>6</v>
      </c>
      <c r="J947" s="2">
        <v>6</v>
      </c>
      <c r="K947" s="2">
        <v>27.1111111111111</v>
      </c>
      <c r="L947" s="2"/>
      <c r="M947" s="2">
        <v>10.509695699862201</v>
      </c>
      <c r="N947" s="2">
        <v>260.11111111111097</v>
      </c>
      <c r="O947" s="2">
        <v>35.808259961655502</v>
      </c>
      <c r="P947" s="2">
        <v>12.6666666666666</v>
      </c>
      <c r="Q947" s="2">
        <v>1.8027756377320101</v>
      </c>
      <c r="R947" s="2">
        <v>1.7777777777777699</v>
      </c>
      <c r="S947" s="2">
        <v>0.48112522432468802</v>
      </c>
      <c r="T947" s="2">
        <v>8.1666666666666607</v>
      </c>
      <c r="U947" s="2">
        <v>0.72648315725676404</v>
      </c>
      <c r="V947" s="2">
        <v>0.83333333333333304</v>
      </c>
      <c r="W947" s="2">
        <v>0</v>
      </c>
      <c r="X947" s="2">
        <v>3.6111111111111098</v>
      </c>
      <c r="Y947" s="2">
        <v>1.0046189622236199</v>
      </c>
      <c r="Z947" s="7">
        <v>109.757955810818</v>
      </c>
      <c r="AA947" s="2">
        <v>15.1098559294332</v>
      </c>
      <c r="AB947" s="7">
        <v>77.3988897700238</v>
      </c>
      <c r="AC947" s="2">
        <v>30.003889388980301</v>
      </c>
      <c r="AD947" s="2">
        <v>102.43902439024301</v>
      </c>
      <c r="AE947" s="2">
        <v>9.11268071820332</v>
      </c>
      <c r="AF947" s="2">
        <v>91.2</v>
      </c>
      <c r="AG947" s="2">
        <v>12.9799845916704</v>
      </c>
      <c r="AH947" s="2">
        <v>97.709923664122101</v>
      </c>
      <c r="AI947" s="2">
        <v>26.443523779677498</v>
      </c>
      <c r="AJ947" s="2">
        <v>127.659574468085</v>
      </c>
      <c r="AK947" s="2">
        <v>0</v>
      </c>
      <c r="AL947" s="2">
        <v>94.545454545454504</v>
      </c>
      <c r="AM947" s="2">
        <v>26.302751010945599</v>
      </c>
      <c r="AN947"/>
      <c r="AO947"/>
    </row>
    <row r="948" spans="1:41" ht="15.75" hidden="1" customHeight="1" x14ac:dyDescent="0.45">
      <c r="A948" s="2" t="s">
        <v>185</v>
      </c>
      <c r="B948" s="2" t="s">
        <v>186</v>
      </c>
      <c r="C948" s="2">
        <v>0.1</v>
      </c>
      <c r="D948" s="2"/>
      <c r="E948" s="2" t="s">
        <v>109</v>
      </c>
      <c r="F948" s="2" t="s">
        <v>84</v>
      </c>
      <c r="H948" s="2">
        <v>6</v>
      </c>
      <c r="J948" s="2">
        <v>6</v>
      </c>
      <c r="K948" s="2">
        <v>27.3888888888888</v>
      </c>
      <c r="L948" s="2"/>
      <c r="M948" s="2">
        <v>5.2607913782934101</v>
      </c>
      <c r="N948" s="2">
        <v>225.666666666666</v>
      </c>
      <c r="O948" s="2">
        <v>23.9693090801083</v>
      </c>
      <c r="P948" s="2">
        <v>13.2777777777777</v>
      </c>
      <c r="Q948" s="2">
        <v>1.01835015443467</v>
      </c>
      <c r="R948" s="2">
        <v>1.88888888888888</v>
      </c>
      <c r="S948" s="2">
        <v>0.38490017945975002</v>
      </c>
      <c r="T948" s="2">
        <v>7.6666666666666599</v>
      </c>
      <c r="U948" s="2">
        <v>0.49999999999998501</v>
      </c>
      <c r="V948" s="2">
        <v>0.61111111111111105</v>
      </c>
      <c r="W948" s="2">
        <v>0.38490017945975002</v>
      </c>
      <c r="X948" s="2">
        <v>3.38888888888888</v>
      </c>
      <c r="Y948" s="2">
        <v>0.63098981620003003</v>
      </c>
      <c r="Z948" s="7">
        <v>95.223583191701294</v>
      </c>
      <c r="AA948" s="2">
        <v>10.1142252462509</v>
      </c>
      <c r="AB948" s="7">
        <v>78.191911181601895</v>
      </c>
      <c r="AC948" s="2">
        <v>15.018912737395899</v>
      </c>
      <c r="AD948" s="2">
        <v>96.167247386759499</v>
      </c>
      <c r="AE948" s="2">
        <v>6.2717770034841402</v>
      </c>
      <c r="AF948" s="2">
        <v>95.6</v>
      </c>
      <c r="AG948" s="2">
        <v>7.3321211119296503</v>
      </c>
      <c r="AH948" s="2">
        <v>103.816793893129</v>
      </c>
      <c r="AI948" s="2">
        <v>21.154819023742</v>
      </c>
      <c r="AJ948" s="2">
        <v>93.617021276595693</v>
      </c>
      <c r="AK948" s="2">
        <v>58.963431747025602</v>
      </c>
      <c r="AL948" s="2">
        <v>88.727272727272705</v>
      </c>
      <c r="AM948" s="2">
        <v>16.520460642328</v>
      </c>
      <c r="AN948"/>
      <c r="AO948"/>
    </row>
    <row r="949" spans="1:41" ht="15.75" hidden="1" customHeight="1" x14ac:dyDescent="0.45">
      <c r="A949" s="2" t="s">
        <v>185</v>
      </c>
      <c r="B949" s="2" t="s">
        <v>186</v>
      </c>
      <c r="C949" s="2">
        <v>0.3</v>
      </c>
      <c r="D949" s="2"/>
      <c r="E949" s="2" t="s">
        <v>109</v>
      </c>
      <c r="F949" s="2" t="s">
        <v>84</v>
      </c>
      <c r="H949" s="2">
        <v>6</v>
      </c>
      <c r="J949" s="2">
        <v>6</v>
      </c>
      <c r="K949" s="2">
        <v>32.5555555555555</v>
      </c>
      <c r="L949" s="2"/>
      <c r="M949" s="2">
        <v>9.6225044864237497E-2</v>
      </c>
      <c r="N949" s="2">
        <v>234.333333333333</v>
      </c>
      <c r="O949" s="2">
        <v>24.057800767687901</v>
      </c>
      <c r="P949" s="2">
        <v>11.8333333333333</v>
      </c>
      <c r="Q949" s="2">
        <v>0.44095855184411198</v>
      </c>
      <c r="R949" s="2">
        <v>2.05555555555555</v>
      </c>
      <c r="S949" s="2">
        <v>0.82214714371937403</v>
      </c>
      <c r="T949" s="2">
        <v>8.5</v>
      </c>
      <c r="U949" s="2">
        <v>1.87823794493076</v>
      </c>
      <c r="V949" s="2">
        <v>0.22222222222222199</v>
      </c>
      <c r="W949" s="2">
        <v>9.62250448649377E-2</v>
      </c>
      <c r="X949" s="2">
        <v>3.7222222222222201</v>
      </c>
      <c r="Y949" s="2">
        <v>0.41943524640392799</v>
      </c>
      <c r="Z949" s="7">
        <v>98.880618882963105</v>
      </c>
      <c r="AA949" s="2">
        <v>10.151565699311501</v>
      </c>
      <c r="AB949" s="7">
        <v>92.942109436954794</v>
      </c>
      <c r="AC949" s="2">
        <v>0.27471067526665699</v>
      </c>
      <c r="AD949" s="2">
        <v>106.62020905923301</v>
      </c>
      <c r="AE949" s="2">
        <v>23.559779100176801</v>
      </c>
      <c r="AF949" s="2">
        <v>85.199999999999903</v>
      </c>
      <c r="AG949" s="2">
        <v>3.17490157327761</v>
      </c>
      <c r="AH949" s="2">
        <v>112.977099236641</v>
      </c>
      <c r="AI949" s="2">
        <v>45.186713242591601</v>
      </c>
      <c r="AJ949" s="2">
        <v>34.042553191489297</v>
      </c>
      <c r="AK949" s="2">
        <v>14.740857936756401</v>
      </c>
      <c r="AL949" s="2">
        <v>97.454545454545396</v>
      </c>
      <c r="AM949" s="2">
        <v>10.9815773603937</v>
      </c>
      <c r="AN949"/>
      <c r="AO949"/>
    </row>
    <row r="950" spans="1:41" ht="15.75" hidden="1" customHeight="1" x14ac:dyDescent="0.45">
      <c r="A950" s="2" t="s">
        <v>185</v>
      </c>
      <c r="B950" s="2" t="s">
        <v>186</v>
      </c>
      <c r="C950" s="2">
        <v>1</v>
      </c>
      <c r="D950" s="2"/>
      <c r="E950" s="2" t="s">
        <v>109</v>
      </c>
      <c r="F950" s="2" t="s">
        <v>84</v>
      </c>
      <c r="H950" s="2">
        <v>6</v>
      </c>
      <c r="J950" s="2">
        <v>6</v>
      </c>
      <c r="K950" s="2">
        <v>32.2222222222222</v>
      </c>
      <c r="L950" s="2"/>
      <c r="M950" s="2">
        <v>2.2750661366048401</v>
      </c>
      <c r="N950" s="2">
        <v>219.5</v>
      </c>
      <c r="O950" s="2">
        <v>29.944856727732599</v>
      </c>
      <c r="P950" s="2">
        <v>14.2222222222222</v>
      </c>
      <c r="Q950" s="2">
        <v>2.2194427061597901</v>
      </c>
      <c r="R950" s="2">
        <v>2</v>
      </c>
      <c r="S950" s="2">
        <v>0.92796072713833599</v>
      </c>
      <c r="T950" s="2">
        <v>8.7222222222222197</v>
      </c>
      <c r="U950" s="2">
        <v>2.4056261216234298</v>
      </c>
      <c r="V950" s="2">
        <v>0.5</v>
      </c>
      <c r="W950" s="2">
        <v>0.16666666666666599</v>
      </c>
      <c r="X950" s="2">
        <v>3.55555555555555</v>
      </c>
      <c r="Y950" s="2">
        <v>0.38490017945975102</v>
      </c>
      <c r="Z950" s="7">
        <v>92.621461642149697</v>
      </c>
      <c r="AA950" s="2">
        <v>12.635701133427601</v>
      </c>
      <c r="AB950" s="7">
        <v>91.990483743061006</v>
      </c>
      <c r="AC950" s="2">
        <v>6.4950341727021703</v>
      </c>
      <c r="AD950" s="2">
        <v>109.40766550522601</v>
      </c>
      <c r="AE950" s="2">
        <v>30.175101177158101</v>
      </c>
      <c r="AF950" s="2">
        <v>102.4</v>
      </c>
      <c r="AG950" s="2">
        <v>15.979987484350501</v>
      </c>
      <c r="AH950" s="2">
        <v>109.923664122137</v>
      </c>
      <c r="AI950" s="2">
        <v>51.0024216442444</v>
      </c>
      <c r="AJ950" s="2">
        <v>76.595744680850999</v>
      </c>
      <c r="AK950" s="2">
        <v>25.5319148936169</v>
      </c>
      <c r="AL950" s="2">
        <v>93.090909090909093</v>
      </c>
      <c r="AM950" s="2">
        <v>10.077386516764401</v>
      </c>
      <c r="AN950"/>
      <c r="AO950"/>
    </row>
    <row r="951" spans="1:41" ht="15.75" hidden="1" customHeight="1" x14ac:dyDescent="0.45">
      <c r="A951" s="2" t="s">
        <v>185</v>
      </c>
      <c r="B951" s="2" t="s">
        <v>186</v>
      </c>
      <c r="C951" s="2">
        <v>3</v>
      </c>
      <c r="D951" s="2"/>
      <c r="E951" s="2" t="s">
        <v>109</v>
      </c>
      <c r="F951" s="2" t="s">
        <v>84</v>
      </c>
      <c r="H951" s="2">
        <v>6</v>
      </c>
      <c r="J951" s="2">
        <v>6</v>
      </c>
      <c r="K951" s="2">
        <v>30.1666666666666</v>
      </c>
      <c r="L951" s="2"/>
      <c r="M951" s="2">
        <v>4.0414518843273699</v>
      </c>
      <c r="N951" s="2">
        <v>175.722222222222</v>
      </c>
      <c r="O951" s="2">
        <v>29.5974535941738</v>
      </c>
      <c r="P951" s="2">
        <v>14</v>
      </c>
      <c r="Q951" s="2">
        <v>1.85592145427667</v>
      </c>
      <c r="R951" s="2">
        <v>2.3333333333333299</v>
      </c>
      <c r="S951" s="2">
        <v>0.44095855184409999</v>
      </c>
      <c r="T951" s="2">
        <v>6.5</v>
      </c>
      <c r="U951" s="2">
        <v>0.44095855184410399</v>
      </c>
      <c r="V951" s="2">
        <v>0.44444444444444398</v>
      </c>
      <c r="W951" s="2">
        <v>0.25458753860865702</v>
      </c>
      <c r="X951" s="2">
        <v>3.2222222222222201</v>
      </c>
      <c r="Y951" s="2">
        <v>0.19245008972987299</v>
      </c>
      <c r="Z951" s="7">
        <v>74.148742893981094</v>
      </c>
      <c r="AA951" s="2">
        <v>12.4891089420413</v>
      </c>
      <c r="AB951" s="7">
        <v>86.122125297382993</v>
      </c>
      <c r="AC951" s="2">
        <v>11.537848361283499</v>
      </c>
      <c r="AD951" s="2">
        <v>81.533101045296107</v>
      </c>
      <c r="AE951" s="2">
        <v>5.5311874098912002</v>
      </c>
      <c r="AF951" s="2">
        <v>100.8</v>
      </c>
      <c r="AG951" s="2">
        <v>13.362634470792001</v>
      </c>
      <c r="AH951" s="2">
        <v>128.24427480916</v>
      </c>
      <c r="AI951" s="2">
        <v>24.235889872347499</v>
      </c>
      <c r="AJ951" s="2">
        <v>68.085106382978694</v>
      </c>
      <c r="AK951" s="2">
        <v>39.0006442123901</v>
      </c>
      <c r="AL951" s="2">
        <v>84.363636363636303</v>
      </c>
      <c r="AM951" s="2">
        <v>5.03869325838214</v>
      </c>
      <c r="AN951"/>
      <c r="AO951"/>
    </row>
    <row r="952" spans="1:41" ht="15.75" hidden="1" customHeight="1" x14ac:dyDescent="0.45">
      <c r="A952" s="2" t="s">
        <v>185</v>
      </c>
      <c r="B952" s="2" t="s">
        <v>186</v>
      </c>
      <c r="C952" s="2">
        <v>10</v>
      </c>
      <c r="D952" s="2"/>
      <c r="E952" s="2" t="s">
        <v>109</v>
      </c>
      <c r="F952" s="2" t="s">
        <v>84</v>
      </c>
      <c r="H952" s="2">
        <v>6</v>
      </c>
      <c r="J952" s="2">
        <v>6</v>
      </c>
      <c r="K952" s="2">
        <v>23.6666666666666</v>
      </c>
      <c r="L952" s="2"/>
      <c r="M952" s="2">
        <v>6.4957250899683698</v>
      </c>
      <c r="N952" s="2">
        <v>100.166666666666</v>
      </c>
      <c r="O952" s="2">
        <v>13.2570735835627</v>
      </c>
      <c r="P952" s="2">
        <v>20.1111111111111</v>
      </c>
      <c r="Q952" s="2">
        <v>2.63698761917904</v>
      </c>
      <c r="R952" s="2">
        <v>2.2222222222222201</v>
      </c>
      <c r="S952" s="2">
        <v>1.3471506281091199</v>
      </c>
      <c r="T952" s="2">
        <v>12.1111111111111</v>
      </c>
      <c r="U952" s="2">
        <v>3.6565517048676299</v>
      </c>
      <c r="V952" s="2">
        <v>0.94444444444444398</v>
      </c>
      <c r="W952" s="2">
        <v>0.34694433324435497</v>
      </c>
      <c r="X952" s="2">
        <v>4.6666666666666599</v>
      </c>
      <c r="Y952" s="2">
        <v>0.50000000000000699</v>
      </c>
      <c r="Z952" s="7">
        <v>42.266893277852603</v>
      </c>
      <c r="AA952" s="2">
        <v>5.5940297603968796</v>
      </c>
      <c r="AB952" s="7">
        <v>67.565424266455196</v>
      </c>
      <c r="AC952" s="2">
        <v>18.544496688252298</v>
      </c>
      <c r="AD952" s="2">
        <v>151.91637630662001</v>
      </c>
      <c r="AE952" s="2">
        <v>45.866153789280403</v>
      </c>
      <c r="AF952" s="2">
        <v>144.80000000000001</v>
      </c>
      <c r="AG952" s="2">
        <v>18.986310858089102</v>
      </c>
      <c r="AH952" s="2">
        <v>122.13740458015199</v>
      </c>
      <c r="AI952" s="2">
        <v>74.041866583097004</v>
      </c>
      <c r="AJ952" s="2">
        <v>144.68085106382901</v>
      </c>
      <c r="AK952" s="2">
        <v>53.148919135305398</v>
      </c>
      <c r="AL952" s="2">
        <v>122.181818181818</v>
      </c>
      <c r="AM952" s="2">
        <v>13.0909090909092</v>
      </c>
      <c r="AN952"/>
      <c r="AO952"/>
    </row>
    <row r="953" spans="1:41" ht="15.75" hidden="1" customHeight="1" x14ac:dyDescent="0.45">
      <c r="A953" s="2" t="s">
        <v>187</v>
      </c>
      <c r="B953" s="2" t="s">
        <v>188</v>
      </c>
      <c r="C953" s="2">
        <v>3.0000000000000001E-3</v>
      </c>
      <c r="D953" s="2"/>
      <c r="E953" s="2" t="s">
        <v>83</v>
      </c>
      <c r="F953" s="2" t="s">
        <v>84</v>
      </c>
      <c r="H953" s="2" t="s">
        <v>87</v>
      </c>
      <c r="K953" s="2">
        <v>48.023056302833297</v>
      </c>
      <c r="L953" s="2"/>
      <c r="M953" s="2">
        <v>4.9328742351745101</v>
      </c>
      <c r="N953" s="2">
        <v>356.55555555555497</v>
      </c>
      <c r="O953" s="2">
        <v>27.9291431489949</v>
      </c>
      <c r="P953" s="2">
        <v>19.431120633999999</v>
      </c>
      <c r="Q953" s="2">
        <v>3.0361115605742</v>
      </c>
      <c r="R953" s="2">
        <v>5.7805749622111096</v>
      </c>
      <c r="S953" s="2">
        <v>1.9700186385963001</v>
      </c>
      <c r="T953" s="2">
        <v>4.6015261965872201</v>
      </c>
      <c r="U953" s="2">
        <v>0.54846156207064301</v>
      </c>
      <c r="V953" s="2">
        <v>0.43205304192333299</v>
      </c>
      <c r="W953" s="2">
        <v>0.27646819886746399</v>
      </c>
      <c r="X953" s="2">
        <v>3.4962451910499999</v>
      </c>
      <c r="Y953" s="2">
        <v>0.21546656960208799</v>
      </c>
      <c r="Z953" s="7">
        <v>99.496163088132704</v>
      </c>
      <c r="AA953" s="2">
        <v>7.7935753303140602</v>
      </c>
      <c r="AB953" s="7">
        <v>104.538565740745</v>
      </c>
      <c r="AC953" s="2">
        <v>10.738083687817999</v>
      </c>
      <c r="AD953" s="2">
        <v>104.293556691454</v>
      </c>
      <c r="AE953" s="2">
        <v>12.430877185774101</v>
      </c>
      <c r="AF953" s="2">
        <v>100.84793767931301</v>
      </c>
      <c r="AG953" s="2">
        <v>15.7574848726158</v>
      </c>
      <c r="AH953" s="2">
        <v>103.067487455497</v>
      </c>
      <c r="AI953" s="2">
        <v>35.125376393865501</v>
      </c>
      <c r="AJ953" s="2">
        <v>107.05767903428401</v>
      </c>
      <c r="AK953" s="2">
        <v>68.505578772876206</v>
      </c>
      <c r="AL953" s="2">
        <v>103.952723176281</v>
      </c>
      <c r="AM953" s="2">
        <v>6.4063975607106096</v>
      </c>
      <c r="AN953"/>
      <c r="AO953"/>
    </row>
    <row r="954" spans="1:41" ht="15.75" hidden="1" customHeight="1" x14ac:dyDescent="0.45">
      <c r="A954" s="2" t="s">
        <v>187</v>
      </c>
      <c r="B954" s="2" t="s">
        <v>188</v>
      </c>
      <c r="C954" s="2">
        <v>0.01</v>
      </c>
      <c r="D954" s="2"/>
      <c r="E954" s="2" t="s">
        <v>83</v>
      </c>
      <c r="F954" s="2" t="s">
        <v>84</v>
      </c>
      <c r="H954" s="2" t="s">
        <v>87</v>
      </c>
      <c r="K954" s="2">
        <v>48.333139163944402</v>
      </c>
      <c r="L954" s="2"/>
      <c r="M954" s="2">
        <v>1.40072417389091</v>
      </c>
      <c r="N954" s="2">
        <v>378.11111111111097</v>
      </c>
      <c r="O954" s="2">
        <v>42.753275811247299</v>
      </c>
      <c r="P954" s="2">
        <v>19.940429595833301</v>
      </c>
      <c r="Q954" s="2">
        <v>2.15061069410309</v>
      </c>
      <c r="R954" s="2">
        <v>8.3072004017222199</v>
      </c>
      <c r="S954" s="2">
        <v>3.7876613350798598</v>
      </c>
      <c r="T954" s="2">
        <v>4.3295941201166599</v>
      </c>
      <c r="U954" s="2">
        <v>1.71116807639121</v>
      </c>
      <c r="V954" s="2">
        <v>0.56614938234055501</v>
      </c>
      <c r="W954" s="2">
        <v>0.39813377562816699</v>
      </c>
      <c r="X954" s="2">
        <v>3.5939485174738799</v>
      </c>
      <c r="Y954" s="2">
        <v>0.30460302479726797</v>
      </c>
      <c r="Z954" s="7">
        <v>105.51120068211701</v>
      </c>
      <c r="AA954" s="2">
        <v>11.930221914618199</v>
      </c>
      <c r="AB954" s="7">
        <v>105.21356687680201</v>
      </c>
      <c r="AC954" s="2">
        <v>3.0491540399586601</v>
      </c>
      <c r="AD954" s="2">
        <v>98.130218220266102</v>
      </c>
      <c r="AE954" s="2">
        <v>38.783611601749399</v>
      </c>
      <c r="AF954" s="2">
        <v>103.49126224149001</v>
      </c>
      <c r="AG954" s="2">
        <v>11.161716163290899</v>
      </c>
      <c r="AH954" s="2">
        <v>148.11714730662399</v>
      </c>
      <c r="AI954" s="2">
        <v>67.533894066082794</v>
      </c>
      <c r="AJ954" s="2">
        <v>140.28518024143099</v>
      </c>
      <c r="AK954" s="2">
        <v>98.6528824659256</v>
      </c>
      <c r="AL954" s="2">
        <v>106.85770446053</v>
      </c>
      <c r="AM954" s="2">
        <v>9.0566628440321093</v>
      </c>
      <c r="AN954"/>
      <c r="AO954"/>
    </row>
    <row r="955" spans="1:41" ht="15.75" hidden="1" customHeight="1" x14ac:dyDescent="0.45">
      <c r="A955" s="2" t="s">
        <v>187</v>
      </c>
      <c r="B955" s="2" t="s">
        <v>188</v>
      </c>
      <c r="C955" s="2">
        <v>0.03</v>
      </c>
      <c r="D955" s="2"/>
      <c r="E955" s="2" t="s">
        <v>83</v>
      </c>
      <c r="F955" s="2" t="s">
        <v>84</v>
      </c>
      <c r="H955" s="2" t="s">
        <v>87</v>
      </c>
      <c r="K955" s="2">
        <v>46.528706665444403</v>
      </c>
      <c r="L955" s="2"/>
      <c r="M955" s="2">
        <v>0.69487855183520097</v>
      </c>
      <c r="N955" s="2">
        <v>346.27777777777698</v>
      </c>
      <c r="O955" s="2">
        <v>37.1189279857972</v>
      </c>
      <c r="P955" s="2">
        <v>19.901468670333301</v>
      </c>
      <c r="Q955" s="2">
        <v>1.1666709806692801</v>
      </c>
      <c r="R955" s="2">
        <v>5.9220733989944403</v>
      </c>
      <c r="S955" s="2">
        <v>1.24610004693399</v>
      </c>
      <c r="T955" s="2">
        <v>4.8759435768333299</v>
      </c>
      <c r="U955" s="2">
        <v>1.3213572086702801</v>
      </c>
      <c r="V955" s="2">
        <v>0.458721133602777</v>
      </c>
      <c r="W955" s="2">
        <v>9.2342562100996603E-2</v>
      </c>
      <c r="X955" s="2">
        <v>3.64019830291666</v>
      </c>
      <c r="Y955" s="2">
        <v>0.451213550549246</v>
      </c>
      <c r="Z955" s="7">
        <v>96.628168359041894</v>
      </c>
      <c r="AA955" s="2">
        <v>10.3579676574583</v>
      </c>
      <c r="AB955" s="7">
        <v>101.28560393792399</v>
      </c>
      <c r="AC955" s="2">
        <v>1.5126402350316901</v>
      </c>
      <c r="AD955" s="2">
        <v>110.513224554052</v>
      </c>
      <c r="AE955" s="2">
        <v>29.948551212057399</v>
      </c>
      <c r="AF955" s="2">
        <v>103.289054192826</v>
      </c>
      <c r="AG955" s="2">
        <v>6.0550477024432396</v>
      </c>
      <c r="AH955" s="2">
        <v>105.590400565953</v>
      </c>
      <c r="AI955" s="2">
        <v>22.217928457853201</v>
      </c>
      <c r="AJ955" s="2">
        <v>113.665719534972</v>
      </c>
      <c r="AK955" s="2">
        <v>22.8814044002639</v>
      </c>
      <c r="AL955" s="2">
        <v>108.232834315668</v>
      </c>
      <c r="AM955" s="2">
        <v>13.415786007715999</v>
      </c>
      <c r="AN955"/>
      <c r="AO955"/>
    </row>
    <row r="956" spans="1:41" ht="15.75" hidden="1" customHeight="1" x14ac:dyDescent="0.45">
      <c r="A956" s="2" t="s">
        <v>187</v>
      </c>
      <c r="B956" s="2" t="s">
        <v>188</v>
      </c>
      <c r="C956" s="2">
        <v>0.1</v>
      </c>
      <c r="D956" s="2"/>
      <c r="E956" s="2" t="s">
        <v>83</v>
      </c>
      <c r="F956" s="2" t="s">
        <v>84</v>
      </c>
      <c r="H956" s="2" t="s">
        <v>87</v>
      </c>
      <c r="K956" s="2">
        <v>47.4036299190888</v>
      </c>
      <c r="L956" s="2"/>
      <c r="M956" s="2">
        <v>2.36080454436236</v>
      </c>
      <c r="N956" s="2">
        <v>435.42222222222199</v>
      </c>
      <c r="O956" s="2">
        <v>69.5779046451878</v>
      </c>
      <c r="P956" s="2">
        <v>18.2990590218111</v>
      </c>
      <c r="Q956" s="2">
        <v>0.43229286506599501</v>
      </c>
      <c r="R956" s="2">
        <v>9.9412717084911097</v>
      </c>
      <c r="S956" s="2">
        <v>7.3448208195194997</v>
      </c>
      <c r="T956" s="2">
        <v>3.0855084554677701</v>
      </c>
      <c r="U956" s="2">
        <v>0.68176436975339605</v>
      </c>
      <c r="V956" s="2">
        <v>0.384951319336444</v>
      </c>
      <c r="W956" s="2">
        <v>0.119921345687812</v>
      </c>
      <c r="X956" s="2">
        <v>3.29321263805444</v>
      </c>
      <c r="Y956" s="2">
        <v>0.54186538832971298</v>
      </c>
      <c r="Z956" s="7">
        <v>121.503759398496</v>
      </c>
      <c r="AA956" s="2">
        <v>19.415584584348199</v>
      </c>
      <c r="AB956" s="7">
        <v>103.190172891063</v>
      </c>
      <c r="AC956" s="2">
        <v>5.1390965103425899</v>
      </c>
      <c r="AD956" s="2">
        <v>69.933025973199193</v>
      </c>
      <c r="AE956" s="2">
        <v>15.4521843208943</v>
      </c>
      <c r="AF956" s="2">
        <v>94.972513350188095</v>
      </c>
      <c r="AG956" s="2">
        <v>2.2436093489690201</v>
      </c>
      <c r="AH956" s="2">
        <v>177.252592312144</v>
      </c>
      <c r="AI956" s="2">
        <v>130.95794667960399</v>
      </c>
      <c r="AJ956" s="2">
        <v>95.386424328562896</v>
      </c>
      <c r="AK956" s="2">
        <v>29.7151036799862</v>
      </c>
      <c r="AL956" s="2">
        <v>97.916022194511498</v>
      </c>
      <c r="AM956" s="2">
        <v>16.111107669462498</v>
      </c>
      <c r="AN956"/>
      <c r="AO956"/>
    </row>
    <row r="957" spans="1:41" ht="15.75" hidden="1" customHeight="1" x14ac:dyDescent="0.45">
      <c r="A957" s="2" t="s">
        <v>187</v>
      </c>
      <c r="B957" s="2" t="s">
        <v>188</v>
      </c>
      <c r="C957" s="2">
        <v>0.3</v>
      </c>
      <c r="D957" s="2"/>
      <c r="E957" s="2" t="s">
        <v>83</v>
      </c>
      <c r="F957" s="2" t="s">
        <v>84</v>
      </c>
      <c r="H957" s="2" t="s">
        <v>87</v>
      </c>
      <c r="K957" s="2">
        <v>44.340246577611097</v>
      </c>
      <c r="L957" s="2"/>
      <c r="M957" s="2">
        <v>5.1620527717617204</v>
      </c>
      <c r="N957" s="2">
        <v>354.722222222222</v>
      </c>
      <c r="O957" s="2">
        <v>39.278327828932298</v>
      </c>
      <c r="P957" s="2">
        <v>20.992718634611101</v>
      </c>
      <c r="Q957" s="2">
        <v>1.87539705871472</v>
      </c>
      <c r="R957" s="2">
        <v>5.0969178260888803</v>
      </c>
      <c r="S957" s="2">
        <v>0.303109228680573</v>
      </c>
      <c r="T957" s="2">
        <v>5.9494503026855501</v>
      </c>
      <c r="U957" s="2">
        <v>2.33720118160331</v>
      </c>
      <c r="V957" s="2">
        <v>0.44013156379166601</v>
      </c>
      <c r="W957" s="2">
        <v>0.26307398769416002</v>
      </c>
      <c r="X957" s="2">
        <v>3.6465840207666602</v>
      </c>
      <c r="Y957" s="2">
        <v>0.15995112871822001</v>
      </c>
      <c r="Z957" s="7">
        <v>98.984574839159706</v>
      </c>
      <c r="AA957" s="2">
        <v>10.960544158139401</v>
      </c>
      <c r="AB957" s="7">
        <v>96.521673934796794</v>
      </c>
      <c r="AC957" s="2">
        <v>11.2369689599737</v>
      </c>
      <c r="AD957" s="2">
        <v>134.84424643422</v>
      </c>
      <c r="AE957" s="2">
        <v>52.972647230317499</v>
      </c>
      <c r="AF957" s="2">
        <v>108.95266518382</v>
      </c>
      <c r="AG957" s="2">
        <v>9.7333514244307597</v>
      </c>
      <c r="AH957" s="2">
        <v>90.877900128670703</v>
      </c>
      <c r="AI957" s="2">
        <v>5.40442894156857</v>
      </c>
      <c r="AJ957" s="2">
        <v>109.05944205255</v>
      </c>
      <c r="AK957" s="2">
        <v>65.186650258160697</v>
      </c>
      <c r="AL957" s="2">
        <v>108.422698791318</v>
      </c>
      <c r="AM957" s="2">
        <v>4.7557749805257101</v>
      </c>
      <c r="AN957"/>
      <c r="AO957"/>
    </row>
    <row r="958" spans="1:41" ht="15.75" hidden="1" customHeight="1" x14ac:dyDescent="0.45">
      <c r="A958" s="2" t="s">
        <v>187</v>
      </c>
      <c r="B958" s="2" t="s">
        <v>188</v>
      </c>
      <c r="C958" s="2">
        <v>1</v>
      </c>
      <c r="D958" s="2"/>
      <c r="E958" s="2" t="s">
        <v>83</v>
      </c>
      <c r="F958" s="2" t="s">
        <v>84</v>
      </c>
      <c r="H958" s="2" t="s">
        <v>87</v>
      </c>
      <c r="K958" s="2">
        <v>49.258416170388799</v>
      </c>
      <c r="L958" s="2"/>
      <c r="M958" s="2">
        <v>1.8219017121196199</v>
      </c>
      <c r="N958" s="2">
        <v>435.722222222222</v>
      </c>
      <c r="O958" s="2">
        <v>32.793263761756698</v>
      </c>
      <c r="P958" s="2">
        <v>19.900586918055499</v>
      </c>
      <c r="Q958" s="2">
        <v>2.8112444715013001</v>
      </c>
      <c r="R958" s="2">
        <v>5.4073358829111102</v>
      </c>
      <c r="S958" s="2">
        <v>1.36347193277782</v>
      </c>
      <c r="T958" s="2">
        <v>4.7340387634449996</v>
      </c>
      <c r="U958" s="2">
        <v>1.49784983699436</v>
      </c>
      <c r="V958" s="2">
        <v>0.46815468788499998</v>
      </c>
      <c r="W958" s="2">
        <v>0.14664684495366301</v>
      </c>
      <c r="X958" s="2">
        <v>3.5246758502555502</v>
      </c>
      <c r="Y958" s="2">
        <v>0.31270627218465502</v>
      </c>
      <c r="Z958" s="7">
        <v>121.58747383923701</v>
      </c>
      <c r="AA958" s="2">
        <v>9.1508991196282494</v>
      </c>
      <c r="AB958" s="7">
        <v>107.227747951756</v>
      </c>
      <c r="AC958" s="2">
        <v>3.9659906421732201</v>
      </c>
      <c r="AD958" s="2">
        <v>107.29695302421</v>
      </c>
      <c r="AE958" s="2">
        <v>33.948755307688401</v>
      </c>
      <c r="AF958" s="2">
        <v>103.28447787937399</v>
      </c>
      <c r="AG958" s="2">
        <v>14.5904198014809</v>
      </c>
      <c r="AH958" s="2">
        <v>96.412645268494401</v>
      </c>
      <c r="AI958" s="2">
        <v>24.310665850053599</v>
      </c>
      <c r="AJ958" s="2">
        <v>116.003243700993</v>
      </c>
      <c r="AK958" s="2">
        <v>36.3373691076238</v>
      </c>
      <c r="AL958" s="2">
        <v>104.79804273615601</v>
      </c>
      <c r="AM958" s="2">
        <v>9.2975940678050506</v>
      </c>
      <c r="AN958"/>
      <c r="AO958"/>
    </row>
    <row r="959" spans="1:41" ht="15.75" hidden="1" customHeight="1" x14ac:dyDescent="0.45">
      <c r="A959" s="2" t="s">
        <v>187</v>
      </c>
      <c r="B959" s="2" t="s">
        <v>188</v>
      </c>
      <c r="C959" s="2">
        <v>3</v>
      </c>
      <c r="D959" s="2"/>
      <c r="E959" s="2" t="s">
        <v>83</v>
      </c>
      <c r="F959" s="2" t="s">
        <v>84</v>
      </c>
      <c r="H959" s="2" t="s">
        <v>87</v>
      </c>
      <c r="K959" s="2">
        <v>45.014393332911098</v>
      </c>
      <c r="L959" s="2"/>
      <c r="M959" s="2">
        <v>4.3691827203584896</v>
      </c>
      <c r="N959" s="2">
        <v>374.92222222222199</v>
      </c>
      <c r="O959" s="2">
        <v>30.459013140309299</v>
      </c>
      <c r="P959" s="2">
        <v>18.3460420482666</v>
      </c>
      <c r="Q959" s="2">
        <v>1.97237890719575</v>
      </c>
      <c r="R959" s="2">
        <v>5.6705869150188803</v>
      </c>
      <c r="S959" s="2">
        <v>1.25886438134975</v>
      </c>
      <c r="T959" s="2">
        <v>5.1070018587200003</v>
      </c>
      <c r="U959" s="2">
        <v>2.11003843095104</v>
      </c>
      <c r="V959" s="2">
        <v>0.35492630462744401</v>
      </c>
      <c r="W959" s="2">
        <v>6.0030386556305902E-2</v>
      </c>
      <c r="X959" s="2">
        <v>2.9157682116799899</v>
      </c>
      <c r="Y959" s="2">
        <v>0.39431232663804799</v>
      </c>
      <c r="Z959" s="7">
        <v>104.62134718238801</v>
      </c>
      <c r="AA959" s="2">
        <v>8.4995308352153796</v>
      </c>
      <c r="AB959" s="7">
        <v>97.989184341744405</v>
      </c>
      <c r="AC959" s="2">
        <v>9.5110167950426394</v>
      </c>
      <c r="AD959" s="2">
        <v>115.75015877793</v>
      </c>
      <c r="AE959" s="2">
        <v>47.824005192614898</v>
      </c>
      <c r="AF959" s="2">
        <v>95.216356276863394</v>
      </c>
      <c r="AG959" s="2">
        <v>10.2366893222217</v>
      </c>
      <c r="AH959" s="2">
        <v>101.106403696814</v>
      </c>
      <c r="AI959" s="2">
        <v>22.445516178084102</v>
      </c>
      <c r="AJ959" s="2">
        <v>87.946577652778601</v>
      </c>
      <c r="AK959" s="2">
        <v>14.8748260807047</v>
      </c>
      <c r="AL959" s="2">
        <v>86.693589606038003</v>
      </c>
      <c r="AM959" s="2">
        <v>11.7239603906871</v>
      </c>
      <c r="AN959"/>
      <c r="AO959"/>
    </row>
    <row r="960" spans="1:41" ht="15.75" hidden="1" customHeight="1" x14ac:dyDescent="0.45">
      <c r="A960" s="2" t="s">
        <v>187</v>
      </c>
      <c r="B960" s="2" t="s">
        <v>188</v>
      </c>
      <c r="C960" s="2">
        <v>10</v>
      </c>
      <c r="D960" s="2"/>
      <c r="E960" s="2" t="s">
        <v>83</v>
      </c>
      <c r="F960" s="2" t="s">
        <v>84</v>
      </c>
      <c r="H960" s="2" t="s">
        <v>87</v>
      </c>
      <c r="K960" s="2">
        <v>43.587596512388799</v>
      </c>
      <c r="L960" s="2"/>
      <c r="M960" s="2">
        <v>5.63584505365416</v>
      </c>
      <c r="N960" s="2">
        <v>313.722222222222</v>
      </c>
      <c r="O960" s="2">
        <v>45.285002831859103</v>
      </c>
      <c r="P960" s="2">
        <v>20.243829844</v>
      </c>
      <c r="Q960" s="2">
        <v>2.31849089066572</v>
      </c>
      <c r="R960" s="2">
        <v>5.9750791051499998</v>
      </c>
      <c r="S960" s="2">
        <v>3.4525859566827202</v>
      </c>
      <c r="T960" s="2">
        <v>5.0009958101833298</v>
      </c>
      <c r="U960" s="2">
        <v>1.53501557318684</v>
      </c>
      <c r="V960" s="2">
        <v>0.48520498554333302</v>
      </c>
      <c r="W960" s="2">
        <v>0.16318055874099599</v>
      </c>
      <c r="X960" s="2">
        <v>3.3018327600188799</v>
      </c>
      <c r="Y960" s="2">
        <v>0.26810353315586799</v>
      </c>
      <c r="Z960" s="7">
        <v>87.543601271219202</v>
      </c>
      <c r="AA960" s="2">
        <v>12.636695620083101</v>
      </c>
      <c r="AB960" s="7">
        <v>94.883274291366206</v>
      </c>
      <c r="AC960" s="2">
        <v>12.268339501984601</v>
      </c>
      <c r="AD960" s="2">
        <v>113.347532483877</v>
      </c>
      <c r="AE960" s="2">
        <v>34.791116439402501</v>
      </c>
      <c r="AF960" s="2">
        <v>105.06591611222299</v>
      </c>
      <c r="AG960" s="2">
        <v>12.033018025877</v>
      </c>
      <c r="AH960" s="2">
        <v>106.53549080178099</v>
      </c>
      <c r="AI960" s="2">
        <v>61.559509582643102</v>
      </c>
      <c r="AJ960" s="2">
        <v>120.228107588119</v>
      </c>
      <c r="AK960" s="2">
        <v>40.434229567185298</v>
      </c>
      <c r="AL960" s="2">
        <v>98.172321482275805</v>
      </c>
      <c r="AM960" s="2">
        <v>7.9714353089649999</v>
      </c>
      <c r="AN960"/>
      <c r="AO960"/>
    </row>
    <row r="961" spans="1:41" ht="15.75" hidden="1" customHeight="1" x14ac:dyDescent="0.45">
      <c r="A961" s="2" t="s">
        <v>189</v>
      </c>
      <c r="B961" s="2" t="s">
        <v>190</v>
      </c>
      <c r="C961" s="2">
        <v>3.0000000000000001E-3</v>
      </c>
      <c r="D961" s="2"/>
      <c r="E961" s="2" t="s">
        <v>83</v>
      </c>
      <c r="F961" s="2" t="s">
        <v>84</v>
      </c>
      <c r="H961" s="2">
        <v>0.4</v>
      </c>
      <c r="J961" s="2">
        <v>0.4</v>
      </c>
      <c r="K961" s="2">
        <v>25.1756499184444</v>
      </c>
      <c r="L961" s="2"/>
      <c r="M961" s="2">
        <v>21.810416879691701</v>
      </c>
      <c r="N961" s="2">
        <v>271.33333333333297</v>
      </c>
      <c r="O961" s="2">
        <v>54.362211139724401</v>
      </c>
      <c r="P961" s="2">
        <v>13.3201225844166</v>
      </c>
      <c r="Q961" s="2">
        <v>2.7195749287843101</v>
      </c>
      <c r="R961" s="2">
        <v>1.81322884474833</v>
      </c>
      <c r="S961" s="2">
        <v>0.36341986007096</v>
      </c>
      <c r="T961" s="2">
        <v>4.6835811271911103</v>
      </c>
      <c r="U961" s="2">
        <v>1.5718356057667799</v>
      </c>
      <c r="V961" s="2">
        <v>0.39340807421666601</v>
      </c>
      <c r="W961" s="2">
        <v>7.1206227181173601E-2</v>
      </c>
      <c r="X961" s="2">
        <v>3.7729532839222202</v>
      </c>
      <c r="Y961" s="2">
        <v>1.11721671203011</v>
      </c>
      <c r="Z961" s="7">
        <v>117.68991240951701</v>
      </c>
      <c r="AA961" s="2">
        <v>26.687046018644899</v>
      </c>
      <c r="AB961" s="7">
        <v>73.025105106516506</v>
      </c>
      <c r="AC961" s="2">
        <v>63.2697359838849</v>
      </c>
      <c r="AD961" s="2">
        <v>99.847764597239305</v>
      </c>
      <c r="AE961" s="2">
        <v>17.9194551982152</v>
      </c>
      <c r="AF961" s="2">
        <v>86.486237559924405</v>
      </c>
      <c r="AG961" s="2">
        <v>12.1454133381401</v>
      </c>
      <c r="AH961" s="2">
        <v>106.812923702486</v>
      </c>
      <c r="AI961" s="2">
        <v>26.556192866090001</v>
      </c>
      <c r="AJ961" s="2">
        <v>55.177062999844601</v>
      </c>
      <c r="AK961" s="2">
        <v>21.640487704643299</v>
      </c>
      <c r="AL961" s="2">
        <v>112.01345680767101</v>
      </c>
      <c r="AM961" s="2">
        <v>12.277339928051701</v>
      </c>
      <c r="AN961"/>
      <c r="AO961"/>
    </row>
    <row r="962" spans="1:41" ht="15.75" hidden="1" customHeight="1" x14ac:dyDescent="0.45">
      <c r="A962" s="2" t="s">
        <v>189</v>
      </c>
      <c r="B962" s="2" t="s">
        <v>190</v>
      </c>
      <c r="C962" s="2">
        <v>0.01</v>
      </c>
      <c r="D962" s="2"/>
      <c r="E962" s="2" t="s">
        <v>83</v>
      </c>
      <c r="F962" s="2" t="s">
        <v>84</v>
      </c>
      <c r="H962" s="2">
        <v>0.4</v>
      </c>
      <c r="J962" s="2">
        <v>0.4</v>
      </c>
      <c r="K962" s="2">
        <v>18.118219747333299</v>
      </c>
      <c r="L962" s="2"/>
      <c r="M962" s="2">
        <v>17.661075728985601</v>
      </c>
      <c r="N962" s="2">
        <v>211.777777777777</v>
      </c>
      <c r="O962" s="2">
        <v>67.938766002378202</v>
      </c>
      <c r="P962" s="2">
        <v>16.219577602388799</v>
      </c>
      <c r="Q962" s="2">
        <v>1.1001090875436501</v>
      </c>
      <c r="R962" s="2">
        <v>1.42077904866277</v>
      </c>
      <c r="S962" s="2">
        <v>0.571193096772179</v>
      </c>
      <c r="T962" s="2">
        <v>5.15915817812777</v>
      </c>
      <c r="U962" s="2">
        <v>1.33574455356544</v>
      </c>
      <c r="V962" s="2">
        <v>0.63839102512333301</v>
      </c>
      <c r="W962" s="2">
        <v>0.40999845543308899</v>
      </c>
      <c r="X962" s="2">
        <v>4.7547117915283303</v>
      </c>
      <c r="Y962" s="2">
        <v>0.80258145147829696</v>
      </c>
      <c r="Z962" s="7">
        <v>90.969771263599696</v>
      </c>
      <c r="AA962" s="2">
        <v>26.378881599067501</v>
      </c>
      <c r="AB962" s="7">
        <v>52.070211223478204</v>
      </c>
      <c r="AC962" s="2">
        <v>49.727058393215003</v>
      </c>
      <c r="AD962" s="2">
        <v>118.085444574414</v>
      </c>
      <c r="AE962" s="2">
        <v>48.676871280976002</v>
      </c>
      <c r="AF962" s="2">
        <v>105.963349635773</v>
      </c>
      <c r="AG962" s="2">
        <v>1.5810338914708699</v>
      </c>
      <c r="AH962" s="2">
        <v>78.985773241004395</v>
      </c>
      <c r="AI962" s="2">
        <v>4.84093481342006</v>
      </c>
      <c r="AJ962" s="2">
        <v>108.34411133227201</v>
      </c>
      <c r="AK962" s="2">
        <v>114.61035483522301</v>
      </c>
      <c r="AL962" s="2">
        <v>145.48280530167</v>
      </c>
      <c r="AM962" s="2">
        <v>24.5089366204956</v>
      </c>
      <c r="AN962"/>
      <c r="AO962"/>
    </row>
    <row r="963" spans="1:41" ht="15.75" hidden="1" customHeight="1" x14ac:dyDescent="0.45">
      <c r="A963" s="2" t="s">
        <v>189</v>
      </c>
      <c r="B963" s="2" t="s">
        <v>190</v>
      </c>
      <c r="C963" s="2">
        <v>0.03</v>
      </c>
      <c r="D963" s="2"/>
      <c r="E963" s="2" t="s">
        <v>83</v>
      </c>
      <c r="F963" s="2" t="s">
        <v>84</v>
      </c>
      <c r="H963" s="2">
        <v>0.4</v>
      </c>
      <c r="J963" s="2">
        <v>0.4</v>
      </c>
      <c r="K963" s="2">
        <v>30.708350412255498</v>
      </c>
      <c r="L963" s="2"/>
      <c r="M963" s="2">
        <v>2.0835669574639302</v>
      </c>
      <c r="N963" s="2">
        <v>247.42222222222199</v>
      </c>
      <c r="O963" s="2">
        <v>59.062738143748703</v>
      </c>
      <c r="P963" s="2">
        <v>16.365829629044399</v>
      </c>
      <c r="Q963" s="2">
        <v>0.74931563619943498</v>
      </c>
      <c r="R963" s="2">
        <v>1.5930623430233299</v>
      </c>
      <c r="S963" s="2">
        <v>0.32215111208306202</v>
      </c>
      <c r="T963" s="2">
        <v>4.3633444727333304</v>
      </c>
      <c r="U963" s="2">
        <v>2.3009082077491798</v>
      </c>
      <c r="V963" s="2">
        <v>0.71076722528222203</v>
      </c>
      <c r="W963" s="2">
        <v>0.38727133129077601</v>
      </c>
      <c r="X963" s="2">
        <v>4.2900001769977703</v>
      </c>
      <c r="Y963" s="2">
        <v>1.39373226562752</v>
      </c>
      <c r="Z963" s="7">
        <v>107.347654038122</v>
      </c>
      <c r="AA963" s="2">
        <v>28.330523623751599</v>
      </c>
      <c r="AB963" s="7">
        <v>92.132115858991995</v>
      </c>
      <c r="AC963" s="2">
        <v>11.8185109643385</v>
      </c>
      <c r="AD963" s="2">
        <v>90.640581978482203</v>
      </c>
      <c r="AE963" s="2">
        <v>30.237768014549999</v>
      </c>
      <c r="AF963" s="2">
        <v>107.07968869374599</v>
      </c>
      <c r="AG963" s="2">
        <v>5.1298519109785197</v>
      </c>
      <c r="AH963" s="2">
        <v>93.354608656007102</v>
      </c>
      <c r="AI963" s="2">
        <v>20.2862406967804</v>
      </c>
      <c r="AJ963" s="2">
        <v>87.8129413273073</v>
      </c>
      <c r="AK963" s="2">
        <v>16.216249634563599</v>
      </c>
      <c r="AL963" s="2">
        <v>131.97802028322801</v>
      </c>
      <c r="AM963" s="2">
        <v>41.385813438339802</v>
      </c>
      <c r="AN963"/>
      <c r="AO963"/>
    </row>
    <row r="964" spans="1:41" ht="15.75" hidden="1" customHeight="1" x14ac:dyDescent="0.45">
      <c r="A964" s="2" t="s">
        <v>189</v>
      </c>
      <c r="B964" s="2" t="s">
        <v>190</v>
      </c>
      <c r="C964" s="2">
        <v>0.1</v>
      </c>
      <c r="D964" s="2"/>
      <c r="E964" s="2" t="s">
        <v>83</v>
      </c>
      <c r="F964" s="2" t="s">
        <v>84</v>
      </c>
      <c r="H964" s="2">
        <v>0.4</v>
      </c>
      <c r="J964" s="2">
        <v>0.4</v>
      </c>
      <c r="K964" s="2">
        <v>12.2980496959</v>
      </c>
      <c r="L964" s="2"/>
      <c r="M964" s="2">
        <v>2.9177774149353102</v>
      </c>
      <c r="N964" s="2">
        <v>132.916666666666</v>
      </c>
      <c r="O964" s="2">
        <v>11.102739902084499</v>
      </c>
      <c r="P964" s="2">
        <v>19.138171097133299</v>
      </c>
      <c r="Q964" s="2">
        <v>1.68317934401164</v>
      </c>
      <c r="R964" s="2">
        <v>0.76328826808277705</v>
      </c>
      <c r="S964" s="2">
        <v>0.55266725851882503</v>
      </c>
      <c r="T964" s="2">
        <v>5.4855753284861102</v>
      </c>
      <c r="U964" s="2">
        <v>1.2104320515212701</v>
      </c>
      <c r="V964" s="2">
        <v>0.44055782843416602</v>
      </c>
      <c r="W964" s="2">
        <v>8.3849863581631601E-2</v>
      </c>
      <c r="X964" s="2">
        <v>6.6814110253000001</v>
      </c>
      <c r="Y964" s="2">
        <v>1.2015835287087699</v>
      </c>
      <c r="Z964" s="7">
        <v>57.412265686528301</v>
      </c>
      <c r="AA964" s="2">
        <v>4.2911600783614503</v>
      </c>
      <c r="AB964" s="7">
        <v>37.024113675606401</v>
      </c>
      <c r="AC964" s="2">
        <v>10.623493113283599</v>
      </c>
      <c r="AD964" s="2">
        <v>122.454368487755</v>
      </c>
      <c r="AE964" s="2">
        <v>40.4650779083576</v>
      </c>
      <c r="AF964" s="2">
        <v>125.25364897946</v>
      </c>
      <c r="AG964" s="2">
        <v>12.0597515869094</v>
      </c>
      <c r="AH964" s="2">
        <v>40.294444405853604</v>
      </c>
      <c r="AI964" s="2">
        <v>16.825772486885899</v>
      </c>
      <c r="AJ964" s="2">
        <v>66.947731593122796</v>
      </c>
      <c r="AK964" s="2">
        <v>43.804166588474402</v>
      </c>
      <c r="AL964" s="2">
        <v>206.41721432506401</v>
      </c>
      <c r="AM964" s="2">
        <v>50.391186619635597</v>
      </c>
      <c r="AN964"/>
      <c r="AO964"/>
    </row>
    <row r="965" spans="1:41" ht="15.75" hidden="1" customHeight="1" x14ac:dyDescent="0.45">
      <c r="A965" s="2" t="s">
        <v>189</v>
      </c>
      <c r="B965" s="2" t="s">
        <v>190</v>
      </c>
      <c r="C965" s="2">
        <v>0.3</v>
      </c>
      <c r="D965" s="2"/>
      <c r="E965" s="2" t="s">
        <v>83</v>
      </c>
      <c r="F965" s="2" t="s">
        <v>84</v>
      </c>
      <c r="H965" s="2">
        <v>0.4</v>
      </c>
      <c r="J965" s="2">
        <v>0.4</v>
      </c>
      <c r="K965" s="2">
        <v>13.6722800704111</v>
      </c>
      <c r="L965" s="2"/>
      <c r="M965" s="2">
        <v>2.9756946092846102</v>
      </c>
      <c r="N965" s="2">
        <v>153.222222222222</v>
      </c>
      <c r="O965" s="2">
        <v>59.000078468246599</v>
      </c>
      <c r="P965" s="2">
        <v>15.520200936155501</v>
      </c>
      <c r="Q965" s="2">
        <v>3.1072872972762098</v>
      </c>
      <c r="R965" s="2">
        <v>0.62210267539444397</v>
      </c>
      <c r="S965" s="2">
        <v>0.43324010100247801</v>
      </c>
      <c r="T965" s="2">
        <v>7.2510967200333303</v>
      </c>
      <c r="U965" s="2">
        <v>1.7783245989954199</v>
      </c>
      <c r="V965" s="2">
        <v>0.74537114183222197</v>
      </c>
      <c r="W965" s="2">
        <v>0.21523221996012901</v>
      </c>
      <c r="X965" s="2">
        <v>7.4705747582333304</v>
      </c>
      <c r="Y965" s="2">
        <v>2.1649406998107299</v>
      </c>
      <c r="Z965" s="7">
        <v>66.659717458334399</v>
      </c>
      <c r="AA965" s="2">
        <v>27.391052880951499</v>
      </c>
      <c r="AB965" s="7">
        <v>40.865327433343701</v>
      </c>
      <c r="AC965" s="2">
        <v>8.9724779760921596</v>
      </c>
      <c r="AD965" s="2">
        <v>160.70136306767299</v>
      </c>
      <c r="AE965" s="2">
        <v>53.630817435837102</v>
      </c>
      <c r="AF965" s="2">
        <v>100.711046749603</v>
      </c>
      <c r="AG965" s="2">
        <v>11.7932693520307</v>
      </c>
      <c r="AH965" s="2">
        <v>44.529077423425299</v>
      </c>
      <c r="AI965" s="2">
        <v>44.785406623675399</v>
      </c>
      <c r="AJ965" s="2">
        <v>115.535586796442</v>
      </c>
      <c r="AK965" s="2">
        <v>85.339909771845399</v>
      </c>
      <c r="AL965" s="2">
        <v>221.51731275451399</v>
      </c>
      <c r="AM965" s="2">
        <v>15.8768362288499</v>
      </c>
      <c r="AN965"/>
      <c r="AO965"/>
    </row>
    <row r="966" spans="1:41" ht="15.75" hidden="1" customHeight="1" x14ac:dyDescent="0.45">
      <c r="A966" s="2" t="s">
        <v>189</v>
      </c>
      <c r="B966" s="2" t="s">
        <v>190</v>
      </c>
      <c r="C966" s="2">
        <v>1</v>
      </c>
      <c r="D966" s="2"/>
      <c r="E966" s="2" t="s">
        <v>83</v>
      </c>
      <c r="F966" s="2" t="s">
        <v>84</v>
      </c>
      <c r="H966" s="2">
        <v>0.4</v>
      </c>
      <c r="J966" s="2">
        <v>0.4</v>
      </c>
      <c r="K966" s="2">
        <v>4.7618812089011104</v>
      </c>
      <c r="L966" s="2"/>
      <c r="M966" s="2">
        <v>1.54821677677131</v>
      </c>
      <c r="N966" s="2">
        <v>70.8333333333333</v>
      </c>
      <c r="O966" s="2">
        <v>13.7759855465145</v>
      </c>
      <c r="P966" s="2">
        <v>9.8522804746444397</v>
      </c>
      <c r="Q966" s="2">
        <v>1.1888068571239201</v>
      </c>
      <c r="R966" s="2">
        <v>0.733793380722222</v>
      </c>
      <c r="S966" s="2">
        <v>0.56093107322189895</v>
      </c>
      <c r="T966" s="2">
        <v>13.2775605732388</v>
      </c>
      <c r="U966" s="2">
        <v>4.6282911588716198</v>
      </c>
      <c r="V966" s="2">
        <v>0.68026867361222199</v>
      </c>
      <c r="W966" s="2">
        <v>0.15551114476512301</v>
      </c>
      <c r="X966" s="2">
        <v>10.2647869409388</v>
      </c>
      <c r="Y966" s="2">
        <v>0.75542809060268501</v>
      </c>
      <c r="Z966" s="7">
        <v>30.738923178716998</v>
      </c>
      <c r="AA966" s="2">
        <v>6.8180246294207301</v>
      </c>
      <c r="AB966" s="7">
        <v>14.1339225582976</v>
      </c>
      <c r="AC966" s="2">
        <v>4.0240784465570902</v>
      </c>
      <c r="AD966" s="2">
        <v>281.31896569042499</v>
      </c>
      <c r="AE966" s="2">
        <v>36.398126441280098</v>
      </c>
      <c r="AF966" s="2">
        <v>64.939471429234104</v>
      </c>
      <c r="AG966" s="2">
        <v>12.360585787904601</v>
      </c>
      <c r="AH966" s="2">
        <v>53.365561439187402</v>
      </c>
      <c r="AI966" s="2">
        <v>56.320511228584898</v>
      </c>
      <c r="AJ966" s="2">
        <v>93.750557516685703</v>
      </c>
      <c r="AK966" s="2">
        <v>29.198869416988298</v>
      </c>
      <c r="AL966" s="2">
        <v>325.00210363544102</v>
      </c>
      <c r="AM966" s="2">
        <v>111.611753614096</v>
      </c>
      <c r="AN966"/>
      <c r="AO966"/>
    </row>
    <row r="967" spans="1:41" ht="15.75" hidden="1" customHeight="1" x14ac:dyDescent="0.45">
      <c r="A967" s="2" t="s">
        <v>189</v>
      </c>
      <c r="B967" s="2" t="s">
        <v>190</v>
      </c>
      <c r="C967" s="2">
        <v>3</v>
      </c>
      <c r="D967" s="2"/>
      <c r="E967" s="2" t="s">
        <v>83</v>
      </c>
      <c r="F967" s="2" t="s">
        <v>84</v>
      </c>
      <c r="H967" s="2">
        <v>0.4</v>
      </c>
      <c r="J967" s="2">
        <v>0.4</v>
      </c>
      <c r="K967" s="2">
        <v>0.75341292431111095</v>
      </c>
      <c r="L967" s="2"/>
      <c r="M967" s="2">
        <v>0.73596352689189604</v>
      </c>
      <c r="N967" s="2">
        <v>38.1111111111111</v>
      </c>
      <c r="O967" s="2">
        <v>6.5199125192949499</v>
      </c>
      <c r="P967" s="2">
        <v>4.8117437539888801</v>
      </c>
      <c r="Q967" s="2">
        <v>1.0842187160155601</v>
      </c>
      <c r="R967" s="2">
        <v>0.33115162848888802</v>
      </c>
      <c r="S967" s="2">
        <v>0.57357144555192796</v>
      </c>
      <c r="T967" s="2">
        <v>19.3781985209277</v>
      </c>
      <c r="U967" s="2">
        <v>4.7932915211800999</v>
      </c>
      <c r="V967" s="2">
        <v>0.25252525252777702</v>
      </c>
      <c r="W967" s="2">
        <v>0.43738656757227201</v>
      </c>
      <c r="X967" s="2">
        <v>6.9163678952166601</v>
      </c>
      <c r="Y967" s="2">
        <v>0.92742586505082503</v>
      </c>
      <c r="Z967" s="7">
        <v>16.420066880145502</v>
      </c>
      <c r="AA967" s="2">
        <v>2.2964793916363302</v>
      </c>
      <c r="AB967" s="7">
        <v>2.2938501528754398</v>
      </c>
      <c r="AC967" s="2">
        <v>2.3331815925214601</v>
      </c>
      <c r="AD967" s="2">
        <v>439.07417555445898</v>
      </c>
      <c r="AE967" s="2">
        <v>173.23089649444501</v>
      </c>
      <c r="AF967" s="2">
        <v>31.528068844764</v>
      </c>
      <c r="AG967" s="2">
        <v>7.6040209976259296</v>
      </c>
      <c r="AH967" s="2">
        <v>12.1394704450414</v>
      </c>
      <c r="AI967" s="2">
        <v>21.026179587792601</v>
      </c>
      <c r="AJ967" s="2">
        <v>23.536736899237699</v>
      </c>
      <c r="AK967" s="2">
        <v>40.766824153860902</v>
      </c>
      <c r="AL967" s="2">
        <v>213.29674926681199</v>
      </c>
      <c r="AM967" s="2">
        <v>44.2277934044033</v>
      </c>
      <c r="AN967"/>
      <c r="AO967"/>
    </row>
    <row r="968" spans="1:41" ht="15.75" hidden="1" customHeight="1" x14ac:dyDescent="0.45">
      <c r="A968" s="2" t="s">
        <v>189</v>
      </c>
      <c r="B968" s="2" t="s">
        <v>190</v>
      </c>
      <c r="C968" s="2">
        <v>10</v>
      </c>
      <c r="D968" s="2"/>
      <c r="E968" s="2" t="s">
        <v>83</v>
      </c>
      <c r="F968" s="2" t="s">
        <v>84</v>
      </c>
      <c r="H968" s="2">
        <v>0.4</v>
      </c>
      <c r="J968" s="2">
        <v>0.4</v>
      </c>
      <c r="K968" s="2">
        <v>0.72645650744111101</v>
      </c>
      <c r="L968" s="2"/>
      <c r="M968" s="2">
        <v>0.48835831155600101</v>
      </c>
      <c r="N968" s="2">
        <v>32</v>
      </c>
      <c r="O968" s="2">
        <v>1.33333333333326</v>
      </c>
      <c r="P968" s="2">
        <v>6.7290676852488804</v>
      </c>
      <c r="Q968" s="2">
        <v>1.8707534950962901</v>
      </c>
      <c r="R968" s="2">
        <v>0.69875222816444404</v>
      </c>
      <c r="S968" s="2">
        <v>0.82309137905669505</v>
      </c>
      <c r="T968" s="2">
        <v>20.987033400883298</v>
      </c>
      <c r="U968" s="2">
        <v>6.1229791958398199</v>
      </c>
      <c r="V968" s="2">
        <v>0.14619883041111101</v>
      </c>
      <c r="W968" s="2">
        <v>0.25322380227919</v>
      </c>
      <c r="X968" s="2">
        <v>5.8087380312444399</v>
      </c>
      <c r="Y968" s="2">
        <v>2.2239789768512899</v>
      </c>
      <c r="Z968" s="7">
        <v>13.841184488862201</v>
      </c>
      <c r="AA968" s="2">
        <v>0.89393087497171098</v>
      </c>
      <c r="AB968" s="7">
        <v>2.17409372732341</v>
      </c>
      <c r="AC968" s="2">
        <v>1.46694784645432</v>
      </c>
      <c r="AD968" s="2">
        <v>474.83140373284698</v>
      </c>
      <c r="AE968" s="2">
        <v>203.338192496825</v>
      </c>
      <c r="AF968" s="2">
        <v>43.917660959938701</v>
      </c>
      <c r="AG968" s="2">
        <v>12.1797692535675</v>
      </c>
      <c r="AH968" s="2">
        <v>56.106038005772596</v>
      </c>
      <c r="AI968" s="2">
        <v>71.877763777830793</v>
      </c>
      <c r="AJ968" s="2">
        <v>32.611034729373699</v>
      </c>
      <c r="AK968" s="2">
        <v>56.483969038668498</v>
      </c>
      <c r="AL968" s="2">
        <v>193.36385392538901</v>
      </c>
      <c r="AM968" s="2">
        <v>126.934597131218</v>
      </c>
      <c r="AN968"/>
      <c r="AO968"/>
    </row>
    <row r="969" spans="1:41" ht="15.75" hidden="1" customHeight="1" x14ac:dyDescent="0.45">
      <c r="A969" s="2" t="s">
        <v>189</v>
      </c>
      <c r="B969" s="2" t="s">
        <v>190</v>
      </c>
      <c r="C969" s="2">
        <v>3.0000000000000001E-3</v>
      </c>
      <c r="D969" s="2"/>
      <c r="E969" s="2" t="s">
        <v>83</v>
      </c>
      <c r="F969" s="2" t="s">
        <v>84</v>
      </c>
      <c r="H969" s="2">
        <v>0.4</v>
      </c>
      <c r="J969" s="2">
        <v>0.35369081899999999</v>
      </c>
      <c r="K969" s="2">
        <v>46.1030372929444</v>
      </c>
      <c r="L969" s="2"/>
      <c r="M969" s="2">
        <v>1.6009002205784399</v>
      </c>
      <c r="N969" s="2">
        <v>344.166666666666</v>
      </c>
      <c r="O969" s="2">
        <v>8.9178348144496393</v>
      </c>
      <c r="P969" s="2">
        <v>21.365702314722199</v>
      </c>
      <c r="Q969" s="2">
        <v>1.4652203739724201</v>
      </c>
      <c r="R969" s="2">
        <v>4.4572602176111102</v>
      </c>
      <c r="S969" s="2">
        <v>0.70515479186027097</v>
      </c>
      <c r="T969" s="2">
        <v>3.1849606105811099</v>
      </c>
      <c r="U969" s="2">
        <v>0.62941505791038499</v>
      </c>
      <c r="V969" s="2">
        <v>0.41453793318833299</v>
      </c>
      <c r="W969" s="2">
        <v>5.8102593840821198E-2</v>
      </c>
      <c r="X969" s="2">
        <v>2.88884866952777</v>
      </c>
      <c r="Y969" s="2">
        <v>0.269169999388295</v>
      </c>
      <c r="Z969" s="7">
        <v>96.039066739012497</v>
      </c>
      <c r="AA969" s="2">
        <v>2.4885051803750602</v>
      </c>
      <c r="AB969" s="7">
        <v>100.35898932597</v>
      </c>
      <c r="AC969" s="2">
        <v>3.4849054982666798</v>
      </c>
      <c r="AD969" s="2">
        <v>72.187108322027797</v>
      </c>
      <c r="AE969" s="2">
        <v>14.2656875610786</v>
      </c>
      <c r="AF969" s="2">
        <v>110.888458576066</v>
      </c>
      <c r="AG969" s="2">
        <v>7.60452553118719</v>
      </c>
      <c r="AH969" s="2">
        <v>79.472823130520595</v>
      </c>
      <c r="AI969" s="2">
        <v>12.5728899182793</v>
      </c>
      <c r="AJ969" s="2">
        <v>102.717640411121</v>
      </c>
      <c r="AK969" s="2">
        <v>14.397141644413701</v>
      </c>
      <c r="AL969" s="2">
        <v>85.893199598911096</v>
      </c>
      <c r="AM969" s="2">
        <v>8.0031442032153706</v>
      </c>
      <c r="AN969"/>
      <c r="AO969"/>
    </row>
    <row r="970" spans="1:41" ht="15.75" hidden="1" customHeight="1" x14ac:dyDescent="0.45">
      <c r="A970" s="2" t="s">
        <v>189</v>
      </c>
      <c r="B970" s="2" t="s">
        <v>190</v>
      </c>
      <c r="C970" s="2">
        <v>0.01</v>
      </c>
      <c r="D970" s="2"/>
      <c r="E970" s="2" t="s">
        <v>83</v>
      </c>
      <c r="F970" s="2" t="s">
        <v>84</v>
      </c>
      <c r="H970" s="2">
        <v>0.4</v>
      </c>
      <c r="J970" s="2">
        <v>0.35369081899999999</v>
      </c>
      <c r="K970" s="2">
        <v>46.0021396155555</v>
      </c>
      <c r="L970" s="2"/>
      <c r="M970" s="2">
        <v>2.4133516641419699</v>
      </c>
      <c r="N970" s="2">
        <v>376.5</v>
      </c>
      <c r="O970" s="2">
        <v>7.9704314674790897</v>
      </c>
      <c r="P970" s="2">
        <v>20.976928427499999</v>
      </c>
      <c r="Q970" s="2">
        <v>0.46012281675998801</v>
      </c>
      <c r="R970" s="2">
        <v>14.304464561666601</v>
      </c>
      <c r="S970" s="2">
        <v>14.050130166299899</v>
      </c>
      <c r="T970" s="2">
        <v>3.7762158681477702</v>
      </c>
      <c r="U970" s="2">
        <v>1.0534195162083</v>
      </c>
      <c r="V970" s="2">
        <v>0.27109154146222197</v>
      </c>
      <c r="W970" s="2">
        <v>0.198997208533822</v>
      </c>
      <c r="X970" s="2">
        <v>3.6064836438111101</v>
      </c>
      <c r="Y970" s="2">
        <v>0.260304266965179</v>
      </c>
      <c r="Z970" s="7">
        <v>105.061623129989</v>
      </c>
      <c r="AA970" s="2">
        <v>2.2241340425490002</v>
      </c>
      <c r="AB970" s="7">
        <v>100.139351108562</v>
      </c>
      <c r="AC970" s="2">
        <v>5.25348324368432</v>
      </c>
      <c r="AD970" s="2">
        <v>85.587904294869105</v>
      </c>
      <c r="AE970" s="2">
        <v>23.875745424428398</v>
      </c>
      <c r="AF970" s="2">
        <v>108.87071366631901</v>
      </c>
      <c r="AG970" s="2">
        <v>2.3880474020756002</v>
      </c>
      <c r="AH970" s="2">
        <v>255.04819700551701</v>
      </c>
      <c r="AI970" s="2">
        <v>250.51342195713099</v>
      </c>
      <c r="AJ970" s="2">
        <v>67.173306095879695</v>
      </c>
      <c r="AK970" s="2">
        <v>49.309175524131398</v>
      </c>
      <c r="AL970" s="2">
        <v>107.230407302267</v>
      </c>
      <c r="AM970" s="2">
        <v>7.7395422594230796</v>
      </c>
      <c r="AN970"/>
      <c r="AO970"/>
    </row>
    <row r="971" spans="1:41" ht="15.75" hidden="1" customHeight="1" x14ac:dyDescent="0.45">
      <c r="A971" s="2" t="s">
        <v>189</v>
      </c>
      <c r="B971" s="2" t="s">
        <v>190</v>
      </c>
      <c r="C971" s="2">
        <v>0.03</v>
      </c>
      <c r="D971" s="2"/>
      <c r="E971" s="2" t="s">
        <v>83</v>
      </c>
      <c r="F971" s="2" t="s">
        <v>84</v>
      </c>
      <c r="H971" s="2">
        <v>0.4</v>
      </c>
      <c r="J971" s="2">
        <v>0.35369081899999999</v>
      </c>
      <c r="K971" s="2">
        <v>42.089413625111099</v>
      </c>
      <c r="L971" s="2"/>
      <c r="M971" s="2">
        <v>1.8623853938661601</v>
      </c>
      <c r="N971" s="2">
        <v>315.05555555555497</v>
      </c>
      <c r="O971" s="2">
        <v>38.195525237233497</v>
      </c>
      <c r="P971" s="2">
        <v>24.447499930999999</v>
      </c>
      <c r="Q971" s="2">
        <v>2.9144319541029602</v>
      </c>
      <c r="R971" s="2">
        <v>5.16284950128333</v>
      </c>
      <c r="S971" s="2">
        <v>1.67458067999394</v>
      </c>
      <c r="T971" s="2">
        <v>3.2543602257111099</v>
      </c>
      <c r="U971" s="2">
        <v>0.28256117472012598</v>
      </c>
      <c r="V971" s="2">
        <v>0.53107283289999996</v>
      </c>
      <c r="W971" s="2">
        <v>4.5589261058204197E-2</v>
      </c>
      <c r="X971" s="2">
        <v>3.6453907675222199</v>
      </c>
      <c r="Y971" s="2">
        <v>0.190384299162141</v>
      </c>
      <c r="Z971" s="7">
        <v>87.915665452290497</v>
      </c>
      <c r="AA971" s="2">
        <v>10.658390113482699</v>
      </c>
      <c r="AB971" s="7">
        <v>91.621968112398406</v>
      </c>
      <c r="AC971" s="2">
        <v>4.0541171870353399</v>
      </c>
      <c r="AD971" s="2">
        <v>73.760050077807406</v>
      </c>
      <c r="AE971" s="2">
        <v>6.40424690319783</v>
      </c>
      <c r="AF971" s="2">
        <v>126.883055069015</v>
      </c>
      <c r="AG971" s="2">
        <v>15.1259650749989</v>
      </c>
      <c r="AH971" s="2">
        <v>92.053460025471097</v>
      </c>
      <c r="AI971" s="2">
        <v>29.857725979990601</v>
      </c>
      <c r="AJ971" s="2">
        <v>131.59362247593</v>
      </c>
      <c r="AK971" s="2">
        <v>11.2964844687877</v>
      </c>
      <c r="AL971" s="2">
        <v>108.387220180002</v>
      </c>
      <c r="AM971" s="2">
        <v>5.6606345569169996</v>
      </c>
      <c r="AN971"/>
      <c r="AO971"/>
    </row>
    <row r="972" spans="1:41" ht="15.75" hidden="1" customHeight="1" x14ac:dyDescent="0.45">
      <c r="A972" s="2" t="s">
        <v>189</v>
      </c>
      <c r="B972" s="2" t="s">
        <v>190</v>
      </c>
      <c r="C972" s="2">
        <v>0.1</v>
      </c>
      <c r="D972" s="2"/>
      <c r="E972" s="2" t="s">
        <v>83</v>
      </c>
      <c r="F972" s="2" t="s">
        <v>84</v>
      </c>
      <c r="H972" s="2">
        <v>0.4</v>
      </c>
      <c r="J972" s="2">
        <v>0.35369081899999999</v>
      </c>
      <c r="K972" s="2">
        <v>28.829665717222198</v>
      </c>
      <c r="L972" s="2"/>
      <c r="M972" s="2">
        <v>2.4008986480024102</v>
      </c>
      <c r="N972" s="2">
        <v>284.222222222222</v>
      </c>
      <c r="O972" s="2">
        <v>11.382654119967601</v>
      </c>
      <c r="P972" s="2">
        <v>22.964308486444398</v>
      </c>
      <c r="Q972" s="2">
        <v>1.7349449138012401</v>
      </c>
      <c r="R972" s="2">
        <v>3.91592287274444</v>
      </c>
      <c r="S972" s="2">
        <v>0.35551922377802198</v>
      </c>
      <c r="T972" s="2">
        <v>3.4755949788788798</v>
      </c>
      <c r="U972" s="2">
        <v>1.05656883845473</v>
      </c>
      <c r="V972" s="2">
        <v>0.38939234915222198</v>
      </c>
      <c r="W972" s="2">
        <v>0.190807411050366</v>
      </c>
      <c r="X972" s="2">
        <v>3.37505435442222</v>
      </c>
      <c r="Y972" s="2">
        <v>0.242295751249827</v>
      </c>
      <c r="Z972" s="7">
        <v>79.311681265018194</v>
      </c>
      <c r="AA972" s="2">
        <v>3.1763084126721699</v>
      </c>
      <c r="AB972" s="7">
        <v>62.757603053384599</v>
      </c>
      <c r="AC972" s="2">
        <v>5.2263750055462301</v>
      </c>
      <c r="AD972" s="2">
        <v>78.774334097039201</v>
      </c>
      <c r="AE972" s="2">
        <v>23.947124789494602</v>
      </c>
      <c r="AF972" s="2">
        <v>119.18525929159</v>
      </c>
      <c r="AG972" s="2">
        <v>9.0044017449987006</v>
      </c>
      <c r="AH972" s="2">
        <v>69.820793641070694</v>
      </c>
      <c r="AI972" s="2">
        <v>6.3388976661438203</v>
      </c>
      <c r="AJ972" s="2">
        <v>96.4868594568118</v>
      </c>
      <c r="AK972" s="2">
        <v>47.279839712869503</v>
      </c>
      <c r="AL972" s="2">
        <v>100.349395376584</v>
      </c>
      <c r="AM972" s="2">
        <v>7.2041009082942002</v>
      </c>
      <c r="AN972"/>
      <c r="AO972"/>
    </row>
    <row r="973" spans="1:41" ht="15.75" hidden="1" customHeight="1" x14ac:dyDescent="0.45">
      <c r="A973" s="2" t="s">
        <v>189</v>
      </c>
      <c r="B973" s="2" t="s">
        <v>190</v>
      </c>
      <c r="C973" s="2">
        <v>0.3</v>
      </c>
      <c r="D973" s="2"/>
      <c r="E973" s="2" t="s">
        <v>83</v>
      </c>
      <c r="F973" s="2" t="s">
        <v>84</v>
      </c>
      <c r="H973" s="2">
        <v>0.4</v>
      </c>
      <c r="J973" s="2">
        <v>0.35369081899999999</v>
      </c>
      <c r="K973" s="2">
        <v>17.0311569703888</v>
      </c>
      <c r="L973" s="2"/>
      <c r="M973" s="2">
        <v>0.30240533113344098</v>
      </c>
      <c r="N973" s="2">
        <v>180.833333333333</v>
      </c>
      <c r="O973" s="2">
        <v>17.0522074165718</v>
      </c>
      <c r="P973" s="2">
        <v>16.671043453099902</v>
      </c>
      <c r="Q973" s="2">
        <v>0.81572447728545905</v>
      </c>
      <c r="R973" s="2">
        <v>2.48865967979944</v>
      </c>
      <c r="S973" s="2">
        <v>0.99889997890565896</v>
      </c>
      <c r="T973" s="2">
        <v>4.6654049720011104</v>
      </c>
      <c r="U973" s="2">
        <v>2.1215865679396901</v>
      </c>
      <c r="V973" s="2">
        <v>0.215571752288333</v>
      </c>
      <c r="W973" s="2">
        <v>0.12962321997227899</v>
      </c>
      <c r="X973" s="2">
        <v>4.4024884890277702</v>
      </c>
      <c r="Y973" s="2">
        <v>0.15468225643602199</v>
      </c>
      <c r="Z973" s="7">
        <v>50.461204557786203</v>
      </c>
      <c r="AA973" s="2">
        <v>4.7583866909277299</v>
      </c>
      <c r="AB973" s="7">
        <v>37.074123549377497</v>
      </c>
      <c r="AC973" s="2">
        <v>0.658288372770228</v>
      </c>
      <c r="AD973" s="2">
        <v>105.74136865652601</v>
      </c>
      <c r="AE973" s="2">
        <v>48.085743630744297</v>
      </c>
      <c r="AF973" s="2">
        <v>86.523077226208201</v>
      </c>
      <c r="AG973" s="2">
        <v>4.2336277355424903</v>
      </c>
      <c r="AH973" s="2">
        <v>44.372731433382803</v>
      </c>
      <c r="AI973" s="2">
        <v>17.8103582633542</v>
      </c>
      <c r="AJ973" s="2">
        <v>53.416153170929199</v>
      </c>
      <c r="AK973" s="2">
        <v>32.119114397174499</v>
      </c>
      <c r="AL973" s="2">
        <v>130.89776093456001</v>
      </c>
      <c r="AM973" s="2">
        <v>4.5991173115485502</v>
      </c>
      <c r="AN973"/>
      <c r="AO973"/>
    </row>
    <row r="974" spans="1:41" ht="15.75" hidden="1" customHeight="1" x14ac:dyDescent="0.45">
      <c r="A974" s="2" t="s">
        <v>189</v>
      </c>
      <c r="B974" s="2" t="s">
        <v>190</v>
      </c>
      <c r="C974" s="2">
        <v>1</v>
      </c>
      <c r="D974" s="2"/>
      <c r="E974" s="2" t="s">
        <v>83</v>
      </c>
      <c r="F974" s="2" t="s">
        <v>84</v>
      </c>
      <c r="H974" s="2">
        <v>0.4</v>
      </c>
      <c r="J974" s="2">
        <v>0.35369081899999999</v>
      </c>
      <c r="K974" s="2">
        <v>13.475011142961099</v>
      </c>
      <c r="L974" s="2"/>
      <c r="M974" s="2">
        <v>0.28294701482819001</v>
      </c>
      <c r="N974" s="2">
        <v>124.833333333333</v>
      </c>
      <c r="O974" s="2">
        <v>11.4649223479465</v>
      </c>
      <c r="P974" s="2">
        <v>18.546117540999902</v>
      </c>
      <c r="Q974" s="2">
        <v>2.07873184841459</v>
      </c>
      <c r="R974" s="2">
        <v>3.8223368075566602</v>
      </c>
      <c r="S974" s="2">
        <v>1.93507494811833</v>
      </c>
      <c r="T974" s="2">
        <v>6.4165020920566596</v>
      </c>
      <c r="U974" s="2">
        <v>0.90194238959380901</v>
      </c>
      <c r="V974" s="2">
        <v>0.38499283835055498</v>
      </c>
      <c r="W974" s="2">
        <v>0.120358194303857</v>
      </c>
      <c r="X974" s="2">
        <v>6.0068403450222201</v>
      </c>
      <c r="Y974" s="2">
        <v>1.2596918435353499</v>
      </c>
      <c r="Z974" s="7">
        <v>34.834508952794302</v>
      </c>
      <c r="AA974" s="2">
        <v>3.1992652083255302</v>
      </c>
      <c r="AB974" s="7">
        <v>29.3329589300339</v>
      </c>
      <c r="AC974" s="2">
        <v>0.61593070887117596</v>
      </c>
      <c r="AD974" s="2">
        <v>145.42997173308899</v>
      </c>
      <c r="AE974" s="2">
        <v>20.4425174871966</v>
      </c>
      <c r="AF974" s="2">
        <v>96.254752425103206</v>
      </c>
      <c r="AG974" s="2">
        <v>10.7886633946425</v>
      </c>
      <c r="AH974" s="2">
        <v>68.152156755846207</v>
      </c>
      <c r="AI974" s="2">
        <v>34.502331384756403</v>
      </c>
      <c r="AJ974" s="2">
        <v>95.396712253551797</v>
      </c>
      <c r="AK974" s="2">
        <v>29.823349646071701</v>
      </c>
      <c r="AL974" s="2">
        <v>178.59943380077499</v>
      </c>
      <c r="AM974" s="2">
        <v>37.454008612915203</v>
      </c>
      <c r="AN974"/>
      <c r="AO974"/>
    </row>
    <row r="975" spans="1:41" ht="15.75" hidden="1" customHeight="1" x14ac:dyDescent="0.45">
      <c r="A975" s="2" t="s">
        <v>189</v>
      </c>
      <c r="B975" s="2" t="s">
        <v>190</v>
      </c>
      <c r="C975" s="2">
        <v>3</v>
      </c>
      <c r="D975" s="2"/>
      <c r="E975" s="2" t="s">
        <v>83</v>
      </c>
      <c r="F975" s="2" t="s">
        <v>84</v>
      </c>
      <c r="H975" s="2">
        <v>0.4</v>
      </c>
      <c r="J975" s="2">
        <v>0.35369081899999999</v>
      </c>
      <c r="K975" s="2">
        <v>4.4984516615333296</v>
      </c>
      <c r="L975" s="2"/>
      <c r="M975" s="2">
        <v>2.0706647596235399</v>
      </c>
      <c r="N975" s="2">
        <v>42.3333333333333</v>
      </c>
      <c r="O975" s="2">
        <v>2.2546248764115799</v>
      </c>
      <c r="P975" s="2">
        <v>10.7321208522222</v>
      </c>
      <c r="Q975" s="2">
        <v>0.57458544859590699</v>
      </c>
      <c r="R975" s="2">
        <v>5.0486343749499998</v>
      </c>
      <c r="S975" s="2">
        <v>4.2640978821548998</v>
      </c>
      <c r="T975" s="2">
        <v>7.79145641177222</v>
      </c>
      <c r="U975" s="2">
        <v>1.6403771237546101</v>
      </c>
      <c r="V975" s="2">
        <v>0.261763981272222</v>
      </c>
      <c r="W975" s="2">
        <v>0.45338851515499701</v>
      </c>
      <c r="X975" s="2">
        <v>7.4030137666999902</v>
      </c>
      <c r="Y975" s="2">
        <v>0.54487540895917697</v>
      </c>
      <c r="Z975" s="7">
        <v>11.8130377490117</v>
      </c>
      <c r="AA975" s="2">
        <v>0.62914886869868103</v>
      </c>
      <c r="AB975" s="7">
        <v>9.7924147473101009</v>
      </c>
      <c r="AC975" s="2">
        <v>4.5075082838528102</v>
      </c>
      <c r="AD975" s="2">
        <v>176.593301064511</v>
      </c>
      <c r="AE975" s="2">
        <v>37.179135191830603</v>
      </c>
      <c r="AF975" s="2">
        <v>55.699940073346397</v>
      </c>
      <c r="AG975" s="2">
        <v>2.9821109447516099</v>
      </c>
      <c r="AH975" s="2">
        <v>90.017007565716796</v>
      </c>
      <c r="AI975" s="2">
        <v>76.028744173556007</v>
      </c>
      <c r="AJ975" s="2">
        <v>64.862046023392594</v>
      </c>
      <c r="AK975" s="2">
        <v>112.34435919538601</v>
      </c>
      <c r="AL975" s="2">
        <v>220.11140486655901</v>
      </c>
      <c r="AM975" s="2">
        <v>16.200603635606502</v>
      </c>
      <c r="AN975"/>
      <c r="AO975"/>
    </row>
    <row r="976" spans="1:41" ht="15.75" hidden="1" customHeight="1" x14ac:dyDescent="0.45">
      <c r="A976" s="2" t="s">
        <v>189</v>
      </c>
      <c r="B976" s="2" t="s">
        <v>190</v>
      </c>
      <c r="C976" s="2">
        <v>10</v>
      </c>
      <c r="D976" s="2"/>
      <c r="E976" s="2" t="s">
        <v>83</v>
      </c>
      <c r="F976" s="2" t="s">
        <v>84</v>
      </c>
      <c r="H976" s="2">
        <v>0.4</v>
      </c>
      <c r="J976" s="2">
        <v>0.35369081899999999</v>
      </c>
      <c r="K976" s="2">
        <v>2.5187434473833301</v>
      </c>
      <c r="L976" s="2"/>
      <c r="M976" s="2">
        <v>0.91790796027746102</v>
      </c>
      <c r="N976" s="2">
        <v>35.5555555555555</v>
      </c>
      <c r="O976" s="2">
        <v>3.0927034799370499</v>
      </c>
      <c r="P976" s="2">
        <v>11.477190283088801</v>
      </c>
      <c r="Q976" s="2">
        <v>2.01468450309586</v>
      </c>
      <c r="R976" s="2">
        <v>15.1011591410055</v>
      </c>
      <c r="S976" s="2">
        <v>15.972671257285</v>
      </c>
      <c r="T976" s="2">
        <v>8.6213705299499992</v>
      </c>
      <c r="U976" s="2">
        <v>1.75200897318295</v>
      </c>
      <c r="V976" s="2">
        <v>0.80013524162777705</v>
      </c>
      <c r="W976" s="2">
        <v>0.50670629971572201</v>
      </c>
      <c r="X976" s="2">
        <v>7.7343110692722199</v>
      </c>
      <c r="Y976" s="2">
        <v>2.3884877644751898</v>
      </c>
      <c r="Z976" s="7">
        <v>9.9217114952329197</v>
      </c>
      <c r="AA976" s="2">
        <v>0.86301314066920398</v>
      </c>
      <c r="AB976" s="7">
        <v>5.4829044157029196</v>
      </c>
      <c r="AC976" s="2">
        <v>1.99813983192397</v>
      </c>
      <c r="AD976" s="2">
        <v>195.403298320944</v>
      </c>
      <c r="AE976" s="2">
        <v>39.709270220848097</v>
      </c>
      <c r="AF976" s="2">
        <v>59.566866585002501</v>
      </c>
      <c r="AG976" s="2">
        <v>10.456256282829999</v>
      </c>
      <c r="AH976" s="2">
        <v>269.25323873556403</v>
      </c>
      <c r="AI976" s="2">
        <v>284.79227502506001</v>
      </c>
      <c r="AJ976" s="2">
        <v>198.26413326678201</v>
      </c>
      <c r="AK976" s="2">
        <v>125.55588119025801</v>
      </c>
      <c r="AL976" s="2">
        <v>229.96176000512301</v>
      </c>
      <c r="AM976" s="2">
        <v>71.016131255902593</v>
      </c>
      <c r="AN976"/>
      <c r="AO976"/>
    </row>
    <row r="977" spans="1:41" ht="15.75" hidden="1" customHeight="1" x14ac:dyDescent="0.45">
      <c r="A977" s="2" t="s">
        <v>189</v>
      </c>
      <c r="B977" s="2" t="s">
        <v>190</v>
      </c>
      <c r="C977" s="2">
        <v>3.0000000000000001E-3</v>
      </c>
      <c r="D977" s="2"/>
      <c r="E977" s="2" t="s">
        <v>85</v>
      </c>
      <c r="F977" s="2" t="s">
        <v>84</v>
      </c>
      <c r="G977" s="2" t="s">
        <v>86</v>
      </c>
      <c r="H977" s="2">
        <v>6.2</v>
      </c>
      <c r="I977" s="2">
        <v>3539</v>
      </c>
      <c r="J977" s="2">
        <v>6.2</v>
      </c>
      <c r="K977" s="2">
        <v>4.11166515445555</v>
      </c>
      <c r="L977" s="2"/>
      <c r="M977" s="2">
        <v>0.46135446066934599</v>
      </c>
      <c r="N977" s="2">
        <v>169.277777777777</v>
      </c>
      <c r="O977" s="2">
        <v>10.0903327405405</v>
      </c>
      <c r="P977" s="2">
        <v>0.120462806415555</v>
      </c>
      <c r="Q977" s="2">
        <v>0.124988205673778</v>
      </c>
      <c r="R977" s="2">
        <v>0.31871576394500001</v>
      </c>
      <c r="S977" s="2">
        <v>9.6031642136718096E-2</v>
      </c>
      <c r="T977" s="2">
        <v>6.54932433895</v>
      </c>
      <c r="U977" s="2">
        <v>1.0011575933773</v>
      </c>
      <c r="V977" s="2">
        <v>0</v>
      </c>
      <c r="W977" s="2">
        <v>0</v>
      </c>
      <c r="X977" s="2">
        <v>0.40986958309111099</v>
      </c>
      <c r="Y977" s="2">
        <v>0.41926863543326898</v>
      </c>
      <c r="Z977" s="7">
        <v>109.853064304783</v>
      </c>
      <c r="AA977" s="2">
        <v>11.3879921403996</v>
      </c>
      <c r="AB977" s="7">
        <v>98.376223807311106</v>
      </c>
      <c r="AC977" s="2">
        <v>4.1140195303939704</v>
      </c>
      <c r="AD977" s="2">
        <v>89.200917092569298</v>
      </c>
      <c r="AE977" s="2">
        <v>36.1056401345529</v>
      </c>
      <c r="AF977" s="2">
        <v>45.184696723594598</v>
      </c>
      <c r="AG977" s="2">
        <v>52.639928113243499</v>
      </c>
      <c r="AH977" s="2">
        <v>114.507111627646</v>
      </c>
      <c r="AI977" s="2">
        <v>54.994398315876403</v>
      </c>
      <c r="AJ977" s="2">
        <v>0</v>
      </c>
      <c r="AK977" s="2">
        <v>0</v>
      </c>
      <c r="AL977" s="2">
        <v>120.811630202443</v>
      </c>
      <c r="AM977" s="2">
        <v>123.852612115417</v>
      </c>
      <c r="AN977"/>
      <c r="AO977"/>
    </row>
    <row r="978" spans="1:41" ht="15.75" hidden="1" customHeight="1" x14ac:dyDescent="0.45">
      <c r="A978" s="2" t="s">
        <v>189</v>
      </c>
      <c r="B978" s="2" t="s">
        <v>190</v>
      </c>
      <c r="C978" s="2">
        <v>0.01</v>
      </c>
      <c r="D978" s="2"/>
      <c r="E978" s="2" t="s">
        <v>85</v>
      </c>
      <c r="F978" s="2" t="s">
        <v>84</v>
      </c>
      <c r="G978" s="2" t="s">
        <v>86</v>
      </c>
      <c r="H978" s="2">
        <v>6.2</v>
      </c>
      <c r="I978" s="2">
        <v>3539</v>
      </c>
      <c r="J978" s="2">
        <v>6.2</v>
      </c>
      <c r="K978" s="2">
        <v>4.24715044349111</v>
      </c>
      <c r="L978" s="2"/>
      <c r="M978" s="2">
        <v>0.649349286296933</v>
      </c>
      <c r="N978" s="2">
        <v>143.666666666666</v>
      </c>
      <c r="O978" s="2">
        <v>2.5000000000007199</v>
      </c>
      <c r="P978" s="2">
        <v>0.29941374849777702</v>
      </c>
      <c r="Q978" s="2">
        <v>4.4129401425707697E-2</v>
      </c>
      <c r="R978" s="2">
        <v>1.07589183828777</v>
      </c>
      <c r="S978" s="2">
        <v>1.46124332558162</v>
      </c>
      <c r="T978" s="2">
        <v>7.9062122433055499</v>
      </c>
      <c r="U978" s="2">
        <v>3.88378305159865</v>
      </c>
      <c r="V978" s="2">
        <v>2.77777777777777E-2</v>
      </c>
      <c r="W978" s="2">
        <v>4.8112522432468802E-2</v>
      </c>
      <c r="X978" s="2">
        <v>0.59420601223777703</v>
      </c>
      <c r="Y978" s="2">
        <v>0.42366062185158099</v>
      </c>
      <c r="Z978" s="7">
        <v>93.054446923643297</v>
      </c>
      <c r="AA978" s="2">
        <v>3.94382732338648</v>
      </c>
      <c r="AB978" s="7">
        <v>102.921404355169</v>
      </c>
      <c r="AC978" s="2">
        <v>23.6348021658983</v>
      </c>
      <c r="AD978" s="2">
        <v>113.441655190299</v>
      </c>
      <c r="AE978" s="2">
        <v>70.3844510717866</v>
      </c>
      <c r="AF978" s="2">
        <v>137.97735025681601</v>
      </c>
      <c r="AG978" s="2">
        <v>45.288989967808902</v>
      </c>
      <c r="AH978" s="2">
        <v>264.45516319520402</v>
      </c>
      <c r="AI978" s="2">
        <v>288.83342228956798</v>
      </c>
      <c r="AJ978" s="2">
        <v>0</v>
      </c>
      <c r="AK978" s="2">
        <v>0</v>
      </c>
      <c r="AL978" s="2">
        <v>143.710139649875</v>
      </c>
      <c r="AM978" s="2">
        <v>95.819515119304</v>
      </c>
      <c r="AN978"/>
      <c r="AO978"/>
    </row>
    <row r="979" spans="1:41" ht="15.75" hidden="1" customHeight="1" x14ac:dyDescent="0.45">
      <c r="A979" s="2" t="s">
        <v>189</v>
      </c>
      <c r="B979" s="2" t="s">
        <v>190</v>
      </c>
      <c r="C979" s="2">
        <v>0.03</v>
      </c>
      <c r="D979" s="2"/>
      <c r="E979" s="2" t="s">
        <v>85</v>
      </c>
      <c r="F979" s="2" t="s">
        <v>84</v>
      </c>
      <c r="G979" s="2" t="s">
        <v>86</v>
      </c>
      <c r="H979" s="2">
        <v>6.2</v>
      </c>
      <c r="I979" s="2">
        <v>3539</v>
      </c>
      <c r="J979" s="2">
        <v>6.2</v>
      </c>
      <c r="K979" s="2">
        <v>4.6131059702744404</v>
      </c>
      <c r="L979" s="2"/>
      <c r="M979" s="2">
        <v>1.17637873971539</v>
      </c>
      <c r="N979" s="2">
        <v>141.388888888888</v>
      </c>
      <c r="O979" s="2">
        <v>8.0731608386006997</v>
      </c>
      <c r="P979" s="2">
        <v>0.38784046211222201</v>
      </c>
      <c r="Q979" s="2">
        <v>3.0366802008984398E-2</v>
      </c>
      <c r="R979" s="2">
        <v>0.29886264147288799</v>
      </c>
      <c r="S979" s="2">
        <v>0.23783234209499601</v>
      </c>
      <c r="T979" s="2">
        <v>7.2205320949566598</v>
      </c>
      <c r="U979" s="2">
        <v>2.9263089425322399</v>
      </c>
      <c r="V979" s="2">
        <v>0</v>
      </c>
      <c r="W979" s="2">
        <v>0</v>
      </c>
      <c r="X979" s="2">
        <v>0.45850825193155498</v>
      </c>
      <c r="Y979" s="2">
        <v>0.32143808305354199</v>
      </c>
      <c r="Z979" s="7">
        <v>91.582914876407003</v>
      </c>
      <c r="AA979" s="2">
        <v>6.3995858339836698</v>
      </c>
      <c r="AB979" s="7">
        <v>110.910031944274</v>
      </c>
      <c r="AC979" s="2">
        <v>29.277996420628298</v>
      </c>
      <c r="AD979" s="2">
        <v>90.290115167398795</v>
      </c>
      <c r="AE979" s="2">
        <v>19.976179043929701</v>
      </c>
      <c r="AF979" s="2">
        <v>187.06459375139099</v>
      </c>
      <c r="AG979" s="2">
        <v>87.504516729559896</v>
      </c>
      <c r="AH979" s="2">
        <v>118.99566663192</v>
      </c>
      <c r="AI979" s="2">
        <v>130.961035647686</v>
      </c>
      <c r="AJ979" s="2">
        <v>0</v>
      </c>
      <c r="AK979" s="2">
        <v>0</v>
      </c>
      <c r="AL979" s="2">
        <v>125.973359381948</v>
      </c>
      <c r="AM979" s="2">
        <v>103.928382996499</v>
      </c>
      <c r="AN979"/>
      <c r="AO979"/>
    </row>
    <row r="980" spans="1:41" ht="15.75" hidden="1" customHeight="1" x14ac:dyDescent="0.45">
      <c r="A980" s="2" t="s">
        <v>189</v>
      </c>
      <c r="B980" s="2" t="s">
        <v>190</v>
      </c>
      <c r="C980" s="2">
        <v>0.1</v>
      </c>
      <c r="D980" s="2"/>
      <c r="E980" s="2" t="s">
        <v>85</v>
      </c>
      <c r="F980" s="2" t="s">
        <v>84</v>
      </c>
      <c r="G980" s="2" t="s">
        <v>86</v>
      </c>
      <c r="H980" s="2">
        <v>6.2</v>
      </c>
      <c r="I980" s="2">
        <v>3539</v>
      </c>
      <c r="J980" s="2">
        <v>6.2</v>
      </c>
      <c r="K980" s="2">
        <v>4.5735438590266604</v>
      </c>
      <c r="L980" s="2"/>
      <c r="M980" s="2">
        <v>0.56430040675442195</v>
      </c>
      <c r="N980" s="2">
        <v>145</v>
      </c>
      <c r="O980" s="2">
        <v>3.5276684147523798</v>
      </c>
      <c r="P980" s="2">
        <v>0.203939108890555</v>
      </c>
      <c r="Q980" s="2">
        <v>8.2589220126614696E-2</v>
      </c>
      <c r="R980" s="2">
        <v>1.3474204975883299</v>
      </c>
      <c r="S980" s="2">
        <v>1.34289816317183</v>
      </c>
      <c r="T980" s="2">
        <v>6.1111134579222197</v>
      </c>
      <c r="U980" s="2">
        <v>1.68348844585707</v>
      </c>
      <c r="V980" s="2">
        <v>0</v>
      </c>
      <c r="W980" s="2">
        <v>0</v>
      </c>
      <c r="X980" s="2">
        <v>0.37023731573555502</v>
      </c>
      <c r="Y980" s="2">
        <v>0.15769669044896301</v>
      </c>
      <c r="Z980" s="7">
        <v>93.868047723082995</v>
      </c>
      <c r="AA980" s="2">
        <v>2.0207527874111699</v>
      </c>
      <c r="AB980" s="7">
        <v>109.337265628466</v>
      </c>
      <c r="AC980" s="2">
        <v>4.3174556942975997</v>
      </c>
      <c r="AD980" s="2">
        <v>78.099163017113099</v>
      </c>
      <c r="AE980" s="2">
        <v>13.393006538555801</v>
      </c>
      <c r="AF980" s="2">
        <v>104.415633825706</v>
      </c>
      <c r="AG980" s="2">
        <v>82.999147683035602</v>
      </c>
      <c r="AH980" s="2">
        <v>538.243806798126</v>
      </c>
      <c r="AI980" s="2">
        <v>689.93053389166698</v>
      </c>
      <c r="AJ980" s="2">
        <v>0</v>
      </c>
      <c r="AK980" s="2">
        <v>0</v>
      </c>
      <c r="AL980" s="2">
        <v>90.643695752340705</v>
      </c>
      <c r="AM980" s="2">
        <v>15.6857934569408</v>
      </c>
      <c r="AN980"/>
      <c r="AO980"/>
    </row>
    <row r="981" spans="1:41" ht="15.75" hidden="1" customHeight="1" x14ac:dyDescent="0.45">
      <c r="A981" s="2" t="s">
        <v>189</v>
      </c>
      <c r="B981" s="2" t="s">
        <v>190</v>
      </c>
      <c r="C981" s="2">
        <v>0.3</v>
      </c>
      <c r="D981" s="2"/>
      <c r="E981" s="2" t="s">
        <v>85</v>
      </c>
      <c r="F981" s="2" t="s">
        <v>84</v>
      </c>
      <c r="G981" s="2" t="s">
        <v>86</v>
      </c>
      <c r="H981" s="2">
        <v>6.2</v>
      </c>
      <c r="I981" s="2">
        <v>3539</v>
      </c>
      <c r="J981" s="2">
        <v>6.2</v>
      </c>
      <c r="K981" s="2">
        <v>3.9009418932388802</v>
      </c>
      <c r="L981" s="2"/>
      <c r="M981" s="2">
        <v>1.0143120848950999</v>
      </c>
      <c r="N981" s="2">
        <v>121.888888888888</v>
      </c>
      <c r="O981" s="2">
        <v>19.0367578160816</v>
      </c>
      <c r="P981" s="2">
        <v>0.13828200908277699</v>
      </c>
      <c r="Q981" s="2">
        <v>0.135081901902118</v>
      </c>
      <c r="R981" s="2">
        <v>1.8536110882111101</v>
      </c>
      <c r="S981" s="2">
        <v>1.7510700759320601</v>
      </c>
      <c r="T981" s="2">
        <v>5.88177453613888</v>
      </c>
      <c r="U981" s="2">
        <v>2.27386004802772</v>
      </c>
      <c r="V981" s="2">
        <v>4.0551500405555503E-2</v>
      </c>
      <c r="W981" s="2">
        <v>7.0237259025572096E-2</v>
      </c>
      <c r="X981" s="2">
        <v>0.73370813897777698</v>
      </c>
      <c r="Y981" s="2">
        <v>0.208692437023796</v>
      </c>
      <c r="Z981" s="7">
        <v>79.076335511066304</v>
      </c>
      <c r="AA981" s="2">
        <v>13.9694889954126</v>
      </c>
      <c r="AB981" s="7">
        <v>93.498795917023301</v>
      </c>
      <c r="AC981" s="2">
        <v>23.037470647274201</v>
      </c>
      <c r="AD981" s="2">
        <v>80.653000870873996</v>
      </c>
      <c r="AE981" s="2">
        <v>48.408426612560703</v>
      </c>
      <c r="AF981" s="2">
        <v>87.189045836635998</v>
      </c>
      <c r="AG981" s="2">
        <v>103.62459097758099</v>
      </c>
      <c r="AH981" s="2">
        <v>581.92066219814501</v>
      </c>
      <c r="AI981" s="2">
        <v>639.98201411938305</v>
      </c>
      <c r="AJ981" s="2">
        <v>0</v>
      </c>
      <c r="AK981" s="2">
        <v>0</v>
      </c>
      <c r="AL981" s="2">
        <v>183.92220303550201</v>
      </c>
      <c r="AM981" s="2">
        <v>19.857802841231901</v>
      </c>
      <c r="AN981"/>
      <c r="AO981"/>
    </row>
    <row r="982" spans="1:41" ht="15.75" hidden="1" customHeight="1" x14ac:dyDescent="0.45">
      <c r="A982" s="2" t="s">
        <v>189</v>
      </c>
      <c r="B982" s="2" t="s">
        <v>190</v>
      </c>
      <c r="C982" s="2">
        <v>1</v>
      </c>
      <c r="D982" s="2"/>
      <c r="E982" s="2" t="s">
        <v>85</v>
      </c>
      <c r="F982" s="2" t="s">
        <v>84</v>
      </c>
      <c r="G982" s="2" t="s">
        <v>86</v>
      </c>
      <c r="H982" s="2">
        <v>6.2</v>
      </c>
      <c r="I982" s="2">
        <v>3539</v>
      </c>
      <c r="J982" s="2">
        <v>6.2</v>
      </c>
      <c r="K982" s="2">
        <v>2.59835791729666</v>
      </c>
      <c r="L982" s="2"/>
      <c r="M982" s="2">
        <v>0.93888966175616095</v>
      </c>
      <c r="N982" s="2">
        <v>95.3888888888888</v>
      </c>
      <c r="O982" s="2">
        <v>26.005519357187101</v>
      </c>
      <c r="P982" s="2">
        <v>0.150259909033333</v>
      </c>
      <c r="Q982" s="2">
        <v>0.13027140133611401</v>
      </c>
      <c r="R982" s="2">
        <v>0.13162773451777701</v>
      </c>
      <c r="S982" s="2">
        <v>0.14518626744145099</v>
      </c>
      <c r="T982" s="2">
        <v>5.9497611888888802</v>
      </c>
      <c r="U982" s="2">
        <v>2.1199879580321799</v>
      </c>
      <c r="V982" s="2">
        <v>7.7160493827777704E-2</v>
      </c>
      <c r="W982" s="2">
        <v>0.133645895646815</v>
      </c>
      <c r="X982" s="2">
        <v>0.46910442736388802</v>
      </c>
      <c r="Y982" s="2">
        <v>0.58167875894322496</v>
      </c>
      <c r="Z982" s="7">
        <v>61.530150612092697</v>
      </c>
      <c r="AA982" s="2">
        <v>15.1330426802893</v>
      </c>
      <c r="AB982" s="7">
        <v>63.349058223064503</v>
      </c>
      <c r="AC982" s="2">
        <v>27.3361004399964</v>
      </c>
      <c r="AD982" s="2">
        <v>84.453111575899001</v>
      </c>
      <c r="AE982" s="2">
        <v>45.056319362304301</v>
      </c>
      <c r="AF982" s="2">
        <v>53.128762124565299</v>
      </c>
      <c r="AG982" s="2">
        <v>48.662392217313197</v>
      </c>
      <c r="AH982" s="2">
        <v>33.509356749960197</v>
      </c>
      <c r="AI982" s="2">
        <v>31.336273980126101</v>
      </c>
      <c r="AJ982" s="2">
        <v>0</v>
      </c>
      <c r="AK982" s="2">
        <v>0</v>
      </c>
      <c r="AL982" s="2">
        <v>128.874198948122</v>
      </c>
      <c r="AM982" s="2">
        <v>177.080034905876</v>
      </c>
      <c r="AN982"/>
      <c r="AO982"/>
    </row>
    <row r="983" spans="1:41" ht="15.75" hidden="1" customHeight="1" x14ac:dyDescent="0.45">
      <c r="A983" s="2" t="s">
        <v>189</v>
      </c>
      <c r="B983" s="2" t="s">
        <v>190</v>
      </c>
      <c r="C983" s="2">
        <v>3</v>
      </c>
      <c r="D983" s="2"/>
      <c r="E983" s="2" t="s">
        <v>85</v>
      </c>
      <c r="F983" s="2" t="s">
        <v>84</v>
      </c>
      <c r="G983" s="2" t="s">
        <v>86</v>
      </c>
      <c r="H983" s="2">
        <v>6.2</v>
      </c>
      <c r="I983" s="2">
        <v>3539</v>
      </c>
      <c r="J983" s="2">
        <v>6.2</v>
      </c>
      <c r="K983" s="2">
        <v>0.52723784882833302</v>
      </c>
      <c r="L983" s="2"/>
      <c r="M983" s="2">
        <v>0.34378933949332302</v>
      </c>
      <c r="N983" s="2">
        <v>105.611111111111</v>
      </c>
      <c r="O983" s="2">
        <v>7.7268171780947901</v>
      </c>
      <c r="P983" s="2">
        <v>0.27636076347111099</v>
      </c>
      <c r="Q983" s="2">
        <v>3.7058178066555501E-2</v>
      </c>
      <c r="R983" s="2">
        <v>0</v>
      </c>
      <c r="S983" s="2">
        <v>0</v>
      </c>
      <c r="T983" s="2">
        <v>5.6303275433194404</v>
      </c>
      <c r="U983" s="2">
        <v>0.63231884566673102</v>
      </c>
      <c r="V983" s="2">
        <v>3.8850038849999997E-2</v>
      </c>
      <c r="W983" s="2">
        <v>6.7290241164224704E-2</v>
      </c>
      <c r="X983" s="2">
        <v>0.66736181211611101</v>
      </c>
      <c r="Y983" s="2">
        <v>0.49058228279791499</v>
      </c>
      <c r="Z983" s="7">
        <v>68.273192452820695</v>
      </c>
      <c r="AA983" s="2">
        <v>2.14005295653378</v>
      </c>
      <c r="AB983" s="7">
        <v>13.073641928157199</v>
      </c>
      <c r="AC983" s="2">
        <v>9.5398032432828899</v>
      </c>
      <c r="AD983" s="2">
        <v>74.266885269784694</v>
      </c>
      <c r="AE983" s="2">
        <v>18.292911324904502</v>
      </c>
      <c r="AF983" s="2">
        <v>130.67842085150301</v>
      </c>
      <c r="AG983" s="2">
        <v>58.166549141853402</v>
      </c>
      <c r="AH983" s="2">
        <v>0</v>
      </c>
      <c r="AI983" s="2">
        <v>0</v>
      </c>
      <c r="AJ983" s="2">
        <v>0</v>
      </c>
      <c r="AK983" s="2">
        <v>0</v>
      </c>
      <c r="AL983" s="2">
        <v>171.51027972085799</v>
      </c>
      <c r="AM983" s="2">
        <v>144.71382832779699</v>
      </c>
      <c r="AN983"/>
      <c r="AO983"/>
    </row>
    <row r="984" spans="1:41" ht="15.75" hidden="1" customHeight="1" x14ac:dyDescent="0.45">
      <c r="A984" s="2" t="s">
        <v>189</v>
      </c>
      <c r="B984" s="2" t="s">
        <v>190</v>
      </c>
      <c r="C984" s="2">
        <v>10</v>
      </c>
      <c r="D984" s="2"/>
      <c r="E984" s="2" t="s">
        <v>85</v>
      </c>
      <c r="F984" s="2" t="s">
        <v>84</v>
      </c>
      <c r="G984" s="2" t="s">
        <v>86</v>
      </c>
      <c r="H984" s="2">
        <v>6.2</v>
      </c>
      <c r="I984" s="2">
        <v>3539</v>
      </c>
      <c r="J984" s="2">
        <v>6.2</v>
      </c>
      <c r="K984" s="2">
        <v>0</v>
      </c>
      <c r="L984" s="2"/>
      <c r="M984" s="2">
        <v>0</v>
      </c>
      <c r="N984" s="2">
        <v>65.1111111111111</v>
      </c>
      <c r="O984" s="2">
        <v>10.167122029874999</v>
      </c>
      <c r="P984" s="2">
        <v>0</v>
      </c>
      <c r="Q984" s="2">
        <v>0</v>
      </c>
      <c r="R984" s="2">
        <v>3.0421825577377701</v>
      </c>
      <c r="S984" s="2">
        <v>0.36611970503061603</v>
      </c>
      <c r="T984" s="2">
        <v>21.449899208920002</v>
      </c>
      <c r="U984" s="2">
        <v>2.4086397134566102</v>
      </c>
      <c r="V984" s="2">
        <v>0</v>
      </c>
      <c r="W984" s="2">
        <v>0</v>
      </c>
      <c r="X984" s="2">
        <v>1.8343032134044399</v>
      </c>
      <c r="Y984" s="2">
        <v>1.00634033101377</v>
      </c>
      <c r="Z984" s="7">
        <v>42.058108097991699</v>
      </c>
      <c r="AA984" s="2">
        <v>5.7080897671526296</v>
      </c>
      <c r="AB984" s="7">
        <v>0</v>
      </c>
      <c r="AC984" s="2">
        <v>0</v>
      </c>
      <c r="AD984" s="2">
        <v>287.12058775412601</v>
      </c>
      <c r="AE984" s="2">
        <v>87.073609998401807</v>
      </c>
      <c r="AF984" s="2">
        <v>0</v>
      </c>
      <c r="AG984" s="2">
        <v>0</v>
      </c>
      <c r="AH984" s="2">
        <v>1041.9557719527099</v>
      </c>
      <c r="AI984" s="2">
        <v>329.12704211725003</v>
      </c>
      <c r="AJ984" s="2">
        <v>0</v>
      </c>
      <c r="AK984" s="2">
        <v>0</v>
      </c>
      <c r="AL984" s="2">
        <v>444.84441474486903</v>
      </c>
      <c r="AM984" s="2">
        <v>173.04048191812601</v>
      </c>
      <c r="AN984"/>
      <c r="AO984"/>
    </row>
    <row r="985" spans="1:41" ht="15.75" hidden="1" customHeight="1" x14ac:dyDescent="0.45">
      <c r="A985" s="2" t="s">
        <v>191</v>
      </c>
      <c r="B985" s="2" t="s">
        <v>192</v>
      </c>
      <c r="C985" s="2">
        <v>3.0000000000000001E-3</v>
      </c>
      <c r="D985" s="2"/>
      <c r="E985" s="2" t="s">
        <v>109</v>
      </c>
      <c r="F985" s="2" t="s">
        <v>84</v>
      </c>
      <c r="H985" s="2">
        <v>3.7</v>
      </c>
      <c r="J985" s="2">
        <v>3.7</v>
      </c>
      <c r="K985" s="2">
        <v>33.5</v>
      </c>
      <c r="L985" s="2"/>
      <c r="M985" s="2">
        <v>2.4037008503093298</v>
      </c>
      <c r="N985" s="2">
        <v>146.444444444444</v>
      </c>
      <c r="O985" s="2">
        <v>7.9535689636323301</v>
      </c>
      <c r="P985" s="2">
        <v>17.0555555555555</v>
      </c>
      <c r="Q985" s="2">
        <v>1.8282758524337801</v>
      </c>
      <c r="R985" s="2">
        <v>2</v>
      </c>
      <c r="S985" s="2">
        <v>0.16666666666666899</v>
      </c>
      <c r="T985" s="2">
        <v>4.3333333333333304</v>
      </c>
      <c r="U985" s="2">
        <v>0.83333333333333004</v>
      </c>
      <c r="V985" s="2">
        <v>0.55555555555555503</v>
      </c>
      <c r="W985" s="2">
        <v>0.19245008972987501</v>
      </c>
      <c r="X985" s="2">
        <v>2.5</v>
      </c>
      <c r="Y985" s="2">
        <v>0.33333333333333198</v>
      </c>
      <c r="Z985" s="7">
        <v>102.002515236528</v>
      </c>
      <c r="AA985" s="2">
        <v>5.5398758380722404</v>
      </c>
      <c r="AB985" s="7">
        <v>94.21875</v>
      </c>
      <c r="AC985" s="2">
        <v>6.76040864149501</v>
      </c>
      <c r="AD985" s="2">
        <v>88.636363636363598</v>
      </c>
      <c r="AE985" s="2">
        <v>17.045454545454401</v>
      </c>
      <c r="AF985" s="2">
        <v>101.655629139072</v>
      </c>
      <c r="AG985" s="2">
        <v>10.897008391989401</v>
      </c>
      <c r="AH985" s="2">
        <v>85.714285714285694</v>
      </c>
      <c r="AI985" s="2">
        <v>7.14285714285724</v>
      </c>
      <c r="AJ985" s="2">
        <v>90.909090909090907</v>
      </c>
      <c r="AK985" s="2">
        <v>31.4918328648886</v>
      </c>
      <c r="AL985" s="2">
        <v>111.111111111111</v>
      </c>
      <c r="AM985" s="2">
        <v>14.814814814814699</v>
      </c>
      <c r="AN985"/>
      <c r="AO985"/>
    </row>
    <row r="986" spans="1:41" ht="15.75" hidden="1" customHeight="1" x14ac:dyDescent="0.45">
      <c r="A986" s="2" t="s">
        <v>191</v>
      </c>
      <c r="B986" s="2" t="s">
        <v>192</v>
      </c>
      <c r="C986" s="2">
        <v>0.01</v>
      </c>
      <c r="D986" s="2"/>
      <c r="E986" s="2" t="s">
        <v>109</v>
      </c>
      <c r="F986" s="2" t="s">
        <v>84</v>
      </c>
      <c r="H986" s="2">
        <v>3.7</v>
      </c>
      <c r="J986" s="2">
        <v>3.7</v>
      </c>
      <c r="K986" s="2">
        <v>36.1111111111111</v>
      </c>
      <c r="L986" s="2"/>
      <c r="M986" s="2">
        <v>1.2729376930432199</v>
      </c>
      <c r="N986" s="2">
        <v>143.888888888888</v>
      </c>
      <c r="O986" s="2">
        <v>5.2766080575100798</v>
      </c>
      <c r="P986" s="2">
        <v>17.5</v>
      </c>
      <c r="Q986" s="2">
        <v>2.5221243250702599</v>
      </c>
      <c r="R986" s="2">
        <v>2.55555555555555</v>
      </c>
      <c r="S986" s="2">
        <v>0.67357531405456295</v>
      </c>
      <c r="T986" s="2">
        <v>4.1666666666666599</v>
      </c>
      <c r="U986" s="2">
        <v>1.32287565553229</v>
      </c>
      <c r="V986" s="2">
        <v>0.55555555555555503</v>
      </c>
      <c r="W986" s="2">
        <v>0.41943524640392998</v>
      </c>
      <c r="X986" s="2">
        <v>2.6111111111111098</v>
      </c>
      <c r="Y986" s="2">
        <v>0.63098981620003003</v>
      </c>
      <c r="Z986" s="7">
        <v>100.22250169294701</v>
      </c>
      <c r="AA986" s="2">
        <v>3.6753001851671199</v>
      </c>
      <c r="AB986" s="7">
        <v>101.5625</v>
      </c>
      <c r="AC986" s="2">
        <v>3.5801372616840701</v>
      </c>
      <c r="AD986" s="2">
        <v>85.227272727272705</v>
      </c>
      <c r="AE986" s="2">
        <v>27.0588202267969</v>
      </c>
      <c r="AF986" s="2">
        <v>104.304635761589</v>
      </c>
      <c r="AG986" s="2">
        <v>15.032529089822701</v>
      </c>
      <c r="AH986" s="2">
        <v>109.52380952380901</v>
      </c>
      <c r="AI986" s="2">
        <v>28.867513459481302</v>
      </c>
      <c r="AJ986" s="2">
        <v>90.909090909090907</v>
      </c>
      <c r="AK986" s="2">
        <v>68.634858502461299</v>
      </c>
      <c r="AL986" s="2">
        <v>116.049382716049</v>
      </c>
      <c r="AM986" s="2">
        <v>28.0439918311124</v>
      </c>
      <c r="AN986"/>
      <c r="AO986"/>
    </row>
    <row r="987" spans="1:41" ht="15.75" hidden="1" customHeight="1" x14ac:dyDescent="0.45">
      <c r="A987" s="2" t="s">
        <v>191</v>
      </c>
      <c r="B987" s="2" t="s">
        <v>192</v>
      </c>
      <c r="C987" s="2">
        <v>0.03</v>
      </c>
      <c r="D987" s="2"/>
      <c r="E987" s="2" t="s">
        <v>109</v>
      </c>
      <c r="F987" s="2" t="s">
        <v>84</v>
      </c>
      <c r="H987" s="2">
        <v>3.7</v>
      </c>
      <c r="J987" s="2">
        <v>3.7</v>
      </c>
      <c r="K987" s="2">
        <v>36.2222222222222</v>
      </c>
      <c r="L987" s="2"/>
      <c r="M987" s="2">
        <v>3.87417852702468</v>
      </c>
      <c r="N987" s="2">
        <v>138.944444444444</v>
      </c>
      <c r="O987" s="2">
        <v>19.825862271659499</v>
      </c>
      <c r="P987" s="2">
        <v>15.3888888888888</v>
      </c>
      <c r="Q987" s="2">
        <v>1.8282758524337801</v>
      </c>
      <c r="R987" s="2">
        <v>2.1111111111111098</v>
      </c>
      <c r="S987" s="2">
        <v>0.50917507721731403</v>
      </c>
      <c r="T987" s="2">
        <v>4.2222222222222197</v>
      </c>
      <c r="U987" s="2">
        <v>0.67357531405455695</v>
      </c>
      <c r="V987" s="2">
        <v>0.38888888888888801</v>
      </c>
      <c r="W987" s="2">
        <v>0.25458753860865702</v>
      </c>
      <c r="X987" s="2">
        <v>2.7777777777777701</v>
      </c>
      <c r="Y987" s="2">
        <v>0.91792842454768098</v>
      </c>
      <c r="Z987" s="7">
        <v>96.778562445583802</v>
      </c>
      <c r="AA987" s="2">
        <v>13.8092491395906</v>
      </c>
      <c r="AB987" s="7">
        <v>101.875</v>
      </c>
      <c r="AC987" s="2">
        <v>10.8961271072569</v>
      </c>
      <c r="AD987" s="2">
        <v>86.363636363636303</v>
      </c>
      <c r="AE987" s="2">
        <v>13.777676878388601</v>
      </c>
      <c r="AF987" s="2">
        <v>91.721854304635698</v>
      </c>
      <c r="AG987" s="2">
        <v>10.897008391989401</v>
      </c>
      <c r="AH987" s="2">
        <v>90.476190476190396</v>
      </c>
      <c r="AI987" s="2">
        <v>21.821789023599202</v>
      </c>
      <c r="AJ987" s="2">
        <v>63.636363636363598</v>
      </c>
      <c r="AK987" s="2">
        <v>41.659779045053099</v>
      </c>
      <c r="AL987" s="2">
        <v>123.456790123456</v>
      </c>
      <c r="AM987" s="2">
        <v>40.796818868785799</v>
      </c>
      <c r="AN987"/>
      <c r="AO987"/>
    </row>
    <row r="988" spans="1:41" ht="15.75" hidden="1" customHeight="1" x14ac:dyDescent="0.45">
      <c r="A988" s="2" t="s">
        <v>191</v>
      </c>
      <c r="B988" s="2" t="s">
        <v>192</v>
      </c>
      <c r="C988" s="2">
        <v>0.1</v>
      </c>
      <c r="D988" s="2"/>
      <c r="E988" s="2" t="s">
        <v>109</v>
      </c>
      <c r="F988" s="2" t="s">
        <v>84</v>
      </c>
      <c r="H988" s="2">
        <v>3.7</v>
      </c>
      <c r="J988" s="2">
        <v>3.7</v>
      </c>
      <c r="K988" s="2">
        <v>35.8888888888888</v>
      </c>
      <c r="L988" s="2"/>
      <c r="M988" s="2">
        <v>4.2470033008036596</v>
      </c>
      <c r="N988" s="2">
        <v>139.5</v>
      </c>
      <c r="O988" s="2">
        <v>12.8463137816955</v>
      </c>
      <c r="P988" s="2">
        <v>16.6111111111111</v>
      </c>
      <c r="Q988" s="2">
        <v>0.69388866648861802</v>
      </c>
      <c r="R988" s="2">
        <v>1.6666666666666601</v>
      </c>
      <c r="S988" s="2">
        <v>0.28867513459481198</v>
      </c>
      <c r="T988" s="2">
        <v>4.05555555555555</v>
      </c>
      <c r="U988" s="2">
        <v>0.53575837561071704</v>
      </c>
      <c r="V988" s="2">
        <v>0.94444444444444398</v>
      </c>
      <c r="W988" s="2">
        <v>0.48112522432468802</v>
      </c>
      <c r="X988" s="2">
        <v>2.05555555555555</v>
      </c>
      <c r="Y988" s="2">
        <v>0.25458753860865901</v>
      </c>
      <c r="Z988" s="7">
        <v>97.165521911579702</v>
      </c>
      <c r="AA988" s="2">
        <v>8.9478048977660691</v>
      </c>
      <c r="AB988" s="7">
        <v>100.9375</v>
      </c>
      <c r="AC988" s="2">
        <v>11.944696783510199</v>
      </c>
      <c r="AD988" s="2">
        <v>82.954545454545396</v>
      </c>
      <c r="AE988" s="2">
        <v>10.958694046582799</v>
      </c>
      <c r="AF988" s="2">
        <v>99.006622516556206</v>
      </c>
      <c r="AG988" s="2">
        <v>4.1357602638394404</v>
      </c>
      <c r="AH988" s="2">
        <v>71.428571428571402</v>
      </c>
      <c r="AI988" s="2">
        <v>12.3717914826348</v>
      </c>
      <c r="AJ988" s="2">
        <v>154.54545454545399</v>
      </c>
      <c r="AK988" s="2">
        <v>78.729582162221703</v>
      </c>
      <c r="AL988" s="2">
        <v>91.358024691357997</v>
      </c>
      <c r="AM988" s="2">
        <v>11.315001715940401</v>
      </c>
      <c r="AN988"/>
      <c r="AO988"/>
    </row>
    <row r="989" spans="1:41" ht="15.75" hidden="1" customHeight="1" x14ac:dyDescent="0.45">
      <c r="A989" s="2" t="s">
        <v>191</v>
      </c>
      <c r="B989" s="2" t="s">
        <v>192</v>
      </c>
      <c r="C989" s="2">
        <v>0.3</v>
      </c>
      <c r="D989" s="2"/>
      <c r="E989" s="2" t="s">
        <v>109</v>
      </c>
      <c r="F989" s="2" t="s">
        <v>84</v>
      </c>
      <c r="H989" s="2">
        <v>3.7</v>
      </c>
      <c r="J989" s="2">
        <v>3.7</v>
      </c>
      <c r="K989" s="2">
        <v>35.3333333333333</v>
      </c>
      <c r="L989" s="2"/>
      <c r="M989" s="2">
        <v>1.7559422921421599</v>
      </c>
      <c r="N989" s="2">
        <v>141.166666666666</v>
      </c>
      <c r="O989" s="2">
        <v>23.944960035696699</v>
      </c>
      <c r="P989" s="2">
        <v>16.6666666666666</v>
      </c>
      <c r="Q989" s="2">
        <v>1.0929064207169701</v>
      </c>
      <c r="R989" s="2">
        <v>2.2222222222222201</v>
      </c>
      <c r="S989" s="2">
        <v>1.0715167512214301</v>
      </c>
      <c r="T989" s="2">
        <v>4.9444444444444402</v>
      </c>
      <c r="U989" s="2">
        <v>2.63698761917906</v>
      </c>
      <c r="V989" s="2">
        <v>0.77777777777777701</v>
      </c>
      <c r="W989" s="2">
        <v>0.67357531405456295</v>
      </c>
      <c r="X989" s="2">
        <v>2.05555555555555</v>
      </c>
      <c r="Y989" s="2">
        <v>0.97657754618038595</v>
      </c>
      <c r="Z989" s="7">
        <v>98.326400309567504</v>
      </c>
      <c r="AA989" s="2">
        <v>16.678312107673001</v>
      </c>
      <c r="AB989" s="7">
        <v>99.375</v>
      </c>
      <c r="AC989" s="2">
        <v>4.9385876966498401</v>
      </c>
      <c r="AD989" s="2">
        <v>101.136363636363</v>
      </c>
      <c r="AE989" s="2">
        <v>53.938383119571803</v>
      </c>
      <c r="AF989" s="2">
        <v>99.337748344370794</v>
      </c>
      <c r="AG989" s="2">
        <v>6.51401177910782</v>
      </c>
      <c r="AH989" s="2">
        <v>95.238095238095198</v>
      </c>
      <c r="AI989" s="2">
        <v>45.922146480918798</v>
      </c>
      <c r="AJ989" s="2">
        <v>127.272727272727</v>
      </c>
      <c r="AK989" s="2">
        <v>110.22141502711</v>
      </c>
      <c r="AL989" s="2">
        <v>91.358024691357997</v>
      </c>
      <c r="AM989" s="2">
        <v>43.403446496906</v>
      </c>
      <c r="AN989"/>
      <c r="AO989"/>
    </row>
    <row r="990" spans="1:41" ht="15.75" hidden="1" customHeight="1" x14ac:dyDescent="0.45">
      <c r="A990" s="2" t="s">
        <v>191</v>
      </c>
      <c r="B990" s="2" t="s">
        <v>192</v>
      </c>
      <c r="C990" s="2">
        <v>1</v>
      </c>
      <c r="D990" s="2"/>
      <c r="E990" s="2" t="s">
        <v>109</v>
      </c>
      <c r="F990" s="2" t="s">
        <v>84</v>
      </c>
      <c r="H990" s="2">
        <v>3.7</v>
      </c>
      <c r="J990" s="2">
        <v>3.7</v>
      </c>
      <c r="K990" s="2">
        <v>34.0555555555555</v>
      </c>
      <c r="L990" s="2"/>
      <c r="M990" s="2">
        <v>4.5835858516296</v>
      </c>
      <c r="N990" s="2">
        <v>130.166666666666</v>
      </c>
      <c r="O990" s="2">
        <v>2.02072594216519</v>
      </c>
      <c r="P990" s="2">
        <v>15.7777777777777</v>
      </c>
      <c r="Q990" s="2">
        <v>1.5485955405295899</v>
      </c>
      <c r="R990" s="2">
        <v>2.05555555555555</v>
      </c>
      <c r="S990" s="2">
        <v>0.67357531405456395</v>
      </c>
      <c r="T990" s="2">
        <v>6.05555555555555</v>
      </c>
      <c r="U990" s="2">
        <v>1.22851913263866</v>
      </c>
      <c r="V990" s="2">
        <v>0.72222222222222199</v>
      </c>
      <c r="W990" s="2">
        <v>0.53575837561071904</v>
      </c>
      <c r="X990" s="2">
        <v>1.7222222222222201</v>
      </c>
      <c r="Y990" s="2">
        <v>1.0183501544346301</v>
      </c>
      <c r="Z990" s="7">
        <v>90.664602882848001</v>
      </c>
      <c r="AA990" s="2">
        <v>1.40749025670788</v>
      </c>
      <c r="AB990" s="7">
        <v>95.78125</v>
      </c>
      <c r="AC990" s="2">
        <v>12.891335207708201</v>
      </c>
      <c r="AD990" s="2">
        <v>123.863636363636</v>
      </c>
      <c r="AE990" s="2">
        <v>25.128800440336299</v>
      </c>
      <c r="AF990" s="2">
        <v>94.039735099337705</v>
      </c>
      <c r="AG990" s="2">
        <v>9.2300396455406393</v>
      </c>
      <c r="AH990" s="2">
        <v>88.095238095238003</v>
      </c>
      <c r="AI990" s="2">
        <v>28.867513459481302</v>
      </c>
      <c r="AJ990" s="2">
        <v>118.181818181818</v>
      </c>
      <c r="AK990" s="2">
        <v>87.669552372663205</v>
      </c>
      <c r="AL990" s="2">
        <v>76.543209876543202</v>
      </c>
      <c r="AM990" s="2">
        <v>45.260006863761397</v>
      </c>
      <c r="AN990"/>
      <c r="AO990"/>
    </row>
    <row r="991" spans="1:41" ht="15.75" hidden="1" customHeight="1" x14ac:dyDescent="0.45">
      <c r="A991" s="2" t="s">
        <v>191</v>
      </c>
      <c r="B991" s="2" t="s">
        <v>192</v>
      </c>
      <c r="C991" s="2">
        <v>3</v>
      </c>
      <c r="D991" s="2"/>
      <c r="E991" s="2" t="s">
        <v>109</v>
      </c>
      <c r="F991" s="2" t="s">
        <v>84</v>
      </c>
      <c r="H991" s="2">
        <v>3.7</v>
      </c>
      <c r="J991" s="2">
        <v>3.7</v>
      </c>
      <c r="K991" s="2">
        <v>21.4444444444444</v>
      </c>
      <c r="L991" s="2"/>
      <c r="M991" s="2">
        <v>4.87719561193079</v>
      </c>
      <c r="N991" s="2">
        <v>83.2222222222222</v>
      </c>
      <c r="O991" s="2">
        <v>9.04054652559687</v>
      </c>
      <c r="P991" s="2">
        <v>13.1111111111111</v>
      </c>
      <c r="Q991" s="2">
        <v>3.0291790844923501</v>
      </c>
      <c r="R991" s="2">
        <v>1.6666666666666601</v>
      </c>
      <c r="S991" s="2">
        <v>1.0929064207170001</v>
      </c>
      <c r="T991" s="2">
        <v>7.1111111111111098</v>
      </c>
      <c r="U991" s="2">
        <v>1.98839224090814</v>
      </c>
      <c r="V991" s="2">
        <v>0.22222222222222199</v>
      </c>
      <c r="W991" s="2">
        <v>0.19245008972987501</v>
      </c>
      <c r="X991" s="2">
        <v>3.2222222222222201</v>
      </c>
      <c r="Y991" s="2">
        <v>0.85526690657448101</v>
      </c>
      <c r="Z991" s="7">
        <v>57.966528006191297</v>
      </c>
      <c r="AA991" s="2">
        <v>6.2969851005414998</v>
      </c>
      <c r="AB991" s="7">
        <v>60.3125</v>
      </c>
      <c r="AC991" s="2">
        <v>13.717112658555299</v>
      </c>
      <c r="AD991" s="2">
        <v>145.45454545454501</v>
      </c>
      <c r="AE991" s="2">
        <v>40.671659473121203</v>
      </c>
      <c r="AF991" s="2">
        <v>78.145695364238406</v>
      </c>
      <c r="AG991" s="2">
        <v>18.0547097751199</v>
      </c>
      <c r="AH991" s="2">
        <v>71.428571428571402</v>
      </c>
      <c r="AI991" s="2">
        <v>46.838846602157098</v>
      </c>
      <c r="AJ991" s="2">
        <v>36.363636363636303</v>
      </c>
      <c r="AK991" s="2">
        <v>31.4918328648886</v>
      </c>
      <c r="AL991" s="2">
        <v>143.20987654320899</v>
      </c>
      <c r="AM991" s="2">
        <v>38.011862514421303</v>
      </c>
      <c r="AN991"/>
      <c r="AO991"/>
    </row>
    <row r="992" spans="1:41" ht="15.75" hidden="1" customHeight="1" x14ac:dyDescent="0.45">
      <c r="A992" s="2" t="s">
        <v>191</v>
      </c>
      <c r="B992" s="2" t="s">
        <v>192</v>
      </c>
      <c r="C992" s="2">
        <v>10</v>
      </c>
      <c r="D992" s="2"/>
      <c r="E992" s="2" t="s">
        <v>109</v>
      </c>
      <c r="F992" s="2" t="s">
        <v>84</v>
      </c>
      <c r="H992" s="2">
        <v>3.7</v>
      </c>
      <c r="J992" s="2">
        <v>3.7</v>
      </c>
      <c r="K992" s="2">
        <v>4.3888888888888804</v>
      </c>
      <c r="L992" s="2"/>
      <c r="M992" s="2">
        <v>3.1681283176407198</v>
      </c>
      <c r="N992" s="2">
        <v>16.6111111111111</v>
      </c>
      <c r="O992" s="2">
        <v>5.4526582032510804</v>
      </c>
      <c r="P992" s="2">
        <v>5</v>
      </c>
      <c r="Q992" s="2">
        <v>5.5752428945592403</v>
      </c>
      <c r="R992" s="2">
        <v>0.66666666666666596</v>
      </c>
      <c r="S992" s="2">
        <v>0.600925212577331</v>
      </c>
      <c r="T992" s="2">
        <v>45</v>
      </c>
      <c r="U992" s="2">
        <v>23.485811319461199</v>
      </c>
      <c r="V992" s="2">
        <v>0</v>
      </c>
      <c r="W992" s="2">
        <v>0</v>
      </c>
      <c r="X992" s="2">
        <v>2.38888888888888</v>
      </c>
      <c r="Y992" s="2">
        <v>2.6051942417096301</v>
      </c>
      <c r="Z992" s="7">
        <v>11.5700880332785</v>
      </c>
      <c r="AA992" s="2">
        <v>3.7979238718591199</v>
      </c>
      <c r="AB992" s="7">
        <v>12.34375</v>
      </c>
      <c r="AC992" s="2">
        <v>8.9103608933645404</v>
      </c>
      <c r="AD992" s="2">
        <v>920.45454545454504</v>
      </c>
      <c r="AE992" s="2">
        <v>480.39159517079798</v>
      </c>
      <c r="AF992" s="2">
        <v>29.8013245033112</v>
      </c>
      <c r="AG992" s="2">
        <v>33.229924537107998</v>
      </c>
      <c r="AH992" s="2">
        <v>28.571428571428498</v>
      </c>
      <c r="AI992" s="2">
        <v>25.753937681885599</v>
      </c>
      <c r="AJ992" s="2">
        <v>0</v>
      </c>
      <c r="AK992" s="2">
        <v>0</v>
      </c>
      <c r="AL992" s="2">
        <v>106.172839506172</v>
      </c>
      <c r="AM992" s="2">
        <v>115.78641074265001</v>
      </c>
      <c r="AN992"/>
      <c r="AO992"/>
    </row>
    <row r="993" spans="1:41" ht="15.75" hidden="1" customHeight="1" x14ac:dyDescent="0.45">
      <c r="A993" s="2" t="s">
        <v>191</v>
      </c>
      <c r="B993" s="2" t="s">
        <v>192</v>
      </c>
      <c r="C993" s="2">
        <v>3.0000000000000001E-3</v>
      </c>
      <c r="D993" s="2"/>
      <c r="E993" s="2" t="s">
        <v>109</v>
      </c>
      <c r="F993" s="2" t="s">
        <v>84</v>
      </c>
      <c r="H993" s="2">
        <v>7</v>
      </c>
      <c r="J993" s="2">
        <v>7</v>
      </c>
      <c r="K993" s="2">
        <v>49.3888888888888</v>
      </c>
      <c r="L993" s="2"/>
      <c r="M993" s="2">
        <v>3.3554819712313502</v>
      </c>
      <c r="N993" s="2">
        <v>282.83333333333297</v>
      </c>
      <c r="O993" s="2">
        <v>45.4764896524688</v>
      </c>
      <c r="P993" s="2">
        <v>12.3888888888888</v>
      </c>
      <c r="Q993" s="2">
        <v>0.50917507721726696</v>
      </c>
      <c r="R993" s="2">
        <v>3.2777777777777701</v>
      </c>
      <c r="S993" s="2">
        <v>1.5122952876462401</v>
      </c>
      <c r="T993" s="2">
        <v>10.5555555555555</v>
      </c>
      <c r="U993" s="2">
        <v>1.4174834246858901</v>
      </c>
      <c r="V993" s="2">
        <v>0.88888888888888895</v>
      </c>
      <c r="W993" s="2">
        <v>0.25458753860865801</v>
      </c>
      <c r="X993" s="2">
        <v>4.6111111111111098</v>
      </c>
      <c r="Y993" s="2">
        <v>0.63098981620003303</v>
      </c>
      <c r="Z993" s="7">
        <v>119.345953232139</v>
      </c>
      <c r="AA993" s="2">
        <v>19.189516819889501</v>
      </c>
      <c r="AB993" s="7">
        <v>140.99920697858801</v>
      </c>
      <c r="AC993" s="2">
        <v>9.57948857766287</v>
      </c>
      <c r="AD993" s="2">
        <v>132.404181184669</v>
      </c>
      <c r="AE993" s="2">
        <v>17.780279891530402</v>
      </c>
      <c r="AF993" s="2">
        <v>89.2</v>
      </c>
      <c r="AG993" s="2">
        <v>3.6660605559643198</v>
      </c>
      <c r="AH993" s="2">
        <v>180.15267175572501</v>
      </c>
      <c r="AI993" s="2">
        <v>83.118519626358506</v>
      </c>
      <c r="AJ993" s="2">
        <v>136.17021276595699</v>
      </c>
      <c r="AK993" s="2">
        <v>39.000644212390199</v>
      </c>
      <c r="AL993" s="2">
        <v>120.72727272727199</v>
      </c>
      <c r="AM993" s="2">
        <v>16.5204606423281</v>
      </c>
      <c r="AN993"/>
      <c r="AO993"/>
    </row>
    <row r="994" spans="1:41" ht="15.75" hidden="1" customHeight="1" x14ac:dyDescent="0.45">
      <c r="A994" s="2" t="s">
        <v>191</v>
      </c>
      <c r="B994" s="2" t="s">
        <v>192</v>
      </c>
      <c r="C994" s="2">
        <v>0.01</v>
      </c>
      <c r="D994" s="2"/>
      <c r="E994" s="2" t="s">
        <v>109</v>
      </c>
      <c r="F994" s="2" t="s">
        <v>84</v>
      </c>
      <c r="H994" s="2">
        <v>7</v>
      </c>
      <c r="J994" s="2">
        <v>7</v>
      </c>
      <c r="K994" s="2">
        <v>50.1666666666666</v>
      </c>
      <c r="L994" s="2"/>
      <c r="M994" s="2">
        <v>2.1666666666668499</v>
      </c>
      <c r="N994" s="2">
        <v>272.05555555555497</v>
      </c>
      <c r="O994" s="2">
        <v>26.142947494567402</v>
      </c>
      <c r="P994" s="2">
        <v>13.1666666666666</v>
      </c>
      <c r="Q994" s="2">
        <v>1.20185042515466</v>
      </c>
      <c r="R994" s="2">
        <v>2.7222222222222201</v>
      </c>
      <c r="S994" s="2">
        <v>0.41943524640393198</v>
      </c>
      <c r="T994" s="2">
        <v>9.8888888888888893</v>
      </c>
      <c r="U994" s="2">
        <v>0.91792842454766099</v>
      </c>
      <c r="V994" s="2">
        <v>1.1666666666666601</v>
      </c>
      <c r="W994" s="2">
        <v>0.33333333333333198</v>
      </c>
      <c r="X994" s="2">
        <v>3.5</v>
      </c>
      <c r="Y994" s="2">
        <v>0.28867513459480398</v>
      </c>
      <c r="Z994" s="7">
        <v>114.798101154544</v>
      </c>
      <c r="AA994" s="2">
        <v>11.0314260072018</v>
      </c>
      <c r="AB994" s="7">
        <v>143.219666931007</v>
      </c>
      <c r="AC994" s="2">
        <v>6.1855670103098097</v>
      </c>
      <c r="AD994" s="2">
        <v>124.041811846689</v>
      </c>
      <c r="AE994" s="2">
        <v>11.514084767845199</v>
      </c>
      <c r="AF994" s="2">
        <v>94.8</v>
      </c>
      <c r="AG994" s="2">
        <v>8.6533230611136105</v>
      </c>
      <c r="AH994" s="2">
        <v>149.61832061068699</v>
      </c>
      <c r="AI994" s="2">
        <v>23.052929573345899</v>
      </c>
      <c r="AJ994" s="2">
        <v>178.723404255319</v>
      </c>
      <c r="AK994" s="2">
        <v>51.0638297872339</v>
      </c>
      <c r="AL994" s="2">
        <v>91.636363636363598</v>
      </c>
      <c r="AM994" s="2">
        <v>7.5580398875730603</v>
      </c>
      <c r="AN994"/>
      <c r="AO994"/>
    </row>
    <row r="995" spans="1:41" ht="15.75" hidden="1" customHeight="1" x14ac:dyDescent="0.45">
      <c r="A995" s="2" t="s">
        <v>191</v>
      </c>
      <c r="B995" s="2" t="s">
        <v>192</v>
      </c>
      <c r="C995" s="2">
        <v>0.03</v>
      </c>
      <c r="D995" s="2"/>
      <c r="E995" s="2" t="s">
        <v>109</v>
      </c>
      <c r="F995" s="2" t="s">
        <v>84</v>
      </c>
      <c r="H995" s="2">
        <v>7</v>
      </c>
      <c r="J995" s="2">
        <v>7</v>
      </c>
      <c r="K995" s="2">
        <v>51.1111111111111</v>
      </c>
      <c r="L995" s="2"/>
      <c r="M995" s="2">
        <v>2.0838888148345598</v>
      </c>
      <c r="N995" s="2">
        <v>301.722222222222</v>
      </c>
      <c r="O995" s="2">
        <v>14.9817790566968</v>
      </c>
      <c r="P995" s="2">
        <v>12.3888888888888</v>
      </c>
      <c r="Q995" s="2">
        <v>1.22851913263864</v>
      </c>
      <c r="R995" s="2">
        <v>2.88888888888888</v>
      </c>
      <c r="S995" s="2">
        <v>1.45614915800901</v>
      </c>
      <c r="T995" s="2">
        <v>12.2222222222222</v>
      </c>
      <c r="U995" s="2">
        <v>2.0705161281760098</v>
      </c>
      <c r="V995" s="2">
        <v>0.66666666666666596</v>
      </c>
      <c r="W995" s="2">
        <v>0.28867513459481198</v>
      </c>
      <c r="X995" s="2">
        <v>3.7222222222222201</v>
      </c>
      <c r="Y995" s="2">
        <v>0.25458753860866101</v>
      </c>
      <c r="Z995" s="7">
        <v>127.316415636171</v>
      </c>
      <c r="AA995" s="2">
        <v>6.3217962379544597</v>
      </c>
      <c r="AB995" s="7">
        <v>145.915939730372</v>
      </c>
      <c r="AC995" s="2">
        <v>5.9492464182430096</v>
      </c>
      <c r="AD995" s="2">
        <v>153.31010452961601</v>
      </c>
      <c r="AE995" s="2">
        <v>25.971630876075402</v>
      </c>
      <c r="AF995" s="2">
        <v>89.2</v>
      </c>
      <c r="AG995" s="2">
        <v>8.8453377549982406</v>
      </c>
      <c r="AH995" s="2">
        <v>158.77862595419799</v>
      </c>
      <c r="AI995" s="2">
        <v>80.032625478358298</v>
      </c>
      <c r="AJ995" s="2">
        <v>102.127659574468</v>
      </c>
      <c r="AK995" s="2">
        <v>44.222573810269203</v>
      </c>
      <c r="AL995" s="2">
        <v>97.454545454545396</v>
      </c>
      <c r="AM995" s="2">
        <v>6.6655646472085897</v>
      </c>
      <c r="AN995"/>
      <c r="AO995"/>
    </row>
    <row r="996" spans="1:41" ht="15.75" hidden="1" customHeight="1" x14ac:dyDescent="0.45">
      <c r="A996" s="2" t="s">
        <v>191</v>
      </c>
      <c r="B996" s="2" t="s">
        <v>192</v>
      </c>
      <c r="C996" s="2">
        <v>0.1</v>
      </c>
      <c r="D996" s="2"/>
      <c r="E996" s="2" t="s">
        <v>109</v>
      </c>
      <c r="F996" s="2" t="s">
        <v>84</v>
      </c>
      <c r="H996" s="2">
        <v>7</v>
      </c>
      <c r="J996" s="2">
        <v>7</v>
      </c>
      <c r="K996" s="2">
        <v>50.8888888888888</v>
      </c>
      <c r="L996" s="2"/>
      <c r="M996" s="2">
        <v>1.4174834246858401</v>
      </c>
      <c r="N996" s="2">
        <v>281.666666666666</v>
      </c>
      <c r="O996" s="2">
        <v>30.277879714405302</v>
      </c>
      <c r="P996" s="2">
        <v>14.7777777777777</v>
      </c>
      <c r="Q996" s="2">
        <v>1.9883922409081201</v>
      </c>
      <c r="R996" s="2">
        <v>3</v>
      </c>
      <c r="S996" s="2">
        <v>0.33333333333333498</v>
      </c>
      <c r="T996" s="2">
        <v>10.5555555555555</v>
      </c>
      <c r="U996" s="2">
        <v>1.6694421334796301</v>
      </c>
      <c r="V996" s="2">
        <v>0.77777777777777701</v>
      </c>
      <c r="W996" s="2">
        <v>0.19245008972987501</v>
      </c>
      <c r="X996" s="2">
        <v>2.6111111111111098</v>
      </c>
      <c r="Y996" s="2">
        <v>0.25458753860865702</v>
      </c>
      <c r="Z996" s="7">
        <v>118.853659966008</v>
      </c>
      <c r="AA996" s="2">
        <v>12.776225396689799</v>
      </c>
      <c r="AB996" s="7">
        <v>145.28152260111</v>
      </c>
      <c r="AC996" s="2">
        <v>4.0467409427986096</v>
      </c>
      <c r="AD996" s="2">
        <v>132.404181184669</v>
      </c>
      <c r="AE996" s="2">
        <v>20.9407375628107</v>
      </c>
      <c r="AF996" s="2">
        <v>106.4</v>
      </c>
      <c r="AG996" s="2">
        <v>14.316424134538501</v>
      </c>
      <c r="AH996" s="2">
        <v>164.88549618320599</v>
      </c>
      <c r="AI996" s="2">
        <v>18.320610687022999</v>
      </c>
      <c r="AJ996" s="2">
        <v>119.148936170212</v>
      </c>
      <c r="AK996" s="2">
        <v>29.481715873512801</v>
      </c>
      <c r="AL996" s="2">
        <v>68.363636363636303</v>
      </c>
      <c r="AM996" s="2">
        <v>6.6655646472084999</v>
      </c>
      <c r="AN996"/>
      <c r="AO996"/>
    </row>
    <row r="997" spans="1:41" ht="15.75" hidden="1" customHeight="1" x14ac:dyDescent="0.45">
      <c r="A997" s="2" t="s">
        <v>191</v>
      </c>
      <c r="B997" s="2" t="s">
        <v>192</v>
      </c>
      <c r="C997" s="2">
        <v>0.3</v>
      </c>
      <c r="D997" s="2"/>
      <c r="E997" s="2" t="s">
        <v>109</v>
      </c>
      <c r="F997" s="2" t="s">
        <v>84</v>
      </c>
      <c r="H997" s="2">
        <v>7</v>
      </c>
      <c r="J997" s="2">
        <v>7</v>
      </c>
      <c r="K997" s="2">
        <v>47.4444444444444</v>
      </c>
      <c r="L997" s="2"/>
      <c r="M997" s="2">
        <v>0.50917507721718303</v>
      </c>
      <c r="N997" s="2">
        <v>255.666666666666</v>
      </c>
      <c r="O997" s="2">
        <v>33.469306004822499</v>
      </c>
      <c r="P997" s="2">
        <v>13.5</v>
      </c>
      <c r="Q997" s="2">
        <v>1.85592145427666</v>
      </c>
      <c r="R997" s="2">
        <v>3.05555555555555</v>
      </c>
      <c r="S997" s="2">
        <v>0.91792842454768298</v>
      </c>
      <c r="T997" s="2">
        <v>12.6111111111111</v>
      </c>
      <c r="U997" s="2">
        <v>0.48112522432467197</v>
      </c>
      <c r="V997" s="2">
        <v>0.72222222222222199</v>
      </c>
      <c r="W997" s="2">
        <v>9.6225044864937201E-2</v>
      </c>
      <c r="X997" s="2">
        <v>3.5</v>
      </c>
      <c r="Y997" s="2">
        <v>0.44095855184409999</v>
      </c>
      <c r="Z997" s="7">
        <v>107.88255289222199</v>
      </c>
      <c r="AA997" s="2">
        <v>14.1228976870844</v>
      </c>
      <c r="AB997" s="7">
        <v>135.44805709754101</v>
      </c>
      <c r="AC997" s="2">
        <v>1.4536322585105901</v>
      </c>
      <c r="AD997" s="2">
        <v>158.18815331010401</v>
      </c>
      <c r="AE997" s="2">
        <v>6.0350202354314302</v>
      </c>
      <c r="AF997" s="2">
        <v>97.2</v>
      </c>
      <c r="AG997" s="2">
        <v>13.3626344707919</v>
      </c>
      <c r="AH997" s="2">
        <v>167.93893129770899</v>
      </c>
      <c r="AI997" s="2">
        <v>50.451027914071098</v>
      </c>
      <c r="AJ997" s="2">
        <v>110.63829787234</v>
      </c>
      <c r="AK997" s="2">
        <v>14.740857936756299</v>
      </c>
      <c r="AL997" s="2">
        <v>91.636363636363598</v>
      </c>
      <c r="AM997" s="2">
        <v>11.5450966301</v>
      </c>
      <c r="AN997"/>
      <c r="AO997"/>
    </row>
    <row r="998" spans="1:41" ht="15.75" hidden="1" customHeight="1" x14ac:dyDescent="0.45">
      <c r="A998" s="2" t="s">
        <v>191</v>
      </c>
      <c r="B998" s="2" t="s">
        <v>192</v>
      </c>
      <c r="C998" s="2">
        <v>1</v>
      </c>
      <c r="D998" s="2"/>
      <c r="E998" s="2" t="s">
        <v>109</v>
      </c>
      <c r="F998" s="2" t="s">
        <v>84</v>
      </c>
      <c r="H998" s="2">
        <v>7</v>
      </c>
      <c r="J998" s="2">
        <v>7</v>
      </c>
      <c r="K998" s="2">
        <v>47.2777777777777</v>
      </c>
      <c r="L998" s="2"/>
      <c r="M998" s="2">
        <v>0.69388866648857705</v>
      </c>
      <c r="N998" s="2">
        <v>261.944444444444</v>
      </c>
      <c r="O998" s="2">
        <v>27.3502657580696</v>
      </c>
      <c r="P998" s="2">
        <v>14.2777777777777</v>
      </c>
      <c r="Q998" s="2">
        <v>2.0570565090637398</v>
      </c>
      <c r="R998" s="2">
        <v>2.88888888888888</v>
      </c>
      <c r="S998" s="2">
        <v>0.63098981620003203</v>
      </c>
      <c r="T998" s="2">
        <v>12.1111111111111</v>
      </c>
      <c r="U998" s="2">
        <v>2.42861033271048</v>
      </c>
      <c r="V998" s="2">
        <v>0.72222222222222199</v>
      </c>
      <c r="W998" s="2">
        <v>0.19245008972987501</v>
      </c>
      <c r="X998" s="2">
        <v>3.1111111111111098</v>
      </c>
      <c r="Y998" s="2">
        <v>0.34694433324435198</v>
      </c>
      <c r="Z998" s="7">
        <v>110.531559514739</v>
      </c>
      <c r="AA998" s="2">
        <v>11.540872851087199</v>
      </c>
      <c r="AB998" s="7">
        <v>134.972244250594</v>
      </c>
      <c r="AC998" s="2">
        <v>1.9809668511965699</v>
      </c>
      <c r="AD998" s="2">
        <v>151.91637630662001</v>
      </c>
      <c r="AE998" s="2">
        <v>30.463404870236001</v>
      </c>
      <c r="AF998" s="2">
        <v>102.799999999999</v>
      </c>
      <c r="AG998" s="2">
        <v>14.8108068652589</v>
      </c>
      <c r="AH998" s="2">
        <v>158.77862595419799</v>
      </c>
      <c r="AI998" s="2">
        <v>34.680356310230799</v>
      </c>
      <c r="AJ998" s="2">
        <v>110.63829787234</v>
      </c>
      <c r="AK998" s="2">
        <v>29.481715873512801</v>
      </c>
      <c r="AL998" s="2">
        <v>81.454545454545396</v>
      </c>
      <c r="AM998" s="2">
        <v>9.0836334522157802</v>
      </c>
      <c r="AN998"/>
      <c r="AO998"/>
    </row>
    <row r="999" spans="1:41" ht="15.75" hidden="1" customHeight="1" x14ac:dyDescent="0.45">
      <c r="A999" s="2" t="s">
        <v>191</v>
      </c>
      <c r="B999" s="2" t="s">
        <v>192</v>
      </c>
      <c r="C999" s="2">
        <v>3</v>
      </c>
      <c r="D999" s="2"/>
      <c r="E999" s="2" t="s">
        <v>109</v>
      </c>
      <c r="F999" s="2" t="s">
        <v>84</v>
      </c>
      <c r="H999" s="2">
        <v>7</v>
      </c>
      <c r="J999" s="2">
        <v>7</v>
      </c>
      <c r="K999" s="2">
        <v>43.8333333333333</v>
      </c>
      <c r="L999" s="2"/>
      <c r="M999" s="2">
        <v>1.5898986690281101</v>
      </c>
      <c r="N999" s="2">
        <v>229.944444444444</v>
      </c>
      <c r="O999" s="2">
        <v>34.089071779894901</v>
      </c>
      <c r="P999" s="2">
        <v>12.8888888888888</v>
      </c>
      <c r="Q999" s="2">
        <v>2.1751968833835398</v>
      </c>
      <c r="R999" s="2">
        <v>3.2222222222222201</v>
      </c>
      <c r="S999" s="2">
        <v>0.63098981620002903</v>
      </c>
      <c r="T999" s="2">
        <v>11.1111111111111</v>
      </c>
      <c r="U999" s="2">
        <v>2.5945098730745899</v>
      </c>
      <c r="V999" s="2">
        <v>0.61111111111111105</v>
      </c>
      <c r="W999" s="2">
        <v>0.19245008972987501</v>
      </c>
      <c r="X999" s="2">
        <v>3.3333333333333299</v>
      </c>
      <c r="Y999" s="2">
        <v>0.44095855184409999</v>
      </c>
      <c r="Z999" s="7">
        <v>97.028658500849801</v>
      </c>
      <c r="AA999" s="2">
        <v>14.384417559353199</v>
      </c>
      <c r="AB999" s="7">
        <v>125.138778747026</v>
      </c>
      <c r="AC999" s="2">
        <v>4.5389652724038196</v>
      </c>
      <c r="AD999" s="2">
        <v>139.37282229965101</v>
      </c>
      <c r="AE999" s="2">
        <v>32.544374714524402</v>
      </c>
      <c r="AF999" s="2">
        <v>92.8</v>
      </c>
      <c r="AG999" s="2">
        <v>15.6614175603614</v>
      </c>
      <c r="AH999" s="2">
        <v>177.09923664122101</v>
      </c>
      <c r="AI999" s="2">
        <v>34.6803563102306</v>
      </c>
      <c r="AJ999" s="2">
        <v>93.617021276595693</v>
      </c>
      <c r="AK999" s="2">
        <v>29.481715873512801</v>
      </c>
      <c r="AL999" s="2">
        <v>87.272727272727195</v>
      </c>
      <c r="AM999" s="2">
        <v>11.5450966301</v>
      </c>
      <c r="AN999"/>
      <c r="AO999"/>
    </row>
    <row r="1000" spans="1:41" ht="15.75" hidden="1" customHeight="1" x14ac:dyDescent="0.45">
      <c r="A1000" s="2" t="s">
        <v>191</v>
      </c>
      <c r="B1000" s="2" t="s">
        <v>192</v>
      </c>
      <c r="C1000" s="2">
        <v>10</v>
      </c>
      <c r="D1000" s="2"/>
      <c r="E1000" s="2" t="s">
        <v>109</v>
      </c>
      <c r="F1000" s="2" t="s">
        <v>84</v>
      </c>
      <c r="H1000" s="2">
        <v>7</v>
      </c>
      <c r="J1000" s="2">
        <v>7</v>
      </c>
      <c r="K1000" s="2">
        <v>21.2777777777777</v>
      </c>
      <c r="L1000" s="2"/>
      <c r="M1000" s="2">
        <v>8.4266991912171108</v>
      </c>
      <c r="N1000" s="2">
        <v>61.0555555555555</v>
      </c>
      <c r="O1000" s="2">
        <v>17.245235520228299</v>
      </c>
      <c r="P1000" s="2">
        <v>6.9444444444444402</v>
      </c>
      <c r="Q1000" s="2">
        <v>3.0927034799370601</v>
      </c>
      <c r="R1000" s="2">
        <v>0.61111111111111105</v>
      </c>
      <c r="S1000" s="2">
        <v>9.6225044864938394E-2</v>
      </c>
      <c r="T1000" s="2">
        <v>18.2222222222222</v>
      </c>
      <c r="U1000" s="2">
        <v>5.27134110421978</v>
      </c>
      <c r="V1000" s="2">
        <v>0.16666666666666599</v>
      </c>
      <c r="W1000" s="2">
        <v>0.16666666666666599</v>
      </c>
      <c r="X1000" s="2">
        <v>8.2222222222222197</v>
      </c>
      <c r="Y1000" s="2">
        <v>1.71053381314896</v>
      </c>
      <c r="Z1000" s="7">
        <v>25.763347594209598</v>
      </c>
      <c r="AA1000" s="2">
        <v>7.2768971309643202</v>
      </c>
      <c r="AB1000" s="7">
        <v>60.745440126883402</v>
      </c>
      <c r="AC1000" s="2">
        <v>24.057190395227298</v>
      </c>
      <c r="AD1000" s="2">
        <v>228.57142857142799</v>
      </c>
      <c r="AE1000" s="2">
        <v>66.121351829934596</v>
      </c>
      <c r="AF1000" s="2">
        <v>50</v>
      </c>
      <c r="AG1000" s="2">
        <v>22.267465055546801</v>
      </c>
      <c r="AH1000" s="2">
        <v>33.587786259542</v>
      </c>
      <c r="AI1000" s="2">
        <v>5.28870475593554</v>
      </c>
      <c r="AJ1000" s="2">
        <v>25.531914893617</v>
      </c>
      <c r="AK1000" s="2">
        <v>25.531914893617</v>
      </c>
      <c r="AL1000" s="2">
        <v>215.272727272727</v>
      </c>
      <c r="AM1000" s="2">
        <v>44.784885289718403</v>
      </c>
      <c r="AN1000"/>
      <c r="AO1000"/>
    </row>
    <row r="1001" spans="1:41" ht="15.75" hidden="1" customHeight="1" x14ac:dyDescent="0.45">
      <c r="A1001" s="2" t="s">
        <v>193</v>
      </c>
      <c r="B1001" s="2" t="s">
        <v>194</v>
      </c>
      <c r="C1001" s="2">
        <v>3.0000000000000001E-3</v>
      </c>
      <c r="D1001" s="2"/>
      <c r="E1001" s="2" t="s">
        <v>83</v>
      </c>
      <c r="F1001" s="2" t="s">
        <v>84</v>
      </c>
      <c r="H1001" s="2">
        <v>0.9</v>
      </c>
      <c r="J1001" s="2">
        <v>0.9</v>
      </c>
      <c r="K1001" s="2">
        <v>33.682617839277697</v>
      </c>
      <c r="L1001" s="2"/>
      <c r="M1001" s="2">
        <v>4.3526576819967397</v>
      </c>
      <c r="N1001" s="2">
        <v>249.888888888888</v>
      </c>
      <c r="O1001" s="2">
        <v>53.653552572999999</v>
      </c>
      <c r="P1001" s="2">
        <v>14.7164456057222</v>
      </c>
      <c r="Q1001" s="2">
        <v>2.11255520581925</v>
      </c>
      <c r="R1001" s="2">
        <v>1.8792289150283299</v>
      </c>
      <c r="S1001" s="2">
        <v>0.84091846725011998</v>
      </c>
      <c r="T1001" s="2">
        <v>4.3984128321777698</v>
      </c>
      <c r="U1001" s="2">
        <v>1.3686137229586</v>
      </c>
      <c r="V1001" s="2">
        <v>0.39328991889055498</v>
      </c>
      <c r="W1001" s="2">
        <v>0.19451610466185401</v>
      </c>
      <c r="X1001" s="2">
        <v>3.5929511688111102</v>
      </c>
      <c r="Y1001" s="2">
        <v>0.86945209231172405</v>
      </c>
      <c r="Z1001" s="7">
        <v>107.794855667907</v>
      </c>
      <c r="AA1001" s="2">
        <v>22.147271026382001</v>
      </c>
      <c r="AB1001" s="7">
        <v>100.81133981182499</v>
      </c>
      <c r="AC1001" s="2">
        <v>15.009799399899199</v>
      </c>
      <c r="AD1001" s="2">
        <v>100.406862416219</v>
      </c>
      <c r="AE1001" s="2">
        <v>45.600864487682998</v>
      </c>
      <c r="AF1001" s="2">
        <v>95.896349016391198</v>
      </c>
      <c r="AG1001" s="2">
        <v>8.5953681346435893</v>
      </c>
      <c r="AH1001" s="2">
        <v>104.34977399866099</v>
      </c>
      <c r="AI1001" s="2">
        <v>36.704697990513203</v>
      </c>
      <c r="AJ1001" s="2">
        <v>63.920740521565101</v>
      </c>
      <c r="AK1001" s="2">
        <v>52.262474361472698</v>
      </c>
      <c r="AL1001" s="2">
        <v>107.95965323222001</v>
      </c>
      <c r="AM1001" s="2">
        <v>10.8876873013949</v>
      </c>
      <c r="AN1001"/>
      <c r="AO1001"/>
    </row>
    <row r="1002" spans="1:41" ht="15.75" hidden="1" customHeight="1" x14ac:dyDescent="0.45">
      <c r="A1002" s="2" t="s">
        <v>193</v>
      </c>
      <c r="B1002" s="2" t="s">
        <v>194</v>
      </c>
      <c r="C1002" s="2">
        <v>0.01</v>
      </c>
      <c r="D1002" s="2"/>
      <c r="E1002" s="2" t="s">
        <v>83</v>
      </c>
      <c r="F1002" s="2" t="s">
        <v>84</v>
      </c>
      <c r="H1002" s="2">
        <v>0.9</v>
      </c>
      <c r="J1002" s="2">
        <v>0.9</v>
      </c>
      <c r="K1002" s="2">
        <v>33.479315053166602</v>
      </c>
      <c r="L1002" s="2"/>
      <c r="M1002" s="2">
        <v>0.92097640214585796</v>
      </c>
      <c r="N1002" s="2">
        <v>219.388888888888</v>
      </c>
      <c r="O1002" s="2">
        <v>24.851969144725299</v>
      </c>
      <c r="P1002" s="2">
        <v>16.436035049794398</v>
      </c>
      <c r="Q1002" s="2">
        <v>3.8940109469529398</v>
      </c>
      <c r="R1002" s="2">
        <v>1.82076326185222</v>
      </c>
      <c r="S1002" s="2">
        <v>0.75259869186386796</v>
      </c>
      <c r="T1002" s="2">
        <v>3.9972974298255499</v>
      </c>
      <c r="U1002" s="2">
        <v>1.7501184234907701</v>
      </c>
      <c r="V1002" s="2">
        <v>0.289403196940555</v>
      </c>
      <c r="W1002" s="2">
        <v>0.17553142247572801</v>
      </c>
      <c r="X1002" s="2">
        <v>4.03470916242222</v>
      </c>
      <c r="Y1002" s="2">
        <v>1.1536646043866801</v>
      </c>
      <c r="Z1002" s="7">
        <v>95.028265686505904</v>
      </c>
      <c r="AA1002" s="2">
        <v>13.0975072981282</v>
      </c>
      <c r="AB1002" s="7">
        <v>100.158173090471</v>
      </c>
      <c r="AC1002" s="2">
        <v>6.50921778005387</v>
      </c>
      <c r="AD1002" s="2">
        <v>86.345296840347402</v>
      </c>
      <c r="AE1002" s="2">
        <v>38.575370293982701</v>
      </c>
      <c r="AF1002" s="2">
        <v>106.575626248094</v>
      </c>
      <c r="AG1002" s="2">
        <v>18.7415319292544</v>
      </c>
      <c r="AH1002" s="2">
        <v>100.80796374869</v>
      </c>
      <c r="AI1002" s="2">
        <v>21.942459410878399</v>
      </c>
      <c r="AJ1002" s="2">
        <v>34.444514234552202</v>
      </c>
      <c r="AK1002" s="2">
        <v>14.9338881264497</v>
      </c>
      <c r="AL1002" s="2">
        <v>119.939561811057</v>
      </c>
      <c r="AM1002" s="2">
        <v>11.3520248778691</v>
      </c>
      <c r="AN1002"/>
      <c r="AO1002"/>
    </row>
    <row r="1003" spans="1:41" ht="15.75" hidden="1" customHeight="1" x14ac:dyDescent="0.45">
      <c r="A1003" s="2" t="s">
        <v>193</v>
      </c>
      <c r="B1003" s="2" t="s">
        <v>194</v>
      </c>
      <c r="C1003" s="2">
        <v>0.03</v>
      </c>
      <c r="D1003" s="2"/>
      <c r="E1003" s="2" t="s">
        <v>83</v>
      </c>
      <c r="F1003" s="2" t="s">
        <v>84</v>
      </c>
      <c r="H1003" s="2">
        <v>0.9</v>
      </c>
      <c r="J1003" s="2">
        <v>0.9</v>
      </c>
      <c r="K1003" s="2">
        <v>32.8404525668888</v>
      </c>
      <c r="L1003" s="2"/>
      <c r="M1003" s="2">
        <v>1.4662000487793201</v>
      </c>
      <c r="N1003" s="2">
        <v>239.555555555555</v>
      </c>
      <c r="O1003" s="2">
        <v>14.4552310152314</v>
      </c>
      <c r="P1003" s="2">
        <v>12.492117379966601</v>
      </c>
      <c r="Q1003" s="2">
        <v>2.1275339345342301</v>
      </c>
      <c r="R1003" s="2">
        <v>1.65120860884944</v>
      </c>
      <c r="S1003" s="2">
        <v>0.41452915857774503</v>
      </c>
      <c r="T1003" s="2">
        <v>3.82953648719444</v>
      </c>
      <c r="U1003" s="2">
        <v>1.02073011211959</v>
      </c>
      <c r="V1003" s="2">
        <v>0.44502217517888798</v>
      </c>
      <c r="W1003" s="2">
        <v>3.2349487308461697E-2</v>
      </c>
      <c r="X1003" s="2">
        <v>3.3831773832777698</v>
      </c>
      <c r="Y1003" s="2">
        <v>0.47504026471291899</v>
      </c>
      <c r="Z1003" s="7">
        <v>103.44689672361901</v>
      </c>
      <c r="AA1003" s="2">
        <v>3.5564577214138602</v>
      </c>
      <c r="AB1003" s="7">
        <v>98.138579143394495</v>
      </c>
      <c r="AC1003" s="2">
        <v>4.4528434294225399</v>
      </c>
      <c r="AD1003" s="2">
        <v>83.294241108544099</v>
      </c>
      <c r="AE1003" s="2">
        <v>21.158359181797</v>
      </c>
      <c r="AF1003" s="2">
        <v>81.502107793247603</v>
      </c>
      <c r="AG1003" s="2">
        <v>12.3558381476864</v>
      </c>
      <c r="AH1003" s="2">
        <v>96.902969723666601</v>
      </c>
      <c r="AI1003" s="2">
        <v>27.377835717718298</v>
      </c>
      <c r="AJ1003" s="2">
        <v>65.822324251636701</v>
      </c>
      <c r="AK1003" s="2">
        <v>35.191171422925699</v>
      </c>
      <c r="AL1003" s="2">
        <v>107.947345235798</v>
      </c>
      <c r="AM1003" s="2">
        <v>42.4071418613863</v>
      </c>
      <c r="AN1003"/>
      <c r="AO1003"/>
    </row>
    <row r="1004" spans="1:41" ht="15.75" hidden="1" customHeight="1" x14ac:dyDescent="0.45">
      <c r="A1004" s="2" t="s">
        <v>193</v>
      </c>
      <c r="B1004" s="2" t="s">
        <v>194</v>
      </c>
      <c r="C1004" s="2">
        <v>0.1</v>
      </c>
      <c r="D1004" s="2"/>
      <c r="E1004" s="2" t="s">
        <v>83</v>
      </c>
      <c r="F1004" s="2" t="s">
        <v>84</v>
      </c>
      <c r="H1004" s="2">
        <v>0.9</v>
      </c>
      <c r="J1004" s="2">
        <v>0.9</v>
      </c>
      <c r="K1004" s="2">
        <v>31.848899546055499</v>
      </c>
      <c r="L1004" s="2"/>
      <c r="M1004" s="2">
        <v>2.5559360076484601</v>
      </c>
      <c r="N1004" s="2">
        <v>199.055555555555</v>
      </c>
      <c r="O1004" s="2">
        <v>54.1639315548775</v>
      </c>
      <c r="P1004" s="2">
        <v>14.801010290111099</v>
      </c>
      <c r="Q1004" s="2">
        <v>3.2152870584303499</v>
      </c>
      <c r="R1004" s="2">
        <v>2.3562496154522199</v>
      </c>
      <c r="S1004" s="2">
        <v>0.83220420104185799</v>
      </c>
      <c r="T1004" s="2">
        <v>3.85533575936666</v>
      </c>
      <c r="U1004" s="2">
        <v>1.84716365073966</v>
      </c>
      <c r="V1004" s="2">
        <v>9.49621317705555E-2</v>
      </c>
      <c r="W1004" s="2">
        <v>0.106095067992928</v>
      </c>
      <c r="X1004" s="2">
        <v>3.2793923810883299</v>
      </c>
      <c r="Y1004" s="2">
        <v>0.60232925519914504</v>
      </c>
      <c r="Z1004" s="7">
        <v>85.668977612422395</v>
      </c>
      <c r="AA1004" s="2">
        <v>21.603502242479401</v>
      </c>
      <c r="AB1004" s="7">
        <v>94.982876738432594</v>
      </c>
      <c r="AC1004" s="2">
        <v>2.0892814279111001</v>
      </c>
      <c r="AD1004" s="2">
        <v>81.3649115521401</v>
      </c>
      <c r="AE1004" s="2">
        <v>29.754087150828401</v>
      </c>
      <c r="AF1004" s="2">
        <v>95.951407693570303</v>
      </c>
      <c r="AG1004" s="2">
        <v>12.8071954678752</v>
      </c>
      <c r="AH1004" s="2">
        <v>134.21960125514701</v>
      </c>
      <c r="AI1004" s="2">
        <v>38.639985737447702</v>
      </c>
      <c r="AJ1004" s="2">
        <v>13.911770822201699</v>
      </c>
      <c r="AK1004" s="2">
        <v>12.709071872592601</v>
      </c>
      <c r="AL1004" s="2">
        <v>99.244865440111397</v>
      </c>
      <c r="AM1004" s="2">
        <v>7.1496173688841704</v>
      </c>
      <c r="AN1004"/>
      <c r="AO1004"/>
    </row>
    <row r="1005" spans="1:41" ht="15.75" hidden="1" customHeight="1" x14ac:dyDescent="0.45">
      <c r="A1005" s="2" t="s">
        <v>193</v>
      </c>
      <c r="B1005" s="2" t="s">
        <v>194</v>
      </c>
      <c r="C1005" s="2">
        <v>0.3</v>
      </c>
      <c r="D1005" s="2"/>
      <c r="E1005" s="2" t="s">
        <v>83</v>
      </c>
      <c r="F1005" s="2" t="s">
        <v>84</v>
      </c>
      <c r="H1005" s="2">
        <v>0.9</v>
      </c>
      <c r="J1005" s="2">
        <v>0.9</v>
      </c>
      <c r="K1005" s="2">
        <v>29.313387455166598</v>
      </c>
      <c r="L1005" s="2"/>
      <c r="M1005" s="2">
        <v>1.2533117212671401</v>
      </c>
      <c r="N1005" s="2">
        <v>198.5</v>
      </c>
      <c r="O1005" s="2">
        <v>21.833333333333599</v>
      </c>
      <c r="P1005" s="2">
        <v>13.614453628338801</v>
      </c>
      <c r="Q1005" s="2">
        <v>2.3688428012943499</v>
      </c>
      <c r="R1005" s="2">
        <v>1.74741609598888</v>
      </c>
      <c r="S1005" s="2">
        <v>0.51851340787114797</v>
      </c>
      <c r="T1005" s="2">
        <v>3.8355795174222198</v>
      </c>
      <c r="U1005" s="2">
        <v>0.163525751176408</v>
      </c>
      <c r="V1005" s="2">
        <v>0.54832613889222204</v>
      </c>
      <c r="W1005" s="2">
        <v>8.7290126753547498E-2</v>
      </c>
      <c r="X1005" s="2">
        <v>3.7929862313</v>
      </c>
      <c r="Y1005" s="2">
        <v>0.63853641160507002</v>
      </c>
      <c r="Z1005" s="7">
        <v>85.9356494436948</v>
      </c>
      <c r="AA1005" s="2">
        <v>11.155296122388</v>
      </c>
      <c r="AB1005" s="7">
        <v>87.654840713319999</v>
      </c>
      <c r="AC1005" s="2">
        <v>5.3516763229469504</v>
      </c>
      <c r="AD1005" s="2">
        <v>84.7768148919928</v>
      </c>
      <c r="AE1005" s="2">
        <v>14.753481492640301</v>
      </c>
      <c r="AF1005" s="2">
        <v>88.590762742593299</v>
      </c>
      <c r="AG1005" s="2">
        <v>10.1154923024468</v>
      </c>
      <c r="AH1005" s="2">
        <v>100.906318172146</v>
      </c>
      <c r="AI1005" s="2">
        <v>26.498301655841001</v>
      </c>
      <c r="AJ1005" s="2">
        <v>77.698315604053704</v>
      </c>
      <c r="AK1005" s="2">
        <v>30.387515210974399</v>
      </c>
      <c r="AL1005" s="2">
        <v>115.25824539210601</v>
      </c>
      <c r="AM1005" s="2">
        <v>11.9242252857529</v>
      </c>
      <c r="AN1005"/>
      <c r="AO1005"/>
    </row>
    <row r="1006" spans="1:41" ht="15.75" hidden="1" customHeight="1" x14ac:dyDescent="0.45">
      <c r="A1006" s="2" t="s">
        <v>193</v>
      </c>
      <c r="B1006" s="2" t="s">
        <v>194</v>
      </c>
      <c r="C1006" s="2">
        <v>1</v>
      </c>
      <c r="D1006" s="2"/>
      <c r="E1006" s="2" t="s">
        <v>83</v>
      </c>
      <c r="F1006" s="2" t="s">
        <v>84</v>
      </c>
      <c r="H1006" s="2">
        <v>0.9</v>
      </c>
      <c r="J1006" s="2">
        <v>0.9</v>
      </c>
      <c r="K1006" s="2">
        <v>9.9822876522833308</v>
      </c>
      <c r="L1006" s="2"/>
      <c r="M1006" s="2">
        <v>0.96140699078957004</v>
      </c>
      <c r="N1006" s="2">
        <v>105.611111111111</v>
      </c>
      <c r="O1006" s="2">
        <v>13.9047686997156</v>
      </c>
      <c r="P1006" s="2">
        <v>10.073520002383299</v>
      </c>
      <c r="Q1006" s="2">
        <v>1.8136298641866599</v>
      </c>
      <c r="R1006" s="2">
        <v>1.0503784575349999</v>
      </c>
      <c r="S1006" s="2">
        <v>0.40552505588012</v>
      </c>
      <c r="T1006" s="2">
        <v>4.2003731350277702</v>
      </c>
      <c r="U1006" s="2">
        <v>1.4521854732483701</v>
      </c>
      <c r="V1006" s="2">
        <v>0.68565110963833298</v>
      </c>
      <c r="W1006" s="2">
        <v>0.54703895595570096</v>
      </c>
      <c r="X1006" s="2">
        <v>4.8106021499844402</v>
      </c>
      <c r="Y1006" s="2">
        <v>0.265647218184142</v>
      </c>
      <c r="Z1006" s="7">
        <v>45.745307133831297</v>
      </c>
      <c r="AA1006" s="2">
        <v>7.1557823648819703</v>
      </c>
      <c r="AB1006" s="7">
        <v>29.979495533773299</v>
      </c>
      <c r="AC1006" s="2">
        <v>4.6919726872668797</v>
      </c>
      <c r="AD1006" s="2">
        <v>96.044498752430499</v>
      </c>
      <c r="AE1006" s="2">
        <v>45.128590554422502</v>
      </c>
      <c r="AF1006" s="2">
        <v>65.482967011834702</v>
      </c>
      <c r="AG1006" s="2">
        <v>7.6854631249145502</v>
      </c>
      <c r="AH1006" s="2">
        <v>71.484035269803101</v>
      </c>
      <c r="AI1006" s="2">
        <v>48.158541088558898</v>
      </c>
      <c r="AJ1006" s="2">
        <v>85.989448752481195</v>
      </c>
      <c r="AK1006" s="2">
        <v>59.655762893449598</v>
      </c>
      <c r="AL1006" s="2">
        <v>150.69292035859999</v>
      </c>
      <c r="AM1006" s="2">
        <v>42.238136865730098</v>
      </c>
      <c r="AN1006"/>
      <c r="AO1006"/>
    </row>
    <row r="1007" spans="1:41" ht="15.75" hidden="1" customHeight="1" x14ac:dyDescent="0.45">
      <c r="A1007" s="2" t="s">
        <v>193</v>
      </c>
      <c r="B1007" s="2" t="s">
        <v>194</v>
      </c>
      <c r="C1007" s="2">
        <v>3</v>
      </c>
      <c r="D1007" s="2"/>
      <c r="E1007" s="2" t="s">
        <v>83</v>
      </c>
      <c r="F1007" s="2" t="s">
        <v>84</v>
      </c>
      <c r="H1007" s="2">
        <v>0.9</v>
      </c>
      <c r="J1007" s="2">
        <v>0.9</v>
      </c>
      <c r="K1007" s="2">
        <v>0</v>
      </c>
      <c r="L1007" s="2"/>
      <c r="M1007" s="2">
        <v>0</v>
      </c>
      <c r="N1007" s="2">
        <v>33.6666666666666</v>
      </c>
      <c r="O1007" s="2">
        <v>6.6853903733772002</v>
      </c>
      <c r="P1007" s="2">
        <v>0</v>
      </c>
      <c r="Q1007" s="2">
        <v>0</v>
      </c>
      <c r="R1007" s="2">
        <v>0.31415343914999999</v>
      </c>
      <c r="S1007" s="2">
        <v>0.29899373875448298</v>
      </c>
      <c r="T1007" s="2">
        <v>12.8595283072444</v>
      </c>
      <c r="U1007" s="2">
        <v>6.46694552290987</v>
      </c>
      <c r="V1007" s="2">
        <v>0</v>
      </c>
      <c r="W1007" s="2">
        <v>0</v>
      </c>
      <c r="X1007" s="2">
        <v>1.46975828826666</v>
      </c>
      <c r="Y1007" s="2">
        <v>0.32340968960612199</v>
      </c>
      <c r="Z1007" s="7">
        <v>14.529681763649201</v>
      </c>
      <c r="AA1007" s="2">
        <v>2.72757299845096</v>
      </c>
      <c r="AB1007" s="7">
        <v>0</v>
      </c>
      <c r="AC1007" s="2">
        <v>0</v>
      </c>
      <c r="AD1007" s="2">
        <v>298.75347961567797</v>
      </c>
      <c r="AE1007" s="2">
        <v>187.23135042949801</v>
      </c>
      <c r="AF1007" s="2">
        <v>0</v>
      </c>
      <c r="AG1007" s="2">
        <v>0</v>
      </c>
      <c r="AH1007" s="2">
        <v>22.507362449342502</v>
      </c>
      <c r="AI1007" s="2">
        <v>19.921596439849999</v>
      </c>
      <c r="AJ1007" s="2">
        <v>0</v>
      </c>
      <c r="AK1007" s="2">
        <v>0</v>
      </c>
      <c r="AL1007" s="2">
        <v>44.1934282443736</v>
      </c>
      <c r="AM1007" s="2">
        <v>1.7485802917163</v>
      </c>
      <c r="AN1007"/>
      <c r="AO1007"/>
    </row>
    <row r="1008" spans="1:41" ht="15.75" hidden="1" customHeight="1" x14ac:dyDescent="0.45">
      <c r="A1008" s="2" t="s">
        <v>193</v>
      </c>
      <c r="B1008" s="2" t="s">
        <v>194</v>
      </c>
      <c r="C1008" s="2">
        <v>3.0000000000000001E-3</v>
      </c>
      <c r="D1008" s="2"/>
      <c r="E1008" s="2" t="s">
        <v>83</v>
      </c>
      <c r="F1008" s="2" t="s">
        <v>84</v>
      </c>
      <c r="H1008" s="2">
        <v>1.1599999999999999</v>
      </c>
      <c r="J1008" s="2">
        <v>1.1606335400000001</v>
      </c>
      <c r="K1008" s="2">
        <v>37.819258802222201</v>
      </c>
      <c r="L1008" s="2"/>
      <c r="M1008" s="2">
        <v>7.5000486232179302</v>
      </c>
      <c r="N1008" s="2">
        <v>266.166666666666</v>
      </c>
      <c r="O1008" s="2">
        <v>34.588051886935297</v>
      </c>
      <c r="P1008" s="2">
        <v>35.386984538888797</v>
      </c>
      <c r="Q1008" s="2">
        <v>2.9837389289533598</v>
      </c>
      <c r="R1008" s="2">
        <v>3.2985525956111101</v>
      </c>
      <c r="S1008" s="2">
        <v>0.81262762203205896</v>
      </c>
      <c r="T1008" s="2">
        <v>3.7994155036666601</v>
      </c>
      <c r="U1008" s="2">
        <v>0.60097537839353599</v>
      </c>
      <c r="V1008" s="2">
        <v>0.30245703233333299</v>
      </c>
      <c r="W1008" s="2">
        <v>0.32394541523739301</v>
      </c>
      <c r="X1008" s="2">
        <v>3.5755461364999999</v>
      </c>
      <c r="Y1008" s="2">
        <v>0.53051222295148004</v>
      </c>
      <c r="Z1008" s="7">
        <v>95.4382470119522</v>
      </c>
      <c r="AA1008" s="2">
        <v>12.4020903180246</v>
      </c>
      <c r="AB1008" s="7">
        <v>94.737106156976694</v>
      </c>
      <c r="AC1008" s="2">
        <v>18.7875946040099</v>
      </c>
      <c r="AD1008" s="2">
        <v>85.815737570577795</v>
      </c>
      <c r="AE1008" s="2">
        <v>13.5739682350685</v>
      </c>
      <c r="AF1008" s="2">
        <v>104.64588322422</v>
      </c>
      <c r="AG1008" s="2">
        <v>8.82346997347795</v>
      </c>
      <c r="AH1008" s="2">
        <v>88.307428913425397</v>
      </c>
      <c r="AI1008" s="2">
        <v>21.755316577690301</v>
      </c>
      <c r="AJ1008" s="2">
        <v>64.311685480723</v>
      </c>
      <c r="AK1008" s="2">
        <v>68.880777864371893</v>
      </c>
      <c r="AL1008" s="2">
        <v>106.195247693092</v>
      </c>
      <c r="AM1008" s="2">
        <v>15.7564396513962</v>
      </c>
      <c r="AN1008"/>
      <c r="AO1008"/>
    </row>
    <row r="1009" spans="1:41" ht="15.75" hidden="1" customHeight="1" x14ac:dyDescent="0.45">
      <c r="A1009" s="2" t="s">
        <v>193</v>
      </c>
      <c r="B1009" s="2" t="s">
        <v>194</v>
      </c>
      <c r="C1009" s="2">
        <v>0.01</v>
      </c>
      <c r="D1009" s="2"/>
      <c r="E1009" s="2" t="s">
        <v>83</v>
      </c>
      <c r="F1009" s="2" t="s">
        <v>84</v>
      </c>
      <c r="H1009" s="2">
        <v>1.1599999999999999</v>
      </c>
      <c r="J1009" s="2">
        <v>1.1606335400000001</v>
      </c>
      <c r="K1009" s="2">
        <v>38.904727504444402</v>
      </c>
      <c r="L1009" s="2"/>
      <c r="M1009" s="2">
        <v>3.8157331354266599</v>
      </c>
      <c r="N1009" s="2">
        <v>304.83333333333297</v>
      </c>
      <c r="O1009" s="2">
        <v>6.0621778264934703</v>
      </c>
      <c r="P1009" s="2">
        <v>32.787629433333301</v>
      </c>
      <c r="Q1009" s="2">
        <v>0.45416850200223502</v>
      </c>
      <c r="R1009" s="2">
        <v>3.1715986337777702</v>
      </c>
      <c r="S1009" s="2">
        <v>0.54253598702600303</v>
      </c>
      <c r="T1009" s="2">
        <v>3.5593011678333299</v>
      </c>
      <c r="U1009" s="2">
        <v>0.80749480385787697</v>
      </c>
      <c r="V1009" s="2">
        <v>0.43169855238888799</v>
      </c>
      <c r="W1009" s="2">
        <v>7.8444848328395794E-2</v>
      </c>
      <c r="X1009" s="2">
        <v>3.29513913383333</v>
      </c>
      <c r="Y1009" s="2">
        <v>0.198969590772028</v>
      </c>
      <c r="Z1009" s="7">
        <v>109.30278884462101</v>
      </c>
      <c r="AA1009" s="2">
        <v>2.1736892604956601</v>
      </c>
      <c r="AB1009" s="7">
        <v>97.456201319848006</v>
      </c>
      <c r="AC1009" s="2">
        <v>9.5583976673907696</v>
      </c>
      <c r="AD1009" s="2">
        <v>80.392380001256598</v>
      </c>
      <c r="AE1009" s="2">
        <v>18.238532245446201</v>
      </c>
      <c r="AF1009" s="2">
        <v>96.959107581178003</v>
      </c>
      <c r="AG1009" s="2">
        <v>1.3430605812827801</v>
      </c>
      <c r="AH1009" s="2">
        <v>84.908672145141196</v>
      </c>
      <c r="AI1009" s="2">
        <v>14.5245396938707</v>
      </c>
      <c r="AJ1009" s="2">
        <v>91.792415304532199</v>
      </c>
      <c r="AK1009" s="2">
        <v>16.679792082727499</v>
      </c>
      <c r="AL1009" s="2">
        <v>97.867039926707804</v>
      </c>
      <c r="AM1009" s="2">
        <v>5.9094818438315304</v>
      </c>
      <c r="AN1009"/>
      <c r="AO1009"/>
    </row>
    <row r="1010" spans="1:41" ht="15.75" hidden="1" customHeight="1" x14ac:dyDescent="0.45">
      <c r="A1010" s="2" t="s">
        <v>193</v>
      </c>
      <c r="B1010" s="2" t="s">
        <v>194</v>
      </c>
      <c r="C1010" s="2">
        <v>0.03</v>
      </c>
      <c r="D1010" s="2"/>
      <c r="E1010" s="2" t="s">
        <v>83</v>
      </c>
      <c r="F1010" s="2" t="s">
        <v>84</v>
      </c>
      <c r="H1010" s="2">
        <v>1.1599999999999999</v>
      </c>
      <c r="J1010" s="2">
        <v>1.1606335400000001</v>
      </c>
      <c r="K1010" s="2">
        <v>35.034509136111097</v>
      </c>
      <c r="L1010" s="2"/>
      <c r="M1010" s="2">
        <v>3.3734699031058399</v>
      </c>
      <c r="N1010" s="2">
        <v>253.333333333333</v>
      </c>
      <c r="O1010" s="2">
        <v>43.714985988788897</v>
      </c>
      <c r="P1010" s="2">
        <v>35.660805964999902</v>
      </c>
      <c r="Q1010" s="2">
        <v>0.81725193492737802</v>
      </c>
      <c r="R1010" s="2">
        <v>3.9106602796111098</v>
      </c>
      <c r="S1010" s="2">
        <v>0.61130160533311295</v>
      </c>
      <c r="T1010" s="2">
        <v>4.5622724187777699</v>
      </c>
      <c r="U1010" s="2">
        <v>0.84386909880314498</v>
      </c>
      <c r="V1010" s="2">
        <v>0.441704620055555</v>
      </c>
      <c r="W1010" s="2">
        <v>0.213151470823668</v>
      </c>
      <c r="X1010" s="2">
        <v>3.8395141461111102</v>
      </c>
      <c r="Y1010" s="2">
        <v>0.92247725223675103</v>
      </c>
      <c r="Z1010" s="7">
        <v>90.836653386454202</v>
      </c>
      <c r="AA1010" s="2">
        <v>15.674696171278899</v>
      </c>
      <c r="AB1010" s="7">
        <v>87.761318341603797</v>
      </c>
      <c r="AC1010" s="2">
        <v>8.4505298741900603</v>
      </c>
      <c r="AD1010" s="2">
        <v>103.046053330435</v>
      </c>
      <c r="AE1010" s="2">
        <v>19.060102549174601</v>
      </c>
      <c r="AF1010" s="2">
        <v>105.45562401887901</v>
      </c>
      <c r="AG1010" s="2">
        <v>2.4167657024630902</v>
      </c>
      <c r="AH1010" s="2">
        <v>104.694512103826</v>
      </c>
      <c r="AI1010" s="2">
        <v>16.365503199628499</v>
      </c>
      <c r="AJ1010" s="2">
        <v>93.920013633832397</v>
      </c>
      <c r="AK1010" s="2">
        <v>45.322571095843401</v>
      </c>
      <c r="AL1010" s="2">
        <v>114.035210343145</v>
      </c>
      <c r="AM1010" s="2">
        <v>27.397968464872701</v>
      </c>
      <c r="AN1010"/>
      <c r="AO1010"/>
    </row>
    <row r="1011" spans="1:41" ht="15.75" hidden="1" customHeight="1" x14ac:dyDescent="0.45">
      <c r="A1011" s="2" t="s">
        <v>193</v>
      </c>
      <c r="B1011" s="2" t="s">
        <v>194</v>
      </c>
      <c r="C1011" s="2">
        <v>0.1</v>
      </c>
      <c r="D1011" s="2"/>
      <c r="E1011" s="2" t="s">
        <v>83</v>
      </c>
      <c r="F1011" s="2" t="s">
        <v>84</v>
      </c>
      <c r="H1011" s="2">
        <v>1.1599999999999999</v>
      </c>
      <c r="J1011" s="2">
        <v>1.1606335400000001</v>
      </c>
      <c r="K1011" s="2">
        <v>42.681487702666601</v>
      </c>
      <c r="L1011" s="2"/>
      <c r="M1011" s="2">
        <v>4.9693373826363496</v>
      </c>
      <c r="N1011" s="2">
        <v>280.61111111111097</v>
      </c>
      <c r="O1011" s="2">
        <v>17.7797741934586</v>
      </c>
      <c r="P1011" s="2">
        <v>36.9092742118888</v>
      </c>
      <c r="Q1011" s="2">
        <v>0.122588906679961</v>
      </c>
      <c r="R1011" s="2">
        <v>4.7432095601333302</v>
      </c>
      <c r="S1011" s="2">
        <v>0.67166172277691205</v>
      </c>
      <c r="T1011" s="2">
        <v>6.6336510359333296</v>
      </c>
      <c r="U1011" s="2">
        <v>3.0772120779686398</v>
      </c>
      <c r="V1011" s="2">
        <v>0.812859680366666</v>
      </c>
      <c r="W1011" s="2">
        <v>0.32057537721415003</v>
      </c>
      <c r="X1011" s="2">
        <v>3.4754763184666602</v>
      </c>
      <c r="Y1011" s="2">
        <v>0.81620435495406896</v>
      </c>
      <c r="Z1011" s="7">
        <v>100.617529880478</v>
      </c>
      <c r="AA1011" s="2">
        <v>6.3752178382919604</v>
      </c>
      <c r="AB1011" s="7">
        <v>106.916971920867</v>
      </c>
      <c r="AC1011" s="2">
        <v>12.448172123378299</v>
      </c>
      <c r="AD1011" s="2">
        <v>149.831376927599</v>
      </c>
      <c r="AE1011" s="2">
        <v>69.503644409810605</v>
      </c>
      <c r="AF1011" s="2">
        <v>109.147576415374</v>
      </c>
      <c r="AG1011" s="2">
        <v>0.36251815689235001</v>
      </c>
      <c r="AH1011" s="2">
        <v>126.98316273939901</v>
      </c>
      <c r="AI1011" s="2">
        <v>17.981438257770801</v>
      </c>
      <c r="AJ1011" s="2">
        <v>172.839016836246</v>
      </c>
      <c r="AK1011" s="2">
        <v>68.164203930755903</v>
      </c>
      <c r="AL1011" s="2">
        <v>103.223131348634</v>
      </c>
      <c r="AM1011" s="2">
        <v>24.241618016813899</v>
      </c>
      <c r="AN1011"/>
      <c r="AO1011"/>
    </row>
    <row r="1012" spans="1:41" ht="15.75" hidden="1" customHeight="1" x14ac:dyDescent="0.45">
      <c r="A1012" s="2" t="s">
        <v>193</v>
      </c>
      <c r="B1012" s="2" t="s">
        <v>194</v>
      </c>
      <c r="C1012" s="2">
        <v>0.3</v>
      </c>
      <c r="D1012" s="2"/>
      <c r="E1012" s="2" t="s">
        <v>83</v>
      </c>
      <c r="F1012" s="2" t="s">
        <v>84</v>
      </c>
      <c r="H1012" s="2">
        <v>1.1599999999999999</v>
      </c>
      <c r="J1012" s="2">
        <v>1.1606335400000001</v>
      </c>
      <c r="K1012" s="2">
        <v>36.985443127666599</v>
      </c>
      <c r="L1012" s="2"/>
      <c r="M1012" s="2">
        <v>3.4229020085258099</v>
      </c>
      <c r="N1012" s="2">
        <v>226.17777777777701</v>
      </c>
      <c r="O1012" s="2">
        <v>6.69911547505653</v>
      </c>
      <c r="P1012" s="2">
        <v>41.157633367888799</v>
      </c>
      <c r="Q1012" s="2">
        <v>1.74389496358507</v>
      </c>
      <c r="R1012" s="2">
        <v>3.5105254935555501</v>
      </c>
      <c r="S1012" s="2">
        <v>0.58163428085799296</v>
      </c>
      <c r="T1012" s="2">
        <v>3.41442192938888</v>
      </c>
      <c r="U1012" s="2">
        <v>1.04971738127754</v>
      </c>
      <c r="V1012" s="2">
        <v>0.54193482018888794</v>
      </c>
      <c r="W1012" s="2">
        <v>0.297889970044111</v>
      </c>
      <c r="X1012" s="2">
        <v>3.6265367820999899</v>
      </c>
      <c r="Y1012" s="2">
        <v>0.32378813818441898</v>
      </c>
      <c r="Z1012" s="7">
        <v>81.099601593625493</v>
      </c>
      <c r="AA1012" s="2">
        <v>2.4020732779087099</v>
      </c>
      <c r="AB1012" s="7">
        <v>92.648400915850203</v>
      </c>
      <c r="AC1012" s="2">
        <v>8.5743571190132499</v>
      </c>
      <c r="AD1012" s="2">
        <v>77.120055957262096</v>
      </c>
      <c r="AE1012" s="2">
        <v>23.7095077461396</v>
      </c>
      <c r="AF1012" s="2">
        <v>121.710763189448</v>
      </c>
      <c r="AG1012" s="2">
        <v>5.1570211786222799</v>
      </c>
      <c r="AH1012" s="2">
        <v>93.982276008999406</v>
      </c>
      <c r="AI1012" s="2">
        <v>15.571262370901399</v>
      </c>
      <c r="AJ1012" s="2">
        <v>115.23204283982101</v>
      </c>
      <c r="AK1012" s="2">
        <v>63.340587301092697</v>
      </c>
      <c r="AL1012" s="2">
        <v>107.709691650127</v>
      </c>
      <c r="AM1012" s="2">
        <v>9.6166460232667603</v>
      </c>
      <c r="AN1012"/>
      <c r="AO1012"/>
    </row>
    <row r="1013" spans="1:41" ht="15.75" hidden="1" customHeight="1" x14ac:dyDescent="0.45">
      <c r="A1013" s="2" t="s">
        <v>193</v>
      </c>
      <c r="B1013" s="2" t="s">
        <v>194</v>
      </c>
      <c r="C1013" s="2">
        <v>1</v>
      </c>
      <c r="D1013" s="2"/>
      <c r="E1013" s="2" t="s">
        <v>83</v>
      </c>
      <c r="F1013" s="2" t="s">
        <v>84</v>
      </c>
      <c r="H1013" s="2">
        <v>1.1599999999999999</v>
      </c>
      <c r="J1013" s="2">
        <v>1.1606335400000001</v>
      </c>
      <c r="K1013" s="2">
        <v>29.459948604444399</v>
      </c>
      <c r="L1013" s="2"/>
      <c r="M1013" s="2">
        <v>3.7928272071498501</v>
      </c>
      <c r="N1013" s="2">
        <v>168.555555555555</v>
      </c>
      <c r="O1013" s="2">
        <v>7.6998075974032698</v>
      </c>
      <c r="P1013" s="2">
        <v>49.316515606111103</v>
      </c>
      <c r="Q1013" s="2">
        <v>3.0262315721850599</v>
      </c>
      <c r="R1013" s="2">
        <v>3.3779839460000001</v>
      </c>
      <c r="S1013" s="2">
        <v>0.58036112485279301</v>
      </c>
      <c r="T1013" s="2">
        <v>2.5964353491666601</v>
      </c>
      <c r="U1013" s="2">
        <v>0.28764463758941899</v>
      </c>
      <c r="V1013" s="2">
        <v>0.45418585961111102</v>
      </c>
      <c r="W1013" s="2">
        <v>0.12715585894707901</v>
      </c>
      <c r="X1013" s="2">
        <v>4.1970271629999996</v>
      </c>
      <c r="Y1013" s="2">
        <v>0.71609205495214701</v>
      </c>
      <c r="Z1013" s="7">
        <v>60.4382470119522</v>
      </c>
      <c r="AA1013" s="2">
        <v>2.7608871863198998</v>
      </c>
      <c r="AB1013" s="7">
        <v>73.797064424603093</v>
      </c>
      <c r="AC1013" s="2">
        <v>9.5010184001203104</v>
      </c>
      <c r="AD1013" s="2">
        <v>58.644550544163401</v>
      </c>
      <c r="AE1013" s="2">
        <v>6.4969037235163203</v>
      </c>
      <c r="AF1013" s="2">
        <v>145.838092744835</v>
      </c>
      <c r="AG1013" s="2">
        <v>8.9491286086924209</v>
      </c>
      <c r="AH1013" s="2">
        <v>90.433930803162497</v>
      </c>
      <c r="AI1013" s="2">
        <v>15.5371779868675</v>
      </c>
      <c r="AJ1013" s="2">
        <v>96.573909780713194</v>
      </c>
      <c r="AK1013" s="2">
        <v>27.0372540011677</v>
      </c>
      <c r="AL1013" s="2">
        <v>124.65349967088</v>
      </c>
      <c r="AM1013" s="2">
        <v>21.268239939741701</v>
      </c>
      <c r="AN1013"/>
      <c r="AO1013"/>
    </row>
    <row r="1014" spans="1:41" ht="15.75" hidden="1" customHeight="1" x14ac:dyDescent="0.45">
      <c r="A1014" s="2" t="s">
        <v>193</v>
      </c>
      <c r="B1014" s="2" t="s">
        <v>194</v>
      </c>
      <c r="C1014" s="2">
        <v>3</v>
      </c>
      <c r="D1014" s="2"/>
      <c r="E1014" s="2" t="s">
        <v>83</v>
      </c>
      <c r="F1014" s="2" t="s">
        <v>84</v>
      </c>
      <c r="H1014" s="2">
        <v>1.1599999999999999</v>
      </c>
      <c r="J1014" s="2">
        <v>1.1606335400000001</v>
      </c>
      <c r="K1014" s="2">
        <v>1.98386960011111</v>
      </c>
      <c r="L1014" s="2"/>
      <c r="M1014" s="2">
        <v>1.80965809344517</v>
      </c>
      <c r="N1014" s="2">
        <v>41.5555555555555</v>
      </c>
      <c r="O1014" s="2">
        <v>24.833519760672299</v>
      </c>
      <c r="P1014" s="2">
        <v>20.203705578333299</v>
      </c>
      <c r="Q1014" s="2">
        <v>17.6992126813984</v>
      </c>
      <c r="R1014" s="2">
        <v>9.8985672042777697</v>
      </c>
      <c r="S1014" s="2">
        <v>11.6321067526349</v>
      </c>
      <c r="T1014" s="2">
        <v>11.070778638</v>
      </c>
      <c r="U1014" s="2">
        <v>1.96108635108782</v>
      </c>
      <c r="V1014" s="2">
        <v>0.12626262627777701</v>
      </c>
      <c r="W1014" s="2">
        <v>0.21869328381019201</v>
      </c>
      <c r="X1014" s="2">
        <v>5.0897871726111097</v>
      </c>
      <c r="Y1014" s="2">
        <v>2.3087758937113998</v>
      </c>
      <c r="Z1014" s="7">
        <v>14.900398406374499</v>
      </c>
      <c r="AA1014" s="2">
        <v>8.9044493165757395</v>
      </c>
      <c r="AB1014" s="7">
        <v>4.9695861542448201</v>
      </c>
      <c r="AC1014" s="2">
        <v>4.5331869617834304</v>
      </c>
      <c r="AD1014" s="2">
        <v>250.050838973445</v>
      </c>
      <c r="AE1014" s="2">
        <v>44.294200383133202</v>
      </c>
      <c r="AF1014" s="2">
        <v>59.746108412355298</v>
      </c>
      <c r="AG1014" s="2">
        <v>52.339857932309002</v>
      </c>
      <c r="AH1014" s="2">
        <v>265.00017641058002</v>
      </c>
      <c r="AI1014" s="2">
        <v>311.409750306371</v>
      </c>
      <c r="AJ1014" s="2">
        <v>26.847325210138901</v>
      </c>
      <c r="AK1014" s="2">
        <v>46.500931311285498</v>
      </c>
      <c r="AL1014" s="2">
        <v>151.16885333485001</v>
      </c>
      <c r="AM1014" s="2">
        <v>68.571630330163501</v>
      </c>
      <c r="AN1014"/>
      <c r="AO1014"/>
    </row>
    <row r="1015" spans="1:41" ht="15.75" hidden="1" customHeight="1" x14ac:dyDescent="0.45">
      <c r="A1015" s="2" t="s">
        <v>193</v>
      </c>
      <c r="B1015" s="2" t="s">
        <v>194</v>
      </c>
      <c r="C1015" s="2">
        <v>10</v>
      </c>
      <c r="D1015" s="2"/>
      <c r="E1015" s="2" t="s">
        <v>83</v>
      </c>
      <c r="F1015" s="2" t="s">
        <v>84</v>
      </c>
      <c r="H1015" s="2">
        <v>1.1599999999999999</v>
      </c>
      <c r="J1015" s="2">
        <v>1.1606335400000001</v>
      </c>
      <c r="K1015" s="2">
        <v>0</v>
      </c>
      <c r="L1015" s="2"/>
      <c r="M1015" s="2">
        <v>0</v>
      </c>
      <c r="N1015" s="2">
        <v>27.9444444444444</v>
      </c>
      <c r="O1015" s="2">
        <v>9.0159323997597198</v>
      </c>
      <c r="P1015" s="2">
        <v>0.466200466222222</v>
      </c>
      <c r="Q1015" s="2">
        <v>0.40792540795238003</v>
      </c>
      <c r="R1015" s="2">
        <v>34.130664702222198</v>
      </c>
      <c r="S1015" s="2">
        <v>14.2517285697906</v>
      </c>
      <c r="T1015" s="2">
        <v>11.6717216526666</v>
      </c>
      <c r="U1015" s="2">
        <v>9.7133672434365099</v>
      </c>
      <c r="V1015" s="2">
        <v>0</v>
      </c>
      <c r="W1015" s="2">
        <v>0</v>
      </c>
      <c r="X1015" s="2">
        <v>0.50505050505555504</v>
      </c>
      <c r="Y1015" s="2">
        <v>0.87477313514454402</v>
      </c>
      <c r="Z1015" s="7">
        <v>13.1176042334481</v>
      </c>
      <c r="AA1015" s="2">
        <v>4.2322341834597799</v>
      </c>
      <c r="AB1015" s="7">
        <v>0</v>
      </c>
      <c r="AC1015" s="2">
        <v>0</v>
      </c>
      <c r="AD1015" s="2">
        <v>299.05740011505497</v>
      </c>
      <c r="AE1015" s="2">
        <v>248.87968036156701</v>
      </c>
      <c r="AF1015" s="2">
        <v>1.34617737143673</v>
      </c>
      <c r="AG1015" s="2">
        <v>1.1779052000300501</v>
      </c>
      <c r="AH1015" s="2">
        <v>1144.9723650529199</v>
      </c>
      <c r="AI1015" s="2">
        <v>478.09896200419001</v>
      </c>
      <c r="AJ1015" s="2">
        <v>0</v>
      </c>
      <c r="AK1015" s="2">
        <v>0</v>
      </c>
      <c r="AL1015" s="2">
        <v>14.055798537901</v>
      </c>
      <c r="AM1015" s="2">
        <v>24.345357208596901</v>
      </c>
      <c r="AN1015"/>
      <c r="AO1015"/>
    </row>
    <row r="1016" spans="1:41" ht="15.75" hidden="1" customHeight="1" x14ac:dyDescent="0.45">
      <c r="A1016" s="2" t="s">
        <v>193</v>
      </c>
      <c r="B1016" s="2" t="s">
        <v>194</v>
      </c>
      <c r="C1016" s="2">
        <v>3.0000000000000001E-3</v>
      </c>
      <c r="D1016" s="2"/>
      <c r="E1016" s="2" t="s">
        <v>85</v>
      </c>
      <c r="F1016" s="2" t="s">
        <v>84</v>
      </c>
      <c r="G1016" s="2" t="s">
        <v>86</v>
      </c>
      <c r="H1016" s="2">
        <v>1.4</v>
      </c>
      <c r="I1016" s="2">
        <v>3539</v>
      </c>
      <c r="J1016" s="2">
        <v>1.4</v>
      </c>
      <c r="K1016" s="2">
        <v>4.9383247841277704</v>
      </c>
      <c r="L1016" s="2"/>
      <c r="M1016" s="2">
        <v>0.47603229274100101</v>
      </c>
      <c r="N1016" s="2">
        <v>144.944444444444</v>
      </c>
      <c r="O1016" s="2">
        <v>7.1673126323865999</v>
      </c>
      <c r="P1016" s="2">
        <v>0.15798079128222201</v>
      </c>
      <c r="Q1016" s="2">
        <v>7.2430626300135595E-2</v>
      </c>
      <c r="R1016" s="2">
        <v>0.25543345543333301</v>
      </c>
      <c r="S1016" s="2">
        <v>0.44242372276341302</v>
      </c>
      <c r="T1016" s="2">
        <v>11.059043288138801</v>
      </c>
      <c r="U1016" s="2">
        <v>6.1273078499215101</v>
      </c>
      <c r="V1016" s="2">
        <v>0</v>
      </c>
      <c r="W1016" s="2">
        <v>0</v>
      </c>
      <c r="X1016" s="2">
        <v>0.47263036258500002</v>
      </c>
      <c r="Y1016" s="2">
        <v>0.41383672422165901</v>
      </c>
      <c r="Z1016" s="7">
        <v>93.989171252807196</v>
      </c>
      <c r="AA1016" s="2">
        <v>8.1663575751619693</v>
      </c>
      <c r="AB1016" s="7">
        <v>119.284090115975</v>
      </c>
      <c r="AC1016" s="2">
        <v>19.913235654591499</v>
      </c>
      <c r="AD1016" s="2">
        <v>132.783827317782</v>
      </c>
      <c r="AE1016" s="2">
        <v>28.188068517169601</v>
      </c>
      <c r="AF1016" s="2">
        <v>68.149608562050503</v>
      </c>
      <c r="AG1016" s="2">
        <v>18.368675845800301</v>
      </c>
      <c r="AH1016" s="2">
        <v>122.037523606414</v>
      </c>
      <c r="AI1016" s="2">
        <v>211.37519131619601</v>
      </c>
      <c r="AJ1016" s="2">
        <v>0</v>
      </c>
      <c r="AK1016" s="2">
        <v>0</v>
      </c>
      <c r="AL1016" s="2">
        <v>126.72145770944</v>
      </c>
      <c r="AM1016" s="2">
        <v>127.708267071771</v>
      </c>
      <c r="AN1016"/>
      <c r="AO1016"/>
    </row>
    <row r="1017" spans="1:41" ht="15.75" hidden="1" customHeight="1" x14ac:dyDescent="0.45">
      <c r="A1017" s="2" t="s">
        <v>193</v>
      </c>
      <c r="B1017" s="2" t="s">
        <v>194</v>
      </c>
      <c r="C1017" s="2">
        <v>0.01</v>
      </c>
      <c r="D1017" s="2"/>
      <c r="E1017" s="2" t="s">
        <v>85</v>
      </c>
      <c r="F1017" s="2" t="s">
        <v>84</v>
      </c>
      <c r="G1017" s="2" t="s">
        <v>86</v>
      </c>
      <c r="H1017" s="2">
        <v>1.4</v>
      </c>
      <c r="I1017" s="2">
        <v>3539</v>
      </c>
      <c r="J1017" s="2">
        <v>1.4</v>
      </c>
      <c r="K1017" s="2">
        <v>4.3820059632472201</v>
      </c>
      <c r="L1017" s="2"/>
      <c r="M1017" s="2">
        <v>0.30043884504192803</v>
      </c>
      <c r="N1017" s="2">
        <v>143.333333333333</v>
      </c>
      <c r="O1017" s="2">
        <v>5.3644923131439901</v>
      </c>
      <c r="P1017" s="2">
        <v>0.166128405242222</v>
      </c>
      <c r="Q1017" s="2">
        <v>0.17914502279929401</v>
      </c>
      <c r="R1017" s="2">
        <v>0.33256603442555499</v>
      </c>
      <c r="S1017" s="2">
        <v>0.35878154945455099</v>
      </c>
      <c r="T1017" s="2">
        <v>5.4709603575666597</v>
      </c>
      <c r="U1017" s="2">
        <v>1.4265190658970901</v>
      </c>
      <c r="V1017" s="2">
        <v>0</v>
      </c>
      <c r="W1017" s="2">
        <v>0</v>
      </c>
      <c r="X1017" s="2">
        <v>0.34997115518444399</v>
      </c>
      <c r="Y1017" s="2">
        <v>0.146792512314256</v>
      </c>
      <c r="Z1017" s="7">
        <v>92.960327527850893</v>
      </c>
      <c r="AA1017" s="2">
        <v>7.7195863471423101</v>
      </c>
      <c r="AB1017" s="7">
        <v>105.271536117794</v>
      </c>
      <c r="AC1017" s="2">
        <v>7.8693395508873101</v>
      </c>
      <c r="AD1017" s="2">
        <v>73.564921186711899</v>
      </c>
      <c r="AE1017" s="2">
        <v>32.876109662426202</v>
      </c>
      <c r="AF1017" s="2">
        <v>108.279472799484</v>
      </c>
      <c r="AG1017" s="2">
        <v>139.75666439697801</v>
      </c>
      <c r="AH1017" s="2">
        <v>130.31209284964399</v>
      </c>
      <c r="AI1017" s="2">
        <v>127.509345311769</v>
      </c>
      <c r="AJ1017" s="2">
        <v>0</v>
      </c>
      <c r="AK1017" s="2">
        <v>0</v>
      </c>
      <c r="AL1017" s="2">
        <v>95.593754334531596</v>
      </c>
      <c r="AM1017" s="2">
        <v>53.3306735165596</v>
      </c>
      <c r="AN1017"/>
      <c r="AO1017"/>
    </row>
    <row r="1018" spans="1:41" ht="15.75" hidden="1" customHeight="1" x14ac:dyDescent="0.45">
      <c r="A1018" s="2" t="s">
        <v>193</v>
      </c>
      <c r="B1018" s="2" t="s">
        <v>194</v>
      </c>
      <c r="C1018" s="2">
        <v>0.03</v>
      </c>
      <c r="D1018" s="2"/>
      <c r="E1018" s="2" t="s">
        <v>85</v>
      </c>
      <c r="F1018" s="2" t="s">
        <v>84</v>
      </c>
      <c r="G1018" s="2" t="s">
        <v>86</v>
      </c>
      <c r="H1018" s="2">
        <v>1.4</v>
      </c>
      <c r="I1018" s="2">
        <v>3539</v>
      </c>
      <c r="J1018" s="2">
        <v>1.4</v>
      </c>
      <c r="K1018" s="2">
        <v>4.9434420355333302</v>
      </c>
      <c r="L1018" s="2"/>
      <c r="M1018" s="2">
        <v>1.23609363640465</v>
      </c>
      <c r="N1018" s="2">
        <v>149.555555555555</v>
      </c>
      <c r="O1018" s="2">
        <v>21.5846739180406</v>
      </c>
      <c r="P1018" s="2">
        <v>0.134768009768333</v>
      </c>
      <c r="Q1018" s="2">
        <v>0.158279494904384</v>
      </c>
      <c r="R1018" s="2">
        <v>0.170623703166666</v>
      </c>
      <c r="S1018" s="2">
        <v>0.152590002970274</v>
      </c>
      <c r="T1018" s="2">
        <v>5.9090284617322197</v>
      </c>
      <c r="U1018" s="2">
        <v>1.20425737390194</v>
      </c>
      <c r="V1018" s="2">
        <v>0</v>
      </c>
      <c r="W1018" s="2">
        <v>0</v>
      </c>
      <c r="X1018" s="2">
        <v>0.223846161772777</v>
      </c>
      <c r="Y1018" s="2">
        <v>0.15079288098847801</v>
      </c>
      <c r="Z1018" s="7">
        <v>96.469397727177494</v>
      </c>
      <c r="AA1018" s="2">
        <v>9.7089801672402292</v>
      </c>
      <c r="AB1018" s="7">
        <v>117.50182206901</v>
      </c>
      <c r="AC1018" s="2">
        <v>19.895172429268399</v>
      </c>
      <c r="AD1018" s="2">
        <v>81.920469700995596</v>
      </c>
      <c r="AE1018" s="2">
        <v>38.1925462834241</v>
      </c>
      <c r="AF1018" s="2">
        <v>66.248050424688799</v>
      </c>
      <c r="AG1018" s="2">
        <v>63.922086356655399</v>
      </c>
      <c r="AH1018" s="2">
        <v>69.731267753438502</v>
      </c>
      <c r="AI1018" s="2">
        <v>60.391188985663099</v>
      </c>
      <c r="AJ1018" s="2">
        <v>0</v>
      </c>
      <c r="AK1018" s="2">
        <v>0</v>
      </c>
      <c r="AL1018" s="2">
        <v>63.022097712978898</v>
      </c>
      <c r="AM1018" s="2">
        <v>48.200684824574303</v>
      </c>
      <c r="AN1018"/>
      <c r="AO1018"/>
    </row>
    <row r="1019" spans="1:41" ht="15.75" hidden="1" customHeight="1" x14ac:dyDescent="0.45">
      <c r="A1019" s="2" t="s">
        <v>193</v>
      </c>
      <c r="B1019" s="2" t="s">
        <v>194</v>
      </c>
      <c r="C1019" s="2">
        <v>0.1</v>
      </c>
      <c r="D1019" s="2"/>
      <c r="E1019" s="2" t="s">
        <v>85</v>
      </c>
      <c r="F1019" s="2" t="s">
        <v>84</v>
      </c>
      <c r="G1019" s="2" t="s">
        <v>86</v>
      </c>
      <c r="H1019" s="2">
        <v>1.4</v>
      </c>
      <c r="I1019" s="2">
        <v>3539</v>
      </c>
      <c r="J1019" s="2">
        <v>1.4</v>
      </c>
      <c r="K1019" s="2">
        <v>4.6540496005833303</v>
      </c>
      <c r="L1019" s="2"/>
      <c r="M1019" s="2">
        <v>0.90826283332359603</v>
      </c>
      <c r="N1019" s="2">
        <v>146.666666666666</v>
      </c>
      <c r="O1019" s="2">
        <v>25.269107182047101</v>
      </c>
      <c r="P1019" s="2">
        <v>0.17742600860444399</v>
      </c>
      <c r="Q1019" s="2">
        <v>8.0306000959368601E-2</v>
      </c>
      <c r="R1019" s="2">
        <v>0.43242783571444399</v>
      </c>
      <c r="S1019" s="2">
        <v>0.28330609551198899</v>
      </c>
      <c r="T1019" s="2">
        <v>6.6736061195699996</v>
      </c>
      <c r="U1019" s="2">
        <v>1.8870948535593499</v>
      </c>
      <c r="V1019" s="2">
        <v>3.10366232155555E-2</v>
      </c>
      <c r="W1019" s="2">
        <v>5.3757008304713902E-2</v>
      </c>
      <c r="X1019" s="2">
        <v>0.64214468158722204</v>
      </c>
      <c r="Y1019" s="2">
        <v>0.49408083874120101</v>
      </c>
      <c r="Z1019" s="7">
        <v>94.837188721291</v>
      </c>
      <c r="AA1019" s="2">
        <v>15.361989776805499</v>
      </c>
      <c r="AB1019" s="7">
        <v>113.19986878384501</v>
      </c>
      <c r="AC1019" s="2">
        <v>31.509080519115201</v>
      </c>
      <c r="AD1019" s="2">
        <v>89.1551955466593</v>
      </c>
      <c r="AE1019" s="2">
        <v>36.251322763459299</v>
      </c>
      <c r="AF1019" s="2">
        <v>94.967472339322597</v>
      </c>
      <c r="AG1019" s="2">
        <v>85.332304528495399</v>
      </c>
      <c r="AH1019" s="2">
        <v>176.001020739003</v>
      </c>
      <c r="AI1019" s="2">
        <v>148.76799447479399</v>
      </c>
      <c r="AJ1019" s="2">
        <v>1166.48044693985</v>
      </c>
      <c r="AK1019" s="2">
        <v>0</v>
      </c>
      <c r="AL1019" s="2">
        <v>179.54909601102401</v>
      </c>
      <c r="AM1019" s="2">
        <v>155.49945897401</v>
      </c>
      <c r="AN1019"/>
      <c r="AO1019"/>
    </row>
    <row r="1020" spans="1:41" ht="15.75" hidden="1" customHeight="1" x14ac:dyDescent="0.45">
      <c r="A1020" s="2" t="s">
        <v>193</v>
      </c>
      <c r="B1020" s="2" t="s">
        <v>194</v>
      </c>
      <c r="C1020" s="2">
        <v>0.3</v>
      </c>
      <c r="D1020" s="2"/>
      <c r="E1020" s="2" t="s">
        <v>85</v>
      </c>
      <c r="F1020" s="2" t="s">
        <v>84</v>
      </c>
      <c r="G1020" s="2" t="s">
        <v>86</v>
      </c>
      <c r="H1020" s="2">
        <v>1.4</v>
      </c>
      <c r="I1020" s="2">
        <v>3539</v>
      </c>
      <c r="J1020" s="2">
        <v>1.4</v>
      </c>
      <c r="K1020" s="2">
        <v>4.5497158825333299</v>
      </c>
      <c r="L1020" s="2"/>
      <c r="M1020" s="2">
        <v>0.237482790810743</v>
      </c>
      <c r="N1020" s="2">
        <v>132.444444444444</v>
      </c>
      <c r="O1020" s="2">
        <v>13.0982752610721</v>
      </c>
      <c r="P1020" s="2">
        <v>0.200414563742222</v>
      </c>
      <c r="Q1020" s="2">
        <v>8.05312991694353E-2</v>
      </c>
      <c r="R1020" s="2">
        <v>0.219488987008333</v>
      </c>
      <c r="S1020" s="2">
        <v>0.189904188259711</v>
      </c>
      <c r="T1020" s="2">
        <v>8.7873750321777706</v>
      </c>
      <c r="U1020" s="2">
        <v>3.5139518411455901</v>
      </c>
      <c r="V1020" s="2">
        <v>0</v>
      </c>
      <c r="W1020" s="2">
        <v>0</v>
      </c>
      <c r="X1020" s="2">
        <v>0.113579494854444</v>
      </c>
      <c r="Y1020" s="2">
        <v>0.12603072809488899</v>
      </c>
      <c r="Z1020" s="7">
        <v>85.787169424236595</v>
      </c>
      <c r="AA1020" s="2">
        <v>8.9704150003830794</v>
      </c>
      <c r="AB1020" s="7">
        <v>109.723521298184</v>
      </c>
      <c r="AC1020" s="2">
        <v>13.243919703983501</v>
      </c>
      <c r="AD1020" s="2">
        <v>124.96161125594899</v>
      </c>
      <c r="AE1020" s="2">
        <v>69.814992288678496</v>
      </c>
      <c r="AF1020" s="2">
        <v>84.5568543610907</v>
      </c>
      <c r="AG1020" s="2">
        <v>14.150848764889901</v>
      </c>
      <c r="AH1020" s="2">
        <v>61.503272876953503</v>
      </c>
      <c r="AI1020" s="2">
        <v>28.662991784792698</v>
      </c>
      <c r="AJ1020" s="2">
        <v>0</v>
      </c>
      <c r="AK1020" s="2">
        <v>0</v>
      </c>
      <c r="AL1020" s="2">
        <v>25.094650279286299</v>
      </c>
      <c r="AM1020" s="2">
        <v>24.2540653438801</v>
      </c>
      <c r="AN1020"/>
      <c r="AO1020"/>
    </row>
    <row r="1021" spans="1:41" ht="15.75" hidden="1" customHeight="1" x14ac:dyDescent="0.45">
      <c r="A1021" s="2" t="s">
        <v>193</v>
      </c>
      <c r="B1021" s="2" t="s">
        <v>194</v>
      </c>
      <c r="C1021" s="2">
        <v>1</v>
      </c>
      <c r="D1021" s="2"/>
      <c r="E1021" s="2" t="s">
        <v>85</v>
      </c>
      <c r="F1021" s="2" t="s">
        <v>84</v>
      </c>
      <c r="G1021" s="2" t="s">
        <v>86</v>
      </c>
      <c r="H1021" s="2">
        <v>1.4</v>
      </c>
      <c r="I1021" s="2">
        <v>3539</v>
      </c>
      <c r="J1021" s="2">
        <v>1.4</v>
      </c>
      <c r="K1021" s="2">
        <v>6.1676270408944402</v>
      </c>
      <c r="L1021" s="2"/>
      <c r="M1021" s="2">
        <v>0.59158095251239595</v>
      </c>
      <c r="N1021" s="2">
        <v>105</v>
      </c>
      <c r="O1021" s="2">
        <v>3.7527767497328899</v>
      </c>
      <c r="P1021" s="2">
        <v>0.32267937812444403</v>
      </c>
      <c r="Q1021" s="2">
        <v>0.18808681757763601</v>
      </c>
      <c r="R1021" s="2">
        <v>4.6685340802777697E-2</v>
      </c>
      <c r="S1021" s="2">
        <v>8.0861382239079502E-2</v>
      </c>
      <c r="T1021" s="2">
        <v>12.6562309662133</v>
      </c>
      <c r="U1021" s="2">
        <v>10.363689287204499</v>
      </c>
      <c r="V1021" s="2">
        <v>5.1440329218333303E-2</v>
      </c>
      <c r="W1021" s="2">
        <v>8.9097263764223097E-2</v>
      </c>
      <c r="X1021" s="2">
        <v>0.35126471531944398</v>
      </c>
      <c r="Y1021" s="2">
        <v>0.18907267606183201</v>
      </c>
      <c r="Z1021" s="7">
        <v>67.965365194240306</v>
      </c>
      <c r="AA1021" s="2">
        <v>1.8896117419265299</v>
      </c>
      <c r="AB1021" s="7">
        <v>149.09397206339199</v>
      </c>
      <c r="AC1021" s="2">
        <v>24.590985120766401</v>
      </c>
      <c r="AD1021" s="2">
        <v>183.76802974989701</v>
      </c>
      <c r="AE1021" s="2">
        <v>161.15217102225699</v>
      </c>
      <c r="AF1021" s="2">
        <v>129.093437241017</v>
      </c>
      <c r="AG1021" s="2">
        <v>20.8242957993875</v>
      </c>
      <c r="AH1021" s="2">
        <v>16.689699783995799</v>
      </c>
      <c r="AI1021" s="2">
        <v>28.907407988951999</v>
      </c>
      <c r="AJ1021" s="2">
        <v>0</v>
      </c>
      <c r="AK1021" s="2">
        <v>0</v>
      </c>
      <c r="AL1021" s="2">
        <v>89.651222895917599</v>
      </c>
      <c r="AM1021" s="2">
        <v>54.101552574066702</v>
      </c>
      <c r="AN1021"/>
      <c r="AO1021"/>
    </row>
    <row r="1022" spans="1:41" ht="15.75" hidden="1" customHeight="1" x14ac:dyDescent="0.45">
      <c r="A1022" s="2" t="s">
        <v>193</v>
      </c>
      <c r="B1022" s="2" t="s">
        <v>194</v>
      </c>
      <c r="C1022" s="2">
        <v>3</v>
      </c>
      <c r="D1022" s="2"/>
      <c r="E1022" s="2" t="s">
        <v>85</v>
      </c>
      <c r="F1022" s="2" t="s">
        <v>84</v>
      </c>
      <c r="G1022" s="2" t="s">
        <v>86</v>
      </c>
      <c r="H1022" s="2">
        <v>1.4</v>
      </c>
      <c r="I1022" s="2">
        <v>3539</v>
      </c>
      <c r="J1022" s="2">
        <v>1.4</v>
      </c>
      <c r="K1022" s="2">
        <v>0.11111111111111099</v>
      </c>
      <c r="L1022" s="2"/>
      <c r="M1022" s="2">
        <v>0.19245008972987501</v>
      </c>
      <c r="N1022" s="2">
        <v>24.5555555555555</v>
      </c>
      <c r="O1022" s="2">
        <v>7.8463249241166997</v>
      </c>
      <c r="P1022" s="2">
        <v>0.11111111111111099</v>
      </c>
      <c r="Q1022" s="2">
        <v>0.19245008972987501</v>
      </c>
      <c r="R1022" s="2">
        <v>0.11111111111111099</v>
      </c>
      <c r="S1022" s="2">
        <v>0.19245008972987501</v>
      </c>
      <c r="T1022" s="2">
        <v>61.0726785286666</v>
      </c>
      <c r="U1022" s="2">
        <v>5.4438821455806803</v>
      </c>
      <c r="V1022" s="2">
        <v>0</v>
      </c>
      <c r="W1022" s="2">
        <v>0</v>
      </c>
      <c r="X1022" s="2">
        <v>0.87242798353888895</v>
      </c>
      <c r="Y1022" s="2">
        <v>0.559666999502756</v>
      </c>
      <c r="Z1022" s="7">
        <v>15.805191294734501</v>
      </c>
      <c r="AA1022" s="2">
        <v>4.5029634827302996</v>
      </c>
      <c r="AB1022" s="7">
        <v>2.8993701600236998</v>
      </c>
      <c r="AC1022" s="2">
        <v>5.0218564271101602</v>
      </c>
      <c r="AD1022" s="2">
        <v>826.02210381280304</v>
      </c>
      <c r="AE1022" s="2">
        <v>290.64897154266799</v>
      </c>
      <c r="AF1022" s="2">
        <v>45.857784144162601</v>
      </c>
      <c r="AG1022" s="2">
        <v>79.428012060216105</v>
      </c>
      <c r="AH1022" s="2">
        <v>53.085156062089098</v>
      </c>
      <c r="AI1022" s="2">
        <v>91.946187427261407</v>
      </c>
      <c r="AJ1022" s="2">
        <v>0</v>
      </c>
      <c r="AK1022" s="2">
        <v>0</v>
      </c>
      <c r="AL1022" s="2">
        <v>229.39526185418001</v>
      </c>
      <c r="AM1022" s="2">
        <v>175.34469497228599</v>
      </c>
      <c r="AN1022"/>
      <c r="AO1022"/>
    </row>
    <row r="1023" spans="1:41" ht="15.75" hidden="1" customHeight="1" x14ac:dyDescent="0.45">
      <c r="A1023" s="2" t="s">
        <v>195</v>
      </c>
      <c r="B1023" s="2" t="s">
        <v>196</v>
      </c>
      <c r="C1023" s="2">
        <v>3.0000000000000001E-3</v>
      </c>
      <c r="D1023" s="2"/>
      <c r="E1023" s="2" t="s">
        <v>109</v>
      </c>
      <c r="F1023" s="2" t="s">
        <v>84</v>
      </c>
      <c r="H1023" s="2">
        <v>1</v>
      </c>
      <c r="J1023" s="2">
        <v>1</v>
      </c>
      <c r="K1023" s="2">
        <v>42.9444444444444</v>
      </c>
      <c r="L1023" s="2"/>
      <c r="M1023" s="2">
        <v>2.5513250007121102</v>
      </c>
      <c r="N1023" s="2">
        <v>177.222222222222</v>
      </c>
      <c r="O1023" s="2">
        <v>26.428274701609102</v>
      </c>
      <c r="P1023" s="2">
        <v>24.4444444444444</v>
      </c>
      <c r="Q1023" s="2">
        <v>2.0838888148345101</v>
      </c>
      <c r="R1023" s="2">
        <v>2.2777777777777701</v>
      </c>
      <c r="S1023" s="2">
        <v>0.78763593770876705</v>
      </c>
      <c r="T1023" s="2">
        <v>3.9444444444444402</v>
      </c>
      <c r="U1023" s="2">
        <v>0.78763593770876295</v>
      </c>
      <c r="V1023" s="2">
        <v>0.66666666666666596</v>
      </c>
      <c r="W1023" s="2">
        <v>0.16666666666666699</v>
      </c>
      <c r="X1023" s="2">
        <v>2.1666666666666599</v>
      </c>
      <c r="Y1023" s="2">
        <v>0.44095855184409799</v>
      </c>
      <c r="Z1023" s="7">
        <v>123.440069652703</v>
      </c>
      <c r="AA1023" s="2">
        <v>18.408007918311501</v>
      </c>
      <c r="AB1023" s="7">
        <v>120.78125</v>
      </c>
      <c r="AC1023" s="2">
        <v>7.1756015645028199</v>
      </c>
      <c r="AD1023" s="2">
        <v>80.681818181818201</v>
      </c>
      <c r="AE1023" s="2">
        <v>16.1107350894974</v>
      </c>
      <c r="AF1023" s="2">
        <v>145.69536423841001</v>
      </c>
      <c r="AG1023" s="2">
        <v>12.4205293599407</v>
      </c>
      <c r="AH1023" s="2">
        <v>97.619047619047606</v>
      </c>
      <c r="AI1023" s="2">
        <v>33.7558259018043</v>
      </c>
      <c r="AJ1023" s="2">
        <v>109.09090909090899</v>
      </c>
      <c r="AK1023" s="2">
        <v>27.272727272727298</v>
      </c>
      <c r="AL1023" s="2">
        <v>96.296296296296205</v>
      </c>
      <c r="AM1023" s="2">
        <v>19.5981578597377</v>
      </c>
      <c r="AN1023"/>
      <c r="AO1023"/>
    </row>
    <row r="1024" spans="1:41" ht="15.75" hidden="1" customHeight="1" x14ac:dyDescent="0.45">
      <c r="A1024" s="2" t="s">
        <v>195</v>
      </c>
      <c r="B1024" s="2" t="s">
        <v>196</v>
      </c>
      <c r="C1024" s="2">
        <v>0.01</v>
      </c>
      <c r="D1024" s="2"/>
      <c r="E1024" s="2" t="s">
        <v>109</v>
      </c>
      <c r="F1024" s="2" t="s">
        <v>84</v>
      </c>
      <c r="H1024" s="2">
        <v>1</v>
      </c>
      <c r="J1024" s="2">
        <v>1</v>
      </c>
      <c r="K1024" s="2">
        <v>38.3888888888888</v>
      </c>
      <c r="L1024" s="2"/>
      <c r="M1024" s="2">
        <v>2.1169509870285799</v>
      </c>
      <c r="N1024" s="2">
        <v>169.166666666666</v>
      </c>
      <c r="O1024" s="2">
        <v>4.1466184348750001</v>
      </c>
      <c r="P1024" s="2">
        <v>22</v>
      </c>
      <c r="Q1024" s="2">
        <v>3.0595932917809798</v>
      </c>
      <c r="R1024" s="2">
        <v>1.7222222222222201</v>
      </c>
      <c r="S1024" s="2">
        <v>0.48112522432468702</v>
      </c>
      <c r="T1024" s="2">
        <v>4.3333333333333304</v>
      </c>
      <c r="U1024" s="2">
        <v>0.92796072713833599</v>
      </c>
      <c r="V1024" s="2">
        <v>0.61111111111111105</v>
      </c>
      <c r="W1024" s="2">
        <v>0.50917507721731503</v>
      </c>
      <c r="X1024" s="2">
        <v>2.1111111111111098</v>
      </c>
      <c r="Y1024" s="2">
        <v>0.25458753860865702</v>
      </c>
      <c r="Z1024" s="7">
        <v>117.829157395762</v>
      </c>
      <c r="AA1024" s="2">
        <v>2.8882318594466501</v>
      </c>
      <c r="AB1024" s="7">
        <v>107.96875</v>
      </c>
      <c r="AC1024" s="2">
        <v>5.95392465101789</v>
      </c>
      <c r="AD1024" s="2">
        <v>88.636363636363598</v>
      </c>
      <c r="AE1024" s="2">
        <v>18.981014873284099</v>
      </c>
      <c r="AF1024" s="2">
        <v>131.12582781456899</v>
      </c>
      <c r="AG1024" s="2">
        <v>18.235986507303799</v>
      </c>
      <c r="AH1024" s="2">
        <v>73.809523809523796</v>
      </c>
      <c r="AI1024" s="2">
        <v>20.619652471058</v>
      </c>
      <c r="AJ1024" s="2">
        <v>100</v>
      </c>
      <c r="AK1024" s="2">
        <v>83.319558090106099</v>
      </c>
      <c r="AL1024" s="2">
        <v>93.827160493827094</v>
      </c>
      <c r="AM1024" s="2">
        <v>11.3150017159403</v>
      </c>
      <c r="AN1024"/>
      <c r="AO1024"/>
    </row>
    <row r="1025" spans="1:41" ht="15.75" hidden="1" customHeight="1" x14ac:dyDescent="0.45">
      <c r="A1025" s="2" t="s">
        <v>195</v>
      </c>
      <c r="B1025" s="2" t="s">
        <v>196</v>
      </c>
      <c r="C1025" s="2">
        <v>0.03</v>
      </c>
      <c r="D1025" s="2"/>
      <c r="E1025" s="2" t="s">
        <v>109</v>
      </c>
      <c r="F1025" s="2" t="s">
        <v>84</v>
      </c>
      <c r="H1025" s="2">
        <v>1</v>
      </c>
      <c r="J1025" s="2">
        <v>1</v>
      </c>
      <c r="K1025" s="2">
        <v>49.8888888888889</v>
      </c>
      <c r="L1025" s="2"/>
      <c r="M1025" s="2">
        <v>16.591776186925699</v>
      </c>
      <c r="N1025" s="2">
        <v>192.944444444444</v>
      </c>
      <c r="O1025" s="2">
        <v>10.9167726882048</v>
      </c>
      <c r="P1025" s="2">
        <v>23.2777777777777</v>
      </c>
      <c r="Q1025" s="2">
        <v>2.0570565090636599</v>
      </c>
      <c r="R1025" s="2">
        <v>2.5</v>
      </c>
      <c r="S1025" s="2">
        <v>0.76376261582597305</v>
      </c>
      <c r="T1025" s="2">
        <v>4</v>
      </c>
      <c r="U1025" s="2">
        <v>1.5275252316519401</v>
      </c>
      <c r="V1025" s="2">
        <v>0.66666666666666596</v>
      </c>
      <c r="W1025" s="2">
        <v>0.16666666666666699</v>
      </c>
      <c r="X1025" s="2">
        <v>2</v>
      </c>
      <c r="Y1025" s="2">
        <v>0.57735026918962395</v>
      </c>
      <c r="Z1025" s="7">
        <v>134.39102254038801</v>
      </c>
      <c r="AA1025" s="2">
        <v>7.6038273536881604</v>
      </c>
      <c r="AB1025" s="7">
        <v>140.3125</v>
      </c>
      <c r="AC1025" s="2">
        <v>46.6643705257287</v>
      </c>
      <c r="AD1025" s="2">
        <v>81.818181818181799</v>
      </c>
      <c r="AE1025" s="2">
        <v>31.2448342837898</v>
      </c>
      <c r="AF1025" s="2">
        <v>138.74172185430399</v>
      </c>
      <c r="AG1025" s="2">
        <v>12.260601709650899</v>
      </c>
      <c r="AH1025" s="2">
        <v>107.142857142857</v>
      </c>
      <c r="AI1025" s="2">
        <v>32.732683535398799</v>
      </c>
      <c r="AJ1025" s="2">
        <v>109.09090909090899</v>
      </c>
      <c r="AK1025" s="2">
        <v>27.272727272727298</v>
      </c>
      <c r="AL1025" s="2">
        <v>88.8888888888889</v>
      </c>
      <c r="AM1025" s="2">
        <v>25.660011963983301</v>
      </c>
      <c r="AN1025"/>
      <c r="AO1025"/>
    </row>
    <row r="1026" spans="1:41" ht="15.75" hidden="1" customHeight="1" x14ac:dyDescent="0.45">
      <c r="A1026" s="2" t="s">
        <v>195</v>
      </c>
      <c r="B1026" s="2" t="s">
        <v>196</v>
      </c>
      <c r="C1026" s="2">
        <v>0.1</v>
      </c>
      <c r="D1026" s="2"/>
      <c r="E1026" s="2" t="s">
        <v>109</v>
      </c>
      <c r="F1026" s="2" t="s">
        <v>84</v>
      </c>
      <c r="H1026" s="2">
        <v>1</v>
      </c>
      <c r="J1026" s="2">
        <v>1</v>
      </c>
      <c r="K1026" s="2">
        <v>52.1111111111111</v>
      </c>
      <c r="L1026" s="2"/>
      <c r="M1026" s="2">
        <v>17.804753838771699</v>
      </c>
      <c r="N1026" s="2">
        <v>159.166666666666</v>
      </c>
      <c r="O1026" s="2">
        <v>18.448125469362299</v>
      </c>
      <c r="P1026" s="2">
        <v>25.6111111111111</v>
      </c>
      <c r="Q1026" s="2">
        <v>2.6475005683208499</v>
      </c>
      <c r="R1026" s="2">
        <v>2.7222222222222201</v>
      </c>
      <c r="S1026" s="2">
        <v>0.76980035891950105</v>
      </c>
      <c r="T1026" s="2">
        <v>4.3888888888888804</v>
      </c>
      <c r="U1026" s="2">
        <v>0.67357531405455895</v>
      </c>
      <c r="V1026" s="2">
        <v>0.88888888888888895</v>
      </c>
      <c r="W1026" s="2">
        <v>0.58531409738070705</v>
      </c>
      <c r="X1026" s="2">
        <v>2.4444444444444402</v>
      </c>
      <c r="Y1026" s="2">
        <v>0.67357531405456295</v>
      </c>
      <c r="Z1026" s="7">
        <v>110.863887007835</v>
      </c>
      <c r="AA1026" s="2">
        <v>12.849618204450801</v>
      </c>
      <c r="AB1026" s="7">
        <v>146.5625</v>
      </c>
      <c r="AC1026" s="2">
        <v>50.075870171545603</v>
      </c>
      <c r="AD1026" s="2">
        <v>89.772727272727295</v>
      </c>
      <c r="AE1026" s="2">
        <v>13.7776768783887</v>
      </c>
      <c r="AF1026" s="2">
        <v>152.649006622516</v>
      </c>
      <c r="AG1026" s="2">
        <v>15.779804711846101</v>
      </c>
      <c r="AH1026" s="2">
        <v>116.666666666666</v>
      </c>
      <c r="AI1026" s="2">
        <v>32.991443953692901</v>
      </c>
      <c r="AJ1026" s="2">
        <v>145.45454545454501</v>
      </c>
      <c r="AK1026" s="2">
        <v>95.778670480479406</v>
      </c>
      <c r="AL1026" s="2">
        <v>108.64197530864099</v>
      </c>
      <c r="AM1026" s="2">
        <v>29.936680624647199</v>
      </c>
      <c r="AN1026"/>
      <c r="AO1026"/>
    </row>
    <row r="1027" spans="1:41" ht="15.75" hidden="1" customHeight="1" x14ac:dyDescent="0.45">
      <c r="A1027" s="2" t="s">
        <v>195</v>
      </c>
      <c r="B1027" s="2" t="s">
        <v>196</v>
      </c>
      <c r="C1027" s="2">
        <v>0.3</v>
      </c>
      <c r="D1027" s="2"/>
      <c r="E1027" s="2" t="s">
        <v>109</v>
      </c>
      <c r="F1027" s="2" t="s">
        <v>84</v>
      </c>
      <c r="H1027" s="2">
        <v>1</v>
      </c>
      <c r="J1027" s="2">
        <v>1</v>
      </c>
      <c r="K1027" s="2">
        <v>44.3888888888888</v>
      </c>
      <c r="L1027" s="2"/>
      <c r="M1027" s="2">
        <v>4.3344015777309899</v>
      </c>
      <c r="N1027" s="2">
        <v>173.055555555555</v>
      </c>
      <c r="O1027" s="2">
        <v>7.5578019536347298</v>
      </c>
      <c r="P1027" s="2">
        <v>26.0555555555555</v>
      </c>
      <c r="Q1027" s="2">
        <v>3.4170054032626398</v>
      </c>
      <c r="R1027" s="2">
        <v>2.9444444444444402</v>
      </c>
      <c r="S1027" s="2">
        <v>1.0046189622236199</v>
      </c>
      <c r="T1027" s="2">
        <v>5.1666666666666599</v>
      </c>
      <c r="U1027" s="2">
        <v>0.76376261582597904</v>
      </c>
      <c r="V1027" s="2">
        <v>0.83333333333333304</v>
      </c>
      <c r="W1027" s="2">
        <v>0.16666666666666699</v>
      </c>
      <c r="X1027" s="2">
        <v>2.05555555555555</v>
      </c>
      <c r="Y1027" s="2">
        <v>1.22851913263866</v>
      </c>
      <c r="Z1027" s="7">
        <v>120.537873657734</v>
      </c>
      <c r="AA1027" s="2">
        <v>5.2642134145467798</v>
      </c>
      <c r="AB1027" s="7">
        <v>124.84375</v>
      </c>
      <c r="AC1027" s="2">
        <v>12.1905044373684</v>
      </c>
      <c r="AD1027" s="2">
        <v>105.681818181818</v>
      </c>
      <c r="AE1027" s="2">
        <v>15.622417141894999</v>
      </c>
      <c r="AF1027" s="2">
        <v>155.29801324503299</v>
      </c>
      <c r="AG1027" s="2">
        <v>20.366257370439499</v>
      </c>
      <c r="AH1027" s="2">
        <v>126.19047619047601</v>
      </c>
      <c r="AI1027" s="2">
        <v>43.055098381012201</v>
      </c>
      <c r="AJ1027" s="2">
        <v>136.363636363636</v>
      </c>
      <c r="AK1027" s="2">
        <v>27.272727272727298</v>
      </c>
      <c r="AL1027" s="2">
        <v>91.358024691357997</v>
      </c>
      <c r="AM1027" s="2">
        <v>54.600850339496198</v>
      </c>
      <c r="AN1027"/>
      <c r="AO1027"/>
    </row>
    <row r="1028" spans="1:41" ht="15.75" hidden="1" customHeight="1" x14ac:dyDescent="0.45">
      <c r="A1028" s="2" t="s">
        <v>195</v>
      </c>
      <c r="B1028" s="2" t="s">
        <v>196</v>
      </c>
      <c r="C1028" s="2">
        <v>1</v>
      </c>
      <c r="D1028" s="2"/>
      <c r="E1028" s="2" t="s">
        <v>109</v>
      </c>
      <c r="F1028" s="2" t="s">
        <v>84</v>
      </c>
      <c r="H1028" s="2">
        <v>1</v>
      </c>
      <c r="J1028" s="2">
        <v>1</v>
      </c>
      <c r="K1028" s="2">
        <v>35.5555555555555</v>
      </c>
      <c r="L1028" s="2"/>
      <c r="M1028" s="2">
        <v>2.5513250007121999</v>
      </c>
      <c r="N1028" s="2">
        <v>99.0555555555555</v>
      </c>
      <c r="O1028" s="2">
        <v>1.45614915800904</v>
      </c>
      <c r="P1028" s="2">
        <v>25.5555555555555</v>
      </c>
      <c r="Q1028" s="2">
        <v>5.5486067653994704</v>
      </c>
      <c r="R1028" s="2">
        <v>2.1111111111111098</v>
      </c>
      <c r="S1028" s="2">
        <v>0.25458753860865702</v>
      </c>
      <c r="T1028" s="2">
        <v>8.1111111111111107</v>
      </c>
      <c r="U1028" s="2">
        <v>6.2055829105136597</v>
      </c>
      <c r="V1028" s="2">
        <v>0.61111111111111105</v>
      </c>
      <c r="W1028" s="2">
        <v>0.50917507721731503</v>
      </c>
      <c r="X1028" s="2">
        <v>2.1666666666666599</v>
      </c>
      <c r="Y1028" s="2">
        <v>0.33333333333333398</v>
      </c>
      <c r="Z1028" s="7">
        <v>68.994872787075494</v>
      </c>
      <c r="AA1028" s="2">
        <v>1.0142472610685001</v>
      </c>
      <c r="AB1028" s="7">
        <v>100</v>
      </c>
      <c r="AC1028" s="2">
        <v>7.1756015645030704</v>
      </c>
      <c r="AD1028" s="2">
        <v>165.90909090909</v>
      </c>
      <c r="AE1028" s="2">
        <v>126.932377715052</v>
      </c>
      <c r="AF1028" s="2">
        <v>152.31788079470101</v>
      </c>
      <c r="AG1028" s="2">
        <v>33.071166151387601</v>
      </c>
      <c r="AH1028" s="2">
        <v>90.476190476190396</v>
      </c>
      <c r="AI1028" s="2">
        <v>10.910894511799601</v>
      </c>
      <c r="AJ1028" s="2">
        <v>100</v>
      </c>
      <c r="AK1028" s="2">
        <v>83.319558090106199</v>
      </c>
      <c r="AL1028" s="2">
        <v>96.296296296296305</v>
      </c>
      <c r="AM1028" s="2">
        <v>14.814814814814801</v>
      </c>
      <c r="AN1028"/>
      <c r="AO1028"/>
    </row>
    <row r="1029" spans="1:41" ht="15.75" hidden="1" customHeight="1" x14ac:dyDescent="0.45">
      <c r="A1029" s="2" t="s">
        <v>195</v>
      </c>
      <c r="B1029" s="2" t="s">
        <v>196</v>
      </c>
      <c r="C1029" s="2">
        <v>3</v>
      </c>
      <c r="D1029" s="2"/>
      <c r="E1029" s="2" t="s">
        <v>109</v>
      </c>
      <c r="F1029" s="2" t="s">
        <v>84</v>
      </c>
      <c r="H1029" s="2">
        <v>1</v>
      </c>
      <c r="J1029" s="2">
        <v>1</v>
      </c>
      <c r="K1029" s="2">
        <v>0.16666666666666599</v>
      </c>
      <c r="L1029" s="2"/>
      <c r="M1029" s="2">
        <v>0.28867513459481198</v>
      </c>
      <c r="N1029" s="2">
        <v>33.5555555555555</v>
      </c>
      <c r="O1029" s="2">
        <v>2.5073964658660599</v>
      </c>
      <c r="P1029" s="2">
        <v>0</v>
      </c>
      <c r="Q1029" s="2">
        <v>0</v>
      </c>
      <c r="R1029" s="2">
        <v>0</v>
      </c>
      <c r="S1029" s="2">
        <v>0</v>
      </c>
      <c r="T1029" s="2">
        <v>88.3888888888888</v>
      </c>
      <c r="U1029" s="2">
        <v>0.19245008972847499</v>
      </c>
      <c r="V1029" s="2">
        <v>0</v>
      </c>
      <c r="W1029" s="2">
        <v>0</v>
      </c>
      <c r="X1029" s="2">
        <v>0.88888888888888895</v>
      </c>
      <c r="Y1029" s="2">
        <v>0.53575837561072004</v>
      </c>
      <c r="Z1029" s="7">
        <v>23.3723517461545</v>
      </c>
      <c r="AA1029" s="2">
        <v>1.7464694354489301</v>
      </c>
      <c r="AB1029" s="7">
        <v>0.46875</v>
      </c>
      <c r="AC1029" s="2">
        <v>0.81189881604791103</v>
      </c>
      <c r="AD1029" s="2">
        <v>1807.95454545454</v>
      </c>
      <c r="AE1029" s="2">
        <v>3.9364791080824402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39.5061728395061</v>
      </c>
      <c r="AM1029" s="2">
        <v>23.811483360476402</v>
      </c>
      <c r="AN1029"/>
      <c r="AO1029"/>
    </row>
    <row r="1030" spans="1:41" ht="15.75" hidden="1" customHeight="1" x14ac:dyDescent="0.45">
      <c r="A1030" s="2" t="s">
        <v>195</v>
      </c>
      <c r="B1030" s="2" t="s">
        <v>196</v>
      </c>
      <c r="C1030" s="2">
        <v>10</v>
      </c>
      <c r="D1030" s="2"/>
      <c r="E1030" s="2" t="s">
        <v>109</v>
      </c>
      <c r="F1030" s="2" t="s">
        <v>84</v>
      </c>
      <c r="H1030" s="2">
        <v>1</v>
      </c>
      <c r="J1030" s="2">
        <v>1</v>
      </c>
      <c r="K1030" s="2">
        <v>2.9444444444444402</v>
      </c>
      <c r="L1030" s="2"/>
      <c r="M1030" s="2">
        <v>2.2194427061597901</v>
      </c>
      <c r="N1030" s="2">
        <v>31</v>
      </c>
      <c r="O1030" s="2">
        <v>2.8037673068768201</v>
      </c>
      <c r="P1030" s="2">
        <v>0.38888888888888801</v>
      </c>
      <c r="Q1030" s="2">
        <v>0.67357531405456295</v>
      </c>
      <c r="R1030" s="2">
        <v>0.11111111111111099</v>
      </c>
      <c r="S1030" s="2">
        <v>0.19245008972987501</v>
      </c>
      <c r="T1030" s="2">
        <v>78.8888888888888</v>
      </c>
      <c r="U1030" s="2">
        <v>3.5368431205326401</v>
      </c>
      <c r="V1030" s="2">
        <v>0</v>
      </c>
      <c r="W1030" s="2">
        <v>0</v>
      </c>
      <c r="X1030" s="2">
        <v>0.55555555555555503</v>
      </c>
      <c r="Y1030" s="2">
        <v>0.58531409738070705</v>
      </c>
      <c r="Z1030" s="7">
        <v>21.592338202573199</v>
      </c>
      <c r="AA1030" s="2">
        <v>1.95289973972265</v>
      </c>
      <c r="AB1030" s="7">
        <v>8.28125</v>
      </c>
      <c r="AC1030" s="2">
        <v>6.2421826110744298</v>
      </c>
      <c r="AD1030" s="2">
        <v>1613.6363636363601</v>
      </c>
      <c r="AE1030" s="2">
        <v>72.344518374531404</v>
      </c>
      <c r="AF1030" s="2">
        <v>2.3178807947019799</v>
      </c>
      <c r="AG1030" s="2">
        <v>4.0146873023119598</v>
      </c>
      <c r="AH1030" s="2">
        <v>4.7619047619047601</v>
      </c>
      <c r="AI1030" s="2">
        <v>8.2478609884232199</v>
      </c>
      <c r="AJ1030" s="2">
        <v>0</v>
      </c>
      <c r="AK1030" s="2">
        <v>0</v>
      </c>
      <c r="AL1030" s="2">
        <v>24.691358024691301</v>
      </c>
      <c r="AM1030" s="2">
        <v>26.013959883586999</v>
      </c>
      <c r="AN1030"/>
      <c r="AO1030"/>
    </row>
    <row r="1031" spans="1:41" ht="15.75" hidden="1" customHeight="1" x14ac:dyDescent="0.45">
      <c r="A1031" s="2" t="s">
        <v>195</v>
      </c>
      <c r="B1031" s="2" t="s">
        <v>196</v>
      </c>
      <c r="C1031" s="2">
        <v>3.0000000000000001E-3</v>
      </c>
      <c r="D1031" s="2"/>
      <c r="E1031" s="2" t="s">
        <v>109</v>
      </c>
      <c r="F1031" s="2" t="s">
        <v>84</v>
      </c>
      <c r="H1031" s="2">
        <v>2.7</v>
      </c>
      <c r="J1031" s="2">
        <v>2.7</v>
      </c>
      <c r="K1031" s="2">
        <v>34.4444444444444</v>
      </c>
      <c r="L1031" s="2"/>
      <c r="M1031" s="2">
        <v>0.50917507721718303</v>
      </c>
      <c r="N1031" s="2">
        <v>246.555555555555</v>
      </c>
      <c r="O1031" s="2">
        <v>7.6980035891957099</v>
      </c>
      <c r="P1031" s="2">
        <v>13.1666666666666</v>
      </c>
      <c r="Q1031" s="2">
        <v>0.76376261582595995</v>
      </c>
      <c r="R1031" s="2">
        <v>1.55555555555555</v>
      </c>
      <c r="S1031" s="2">
        <v>0.63098981620002903</v>
      </c>
      <c r="T1031" s="2">
        <v>8.6111111111111107</v>
      </c>
      <c r="U1031" s="2">
        <v>1.6442942874387401</v>
      </c>
      <c r="V1031" s="2">
        <v>0.66666666666666596</v>
      </c>
      <c r="W1031" s="2">
        <v>0.33333333333333298</v>
      </c>
      <c r="X1031" s="2">
        <v>4.4444444444444402</v>
      </c>
      <c r="Y1031" s="2">
        <v>0.38490017945976002</v>
      </c>
      <c r="Z1031" s="7">
        <v>104.037976909101</v>
      </c>
      <c r="AA1031" s="2">
        <v>3.2482931396711598</v>
      </c>
      <c r="AB1031" s="7">
        <v>98.334655035685898</v>
      </c>
      <c r="AC1031" s="2">
        <v>1.4536322585105901</v>
      </c>
      <c r="AD1031" s="2">
        <v>108.01393728222899</v>
      </c>
      <c r="AE1031" s="2">
        <v>20.625294197837899</v>
      </c>
      <c r="AF1031" s="2">
        <v>94.8</v>
      </c>
      <c r="AG1031" s="2">
        <v>5.4990908339469096</v>
      </c>
      <c r="AH1031" s="2">
        <v>85.496183206106807</v>
      </c>
      <c r="AI1031" s="2">
        <v>34.6803563102306</v>
      </c>
      <c r="AJ1031" s="2">
        <v>102.127659574468</v>
      </c>
      <c r="AK1031" s="2">
        <v>51.063829787233999</v>
      </c>
      <c r="AL1031" s="2">
        <v>116.363636363636</v>
      </c>
      <c r="AM1031" s="2">
        <v>10.0773865167646</v>
      </c>
      <c r="AN1031"/>
      <c r="AO1031"/>
    </row>
    <row r="1032" spans="1:41" ht="15.75" hidden="1" customHeight="1" x14ac:dyDescent="0.45">
      <c r="A1032" s="2" t="s">
        <v>195</v>
      </c>
      <c r="B1032" s="2" t="s">
        <v>196</v>
      </c>
      <c r="C1032" s="2">
        <v>0.01</v>
      </c>
      <c r="D1032" s="2"/>
      <c r="E1032" s="2" t="s">
        <v>109</v>
      </c>
      <c r="F1032" s="2" t="s">
        <v>84</v>
      </c>
      <c r="H1032" s="2">
        <v>2.7</v>
      </c>
      <c r="J1032" s="2">
        <v>2.7</v>
      </c>
      <c r="K1032" s="2">
        <v>33.8333333333333</v>
      </c>
      <c r="L1032" s="2"/>
      <c r="M1032" s="2">
        <v>4.1633319989322501</v>
      </c>
      <c r="N1032" s="2">
        <v>250.166666666666</v>
      </c>
      <c r="O1032" s="2">
        <v>19.417203139942501</v>
      </c>
      <c r="P1032" s="2">
        <v>14.6666666666666</v>
      </c>
      <c r="Q1032" s="2">
        <v>0.50000000000005596</v>
      </c>
      <c r="R1032" s="2">
        <v>2.38888888888888</v>
      </c>
      <c r="S1032" s="2">
        <v>1.0183501544346301</v>
      </c>
      <c r="T1032" s="2">
        <v>8.8888888888888893</v>
      </c>
      <c r="U1032" s="2">
        <v>0.53575837561072004</v>
      </c>
      <c r="V1032" s="2">
        <v>0.66666666666666596</v>
      </c>
      <c r="W1032" s="2">
        <v>0.600925212577331</v>
      </c>
      <c r="X1032" s="2">
        <v>3.38888888888888</v>
      </c>
      <c r="Y1032" s="2">
        <v>0.78763593770876505</v>
      </c>
      <c r="Z1032" s="7">
        <v>105.56174178046</v>
      </c>
      <c r="AA1032" s="2">
        <v>8.1933928739135204</v>
      </c>
      <c r="AB1032" s="7">
        <v>96.590007930214099</v>
      </c>
      <c r="AC1032" s="2">
        <v>11.885801107181701</v>
      </c>
      <c r="AD1032" s="2">
        <v>111.49825783972101</v>
      </c>
      <c r="AE1032" s="2">
        <v>6.7203141191588598</v>
      </c>
      <c r="AF1032" s="2">
        <v>105.6</v>
      </c>
      <c r="AG1032" s="2">
        <v>3.6000000000004002</v>
      </c>
      <c r="AH1032" s="2">
        <v>131.297709923664</v>
      </c>
      <c r="AI1032" s="2">
        <v>55.9703901673996</v>
      </c>
      <c r="AJ1032" s="2">
        <v>102.127659574468</v>
      </c>
      <c r="AK1032" s="2">
        <v>92.056628309718803</v>
      </c>
      <c r="AL1032" s="2">
        <v>88.727272727272705</v>
      </c>
      <c r="AM1032" s="2">
        <v>20.6217409145567</v>
      </c>
      <c r="AN1032"/>
      <c r="AO1032"/>
    </row>
    <row r="1033" spans="1:41" ht="15.75" hidden="1" customHeight="1" x14ac:dyDescent="0.45">
      <c r="A1033" s="2" t="s">
        <v>195</v>
      </c>
      <c r="B1033" s="2" t="s">
        <v>196</v>
      </c>
      <c r="C1033" s="2">
        <v>0.03</v>
      </c>
      <c r="D1033" s="2"/>
      <c r="E1033" s="2" t="s">
        <v>109</v>
      </c>
      <c r="F1033" s="2" t="s">
        <v>84</v>
      </c>
      <c r="H1033" s="2">
        <v>2.7</v>
      </c>
      <c r="J1033" s="2">
        <v>2.7</v>
      </c>
      <c r="K1033" s="2">
        <v>37.1666666666666</v>
      </c>
      <c r="L1033" s="2"/>
      <c r="M1033" s="2">
        <v>2.5873624493767302</v>
      </c>
      <c r="N1033" s="2">
        <v>305.77777777777698</v>
      </c>
      <c r="O1033" s="2">
        <v>5.1108091698219198</v>
      </c>
      <c r="P1033" s="2">
        <v>13</v>
      </c>
      <c r="Q1033" s="2">
        <v>1.0137937550497</v>
      </c>
      <c r="R1033" s="2">
        <v>2.7777777777777701</v>
      </c>
      <c r="S1033" s="2">
        <v>0.34694433324435198</v>
      </c>
      <c r="T1033" s="2">
        <v>8.9444444444444393</v>
      </c>
      <c r="U1033" s="2">
        <v>1.2509255832441899</v>
      </c>
      <c r="V1033" s="2">
        <v>0.72222222222222199</v>
      </c>
      <c r="W1033" s="2">
        <v>0.25458753860865702</v>
      </c>
      <c r="X1033" s="2">
        <v>3.4444444444444402</v>
      </c>
      <c r="Y1033" s="2">
        <v>0.75154162547048298</v>
      </c>
      <c r="Z1033" s="7">
        <v>129.02772079939001</v>
      </c>
      <c r="AA1033" s="2">
        <v>2.1565859475307798</v>
      </c>
      <c r="AB1033" s="7">
        <v>106.106264869151</v>
      </c>
      <c r="AC1033" s="2">
        <v>7.3866017587282</v>
      </c>
      <c r="AD1033" s="2">
        <v>112.19512195121899</v>
      </c>
      <c r="AE1033" s="2">
        <v>15.6910526121223</v>
      </c>
      <c r="AF1033" s="2">
        <v>93.6</v>
      </c>
      <c r="AG1033" s="2">
        <v>7.2993150363578403</v>
      </c>
      <c r="AH1033" s="2">
        <v>152.67175572519</v>
      </c>
      <c r="AI1033" s="2">
        <v>19.068696178315498</v>
      </c>
      <c r="AJ1033" s="2">
        <v>110.63829787234</v>
      </c>
      <c r="AK1033" s="2">
        <v>39.0006442123901</v>
      </c>
      <c r="AL1033" s="2">
        <v>90.181818181818201</v>
      </c>
      <c r="AM1033" s="2">
        <v>19.6767261941363</v>
      </c>
      <c r="AN1033"/>
      <c r="AO1033"/>
    </row>
    <row r="1034" spans="1:41" ht="15.75" hidden="1" customHeight="1" x14ac:dyDescent="0.45">
      <c r="A1034" s="2" t="s">
        <v>195</v>
      </c>
      <c r="B1034" s="2" t="s">
        <v>196</v>
      </c>
      <c r="C1034" s="2">
        <v>0.1</v>
      </c>
      <c r="D1034" s="2"/>
      <c r="E1034" s="2" t="s">
        <v>109</v>
      </c>
      <c r="F1034" s="2" t="s">
        <v>84</v>
      </c>
      <c r="H1034" s="2">
        <v>2.7</v>
      </c>
      <c r="J1034" s="2">
        <v>2.7</v>
      </c>
      <c r="K1034" s="2">
        <v>41.0555555555555</v>
      </c>
      <c r="L1034" s="2"/>
      <c r="M1034" s="2">
        <v>2.7403027678084499</v>
      </c>
      <c r="N1034" s="2">
        <v>273.05555555555497</v>
      </c>
      <c r="O1034" s="2">
        <v>22.005260313877301</v>
      </c>
      <c r="P1034" s="2">
        <v>13.6111111111111</v>
      </c>
      <c r="Q1034" s="2">
        <v>0.78763593770881002</v>
      </c>
      <c r="R1034" s="2">
        <v>2.3333333333333299</v>
      </c>
      <c r="S1034" s="2">
        <v>0</v>
      </c>
      <c r="T1034" s="2">
        <v>8.8888888888888893</v>
      </c>
      <c r="U1034" s="2">
        <v>1.8282758524338101</v>
      </c>
      <c r="V1034" s="2">
        <v>0.66666666666666596</v>
      </c>
      <c r="W1034" s="2">
        <v>0.16666666666666699</v>
      </c>
      <c r="X1034" s="2">
        <v>2.9444444444444402</v>
      </c>
      <c r="Y1034" s="2">
        <v>0.41943524640393198</v>
      </c>
      <c r="Z1034" s="7">
        <v>115.22006681122799</v>
      </c>
      <c r="AA1034" s="2">
        <v>9.2854641188487701</v>
      </c>
      <c r="AB1034" s="7">
        <v>117.208564631245</v>
      </c>
      <c r="AC1034" s="2">
        <v>7.8232275686839197</v>
      </c>
      <c r="AD1034" s="2">
        <v>111.49825783972101</v>
      </c>
      <c r="AE1034" s="2">
        <v>22.933076894640202</v>
      </c>
      <c r="AF1034" s="2">
        <v>98</v>
      </c>
      <c r="AG1034" s="2">
        <v>5.67097875150343</v>
      </c>
      <c r="AH1034" s="2">
        <v>128.24427480916</v>
      </c>
      <c r="AI1034" s="2">
        <v>0</v>
      </c>
      <c r="AJ1034" s="2">
        <v>102.127659574468</v>
      </c>
      <c r="AK1034" s="2">
        <v>25.531914893617</v>
      </c>
      <c r="AL1034" s="2">
        <v>77.090909090909093</v>
      </c>
      <c r="AM1034" s="2">
        <v>10.9815773603938</v>
      </c>
      <c r="AN1034"/>
      <c r="AO1034"/>
    </row>
    <row r="1035" spans="1:41" ht="15.75" hidden="1" customHeight="1" x14ac:dyDescent="0.45">
      <c r="A1035" s="2" t="s">
        <v>195</v>
      </c>
      <c r="B1035" s="2" t="s">
        <v>196</v>
      </c>
      <c r="C1035" s="2">
        <v>0.3</v>
      </c>
      <c r="D1035" s="2"/>
      <c r="E1035" s="2" t="s">
        <v>109</v>
      </c>
      <c r="F1035" s="2" t="s">
        <v>84</v>
      </c>
      <c r="H1035" s="2">
        <v>2.7</v>
      </c>
      <c r="J1035" s="2">
        <v>2.7</v>
      </c>
      <c r="K1035" s="2">
        <v>42.5555555555555</v>
      </c>
      <c r="L1035" s="2"/>
      <c r="M1035" s="2">
        <v>4.7619246031333304</v>
      </c>
      <c r="N1035" s="2">
        <v>268.83333333333297</v>
      </c>
      <c r="O1035" s="2">
        <v>46.841339766397503</v>
      </c>
      <c r="P1035" s="2">
        <v>15.9444444444444</v>
      </c>
      <c r="Q1035" s="2">
        <v>1.29457557752564</v>
      </c>
      <c r="R1035" s="2">
        <v>3.2222222222222201</v>
      </c>
      <c r="S1035" s="2">
        <v>0.91792842454768397</v>
      </c>
      <c r="T1035" s="2">
        <v>9.1666666666666607</v>
      </c>
      <c r="U1035" s="2">
        <v>1.1666666666666801</v>
      </c>
      <c r="V1035" s="2">
        <v>0.55555555555555503</v>
      </c>
      <c r="W1035" s="2">
        <v>0.25458753860865702</v>
      </c>
      <c r="X1035" s="2">
        <v>3.2222222222222201</v>
      </c>
      <c r="Y1035" s="2">
        <v>0.58531409738070495</v>
      </c>
      <c r="Z1035" s="7">
        <v>113.43843403856199</v>
      </c>
      <c r="AA1035" s="2">
        <v>19.765436694488699</v>
      </c>
      <c r="AB1035" s="7">
        <v>121.49088025376599</v>
      </c>
      <c r="AC1035" s="2">
        <v>13.594709414179199</v>
      </c>
      <c r="AD1035" s="2">
        <v>114.982578397212</v>
      </c>
      <c r="AE1035" s="2">
        <v>14.6341463414635</v>
      </c>
      <c r="AF1035" s="2">
        <v>114.8</v>
      </c>
      <c r="AG1035" s="2">
        <v>9.3209441581846697</v>
      </c>
      <c r="AH1035" s="2">
        <v>177.09923664122101</v>
      </c>
      <c r="AI1035" s="2">
        <v>50.451027914071197</v>
      </c>
      <c r="AJ1035" s="2">
        <v>85.106382978723303</v>
      </c>
      <c r="AK1035" s="2">
        <v>39.0006442123901</v>
      </c>
      <c r="AL1035" s="2">
        <v>84.363636363636303</v>
      </c>
      <c r="AM1035" s="2">
        <v>15.324587276876599</v>
      </c>
      <c r="AN1035"/>
      <c r="AO1035"/>
    </row>
    <row r="1036" spans="1:41" ht="15.75" hidden="1" customHeight="1" x14ac:dyDescent="0.45">
      <c r="A1036" s="2" t="s">
        <v>195</v>
      </c>
      <c r="B1036" s="2" t="s">
        <v>196</v>
      </c>
      <c r="C1036" s="2">
        <v>1</v>
      </c>
      <c r="D1036" s="2"/>
      <c r="E1036" s="2" t="s">
        <v>109</v>
      </c>
      <c r="F1036" s="2" t="s">
        <v>84</v>
      </c>
      <c r="H1036" s="2">
        <v>2.7</v>
      </c>
      <c r="J1036" s="2">
        <v>2.7</v>
      </c>
      <c r="K1036" s="2">
        <v>47.6666666666666</v>
      </c>
      <c r="L1036" s="2"/>
      <c r="M1036" s="2">
        <v>0.92796072713795497</v>
      </c>
      <c r="N1036" s="2">
        <v>298.77777777777698</v>
      </c>
      <c r="O1036" s="2">
        <v>16.936427976186501</v>
      </c>
      <c r="P1036" s="2">
        <v>15.4444444444444</v>
      </c>
      <c r="Q1036" s="2">
        <v>2.2131760318935201</v>
      </c>
      <c r="R1036" s="2">
        <v>3.1111111111111098</v>
      </c>
      <c r="S1036" s="2">
        <v>0.34694433324435198</v>
      </c>
      <c r="T1036" s="2">
        <v>10.6666666666666</v>
      </c>
      <c r="U1036" s="2">
        <v>1.25830573921179</v>
      </c>
      <c r="V1036" s="2">
        <v>0.83333333333333304</v>
      </c>
      <c r="W1036" s="2">
        <v>0.16666666666666699</v>
      </c>
      <c r="X1036" s="2">
        <v>2.6111111111111098</v>
      </c>
      <c r="Y1036" s="2">
        <v>0.38490017945975302</v>
      </c>
      <c r="Z1036" s="7">
        <v>126.07396120260201</v>
      </c>
      <c r="AA1036" s="2">
        <v>7.1465909528537299</v>
      </c>
      <c r="AB1036" s="7">
        <v>136.08247422680401</v>
      </c>
      <c r="AC1036" s="2">
        <v>2.6492138126063698</v>
      </c>
      <c r="AD1036" s="2">
        <v>133.797909407665</v>
      </c>
      <c r="AE1036" s="2">
        <v>15.7836259970817</v>
      </c>
      <c r="AF1036" s="2">
        <v>111.2</v>
      </c>
      <c r="AG1036" s="2">
        <v>15.9348674296334</v>
      </c>
      <c r="AH1036" s="2">
        <v>170.99236641221299</v>
      </c>
      <c r="AI1036" s="2">
        <v>19.068696178315498</v>
      </c>
      <c r="AJ1036" s="2">
        <v>127.659574468085</v>
      </c>
      <c r="AK1036" s="2">
        <v>25.531914893617</v>
      </c>
      <c r="AL1036" s="2">
        <v>68.363636363636303</v>
      </c>
      <c r="AM1036" s="2">
        <v>10.077386516764401</v>
      </c>
      <c r="AN1036"/>
      <c r="AO1036"/>
    </row>
    <row r="1037" spans="1:41" ht="15.75" hidden="1" customHeight="1" x14ac:dyDescent="0.45">
      <c r="A1037" s="2" t="s">
        <v>195</v>
      </c>
      <c r="B1037" s="2" t="s">
        <v>196</v>
      </c>
      <c r="C1037" s="2">
        <v>3</v>
      </c>
      <c r="D1037" s="2"/>
      <c r="E1037" s="2" t="s">
        <v>109</v>
      </c>
      <c r="F1037" s="2" t="s">
        <v>84</v>
      </c>
      <c r="H1037" s="2">
        <v>2.7</v>
      </c>
      <c r="J1037" s="2">
        <v>2.7</v>
      </c>
      <c r="K1037" s="2">
        <v>26.4444444444444</v>
      </c>
      <c r="L1037" s="2"/>
      <c r="M1037" s="2">
        <v>3.8236592905709998</v>
      </c>
      <c r="N1037" s="2">
        <v>53.4444444444444</v>
      </c>
      <c r="O1037" s="2">
        <v>34.677215275440702</v>
      </c>
      <c r="P1037" s="2">
        <v>16.8888888888888</v>
      </c>
      <c r="Q1037" s="2">
        <v>2.2689530951846799</v>
      </c>
      <c r="R1037" s="2">
        <v>1</v>
      </c>
      <c r="S1037" s="2">
        <v>1</v>
      </c>
      <c r="T1037" s="2">
        <v>17.8888888888888</v>
      </c>
      <c r="U1037" s="2">
        <v>4.5956904128074401</v>
      </c>
      <c r="V1037" s="2">
        <v>1.2222222222222201</v>
      </c>
      <c r="W1037" s="2">
        <v>0.82214714371937403</v>
      </c>
      <c r="X1037" s="2">
        <v>8.55555555555555</v>
      </c>
      <c r="Y1037" s="2">
        <v>4.57144923937126</v>
      </c>
      <c r="Z1037" s="7">
        <v>22.551720096114401</v>
      </c>
      <c r="AA1037" s="2">
        <v>14.632593915675599</v>
      </c>
      <c r="AB1037" s="7">
        <v>75.495638382236294</v>
      </c>
      <c r="AC1037" s="2">
        <v>10.916077276808499</v>
      </c>
      <c r="AD1037" s="2">
        <v>224.39024390243901</v>
      </c>
      <c r="AE1037" s="2">
        <v>57.646290892358202</v>
      </c>
      <c r="AF1037" s="2">
        <v>121.6</v>
      </c>
      <c r="AG1037" s="2">
        <v>16.336462285329699</v>
      </c>
      <c r="AH1037" s="2">
        <v>54.961832061068698</v>
      </c>
      <c r="AI1037" s="2">
        <v>54.961832061068698</v>
      </c>
      <c r="AJ1037" s="2">
        <v>187.23404255319099</v>
      </c>
      <c r="AK1037" s="2">
        <v>125.94594542084</v>
      </c>
      <c r="AL1037" s="2">
        <v>224</v>
      </c>
      <c r="AM1037" s="2">
        <v>119.68885281262899</v>
      </c>
      <c r="AN1037"/>
      <c r="AO1037"/>
    </row>
    <row r="1038" spans="1:41" ht="15.75" hidden="1" customHeight="1" x14ac:dyDescent="0.45">
      <c r="A1038" s="2" t="s">
        <v>195</v>
      </c>
      <c r="B1038" s="2" t="s">
        <v>196</v>
      </c>
      <c r="C1038" s="2">
        <v>10</v>
      </c>
      <c r="D1038" s="2"/>
      <c r="E1038" s="2" t="s">
        <v>109</v>
      </c>
      <c r="F1038" s="2" t="s">
        <v>84</v>
      </c>
      <c r="H1038" s="2">
        <v>2.7</v>
      </c>
      <c r="J1038" s="2">
        <v>2.7</v>
      </c>
      <c r="K1038" s="2">
        <v>2.1111111111111098</v>
      </c>
      <c r="L1038" s="2"/>
      <c r="M1038" s="2">
        <v>1.9460310986818801</v>
      </c>
      <c r="N1038" s="2">
        <v>14.4444444444444</v>
      </c>
      <c r="O1038" s="2">
        <v>1.84340666922632</v>
      </c>
      <c r="P1038" s="2">
        <v>0.27777777777777701</v>
      </c>
      <c r="Q1038" s="2">
        <v>0.48112522432468802</v>
      </c>
      <c r="R1038" s="2">
        <v>0</v>
      </c>
      <c r="S1038" s="2">
        <v>0</v>
      </c>
      <c r="T1038" s="2">
        <v>81.6111111111111</v>
      </c>
      <c r="U1038" s="2">
        <v>4.7910023694110704</v>
      </c>
      <c r="V1038" s="2">
        <v>0</v>
      </c>
      <c r="W1038" s="2">
        <v>0</v>
      </c>
      <c r="X1038" s="2">
        <v>3.1111111111111098</v>
      </c>
      <c r="Y1038" s="2">
        <v>1.9172704363041499</v>
      </c>
      <c r="Z1038" s="7">
        <v>6.0950594854363196</v>
      </c>
      <c r="AA1038" s="2">
        <v>0.77785430571584901</v>
      </c>
      <c r="AB1038" s="7">
        <v>6.0269627279936504</v>
      </c>
      <c r="AC1038" s="2">
        <v>5.5556795838658202</v>
      </c>
      <c r="AD1038" s="2">
        <v>1023.69337979094</v>
      </c>
      <c r="AE1038" s="2">
        <v>60.0961969682225</v>
      </c>
      <c r="AF1038" s="2">
        <v>2</v>
      </c>
      <c r="AG1038" s="2">
        <v>3.4641016151377499</v>
      </c>
      <c r="AH1038" s="2">
        <v>0</v>
      </c>
      <c r="AI1038" s="2">
        <v>0</v>
      </c>
      <c r="AJ1038" s="2">
        <v>0</v>
      </c>
      <c r="AK1038" s="2">
        <v>0</v>
      </c>
      <c r="AL1038" s="2">
        <v>81.454545454545396</v>
      </c>
      <c r="AM1038" s="2">
        <v>50.197625968690602</v>
      </c>
      <c r="AN1038"/>
      <c r="AO1038"/>
    </row>
    <row r="1039" spans="1:41" ht="15.75" hidden="1" customHeight="1" x14ac:dyDescent="0.45">
      <c r="A1039" s="2" t="s">
        <v>197</v>
      </c>
      <c r="B1039" s="2" t="s">
        <v>94</v>
      </c>
      <c r="C1039" s="2">
        <v>3.0000000000000001E-3</v>
      </c>
      <c r="D1039" s="2"/>
      <c r="E1039" s="2" t="s">
        <v>83</v>
      </c>
      <c r="F1039" s="2" t="s">
        <v>84</v>
      </c>
      <c r="H1039" s="2">
        <v>0.56000000000000005</v>
      </c>
      <c r="J1039" s="2">
        <v>0.56059471699999996</v>
      </c>
      <c r="K1039" s="2">
        <v>45.256709170722203</v>
      </c>
      <c r="L1039" s="2"/>
      <c r="M1039" s="2">
        <v>2.61576088012675</v>
      </c>
      <c r="N1039" s="2">
        <v>360.944444444444</v>
      </c>
      <c r="O1039" s="2">
        <v>22.706052382894999</v>
      </c>
      <c r="P1039" s="2">
        <v>18.2931488915555</v>
      </c>
      <c r="Q1039" s="2">
        <v>3.0436421413182799</v>
      </c>
      <c r="R1039" s="2">
        <v>4.9481784586277699</v>
      </c>
      <c r="S1039" s="2">
        <v>0.44670390461930198</v>
      </c>
      <c r="T1039" s="2">
        <v>3.46433530168611</v>
      </c>
      <c r="U1039" s="2">
        <v>1.6344916309398101</v>
      </c>
      <c r="V1039" s="2">
        <v>0.30625508967277698</v>
      </c>
      <c r="W1039" s="2">
        <v>0.107845251035479</v>
      </c>
      <c r="X1039" s="2">
        <v>3.5437166227444399</v>
      </c>
      <c r="Y1039" s="2">
        <v>0.33842836519444103</v>
      </c>
      <c r="Z1039" s="7">
        <v>100.720874350825</v>
      </c>
      <c r="AA1039" s="2">
        <v>6.3360815889018003</v>
      </c>
      <c r="AB1039" s="7">
        <v>98.516667431977197</v>
      </c>
      <c r="AC1039" s="2">
        <v>5.6940959568428697</v>
      </c>
      <c r="AD1039" s="2">
        <v>78.519133598017007</v>
      </c>
      <c r="AE1039" s="2">
        <v>37.045740541379097</v>
      </c>
      <c r="AF1039" s="2">
        <v>94.941839645932205</v>
      </c>
      <c r="AG1039" s="2">
        <v>15.7965687500655</v>
      </c>
      <c r="AH1039" s="2">
        <v>88.225881429812304</v>
      </c>
      <c r="AI1039" s="2">
        <v>7.9647179366497802</v>
      </c>
      <c r="AJ1039" s="2">
        <v>75.886421136741404</v>
      </c>
      <c r="AK1039" s="2">
        <v>26.722788987508</v>
      </c>
      <c r="AL1039" s="2">
        <v>105.364175842801</v>
      </c>
      <c r="AM1039" s="2">
        <v>10.0623807083432</v>
      </c>
      <c r="AN1039"/>
      <c r="AO1039"/>
    </row>
    <row r="1040" spans="1:41" ht="15.75" hidden="1" customHeight="1" x14ac:dyDescent="0.45">
      <c r="A1040" s="2" t="s">
        <v>197</v>
      </c>
      <c r="B1040" s="2" t="s">
        <v>94</v>
      </c>
      <c r="C1040" s="2">
        <v>0.01</v>
      </c>
      <c r="D1040" s="2"/>
      <c r="E1040" s="2" t="s">
        <v>83</v>
      </c>
      <c r="F1040" s="2" t="s">
        <v>84</v>
      </c>
      <c r="H1040" s="2">
        <v>0.56000000000000005</v>
      </c>
      <c r="J1040" s="2">
        <v>0.56059471699999996</v>
      </c>
      <c r="K1040" s="2">
        <v>44.089706836888801</v>
      </c>
      <c r="L1040" s="2"/>
      <c r="M1040" s="2">
        <v>0.65136829105243599</v>
      </c>
      <c r="N1040" s="2">
        <v>376.27777777777698</v>
      </c>
      <c r="O1040" s="2">
        <v>2.7504208432170798</v>
      </c>
      <c r="P1040" s="2">
        <v>15.7152709771111</v>
      </c>
      <c r="Q1040" s="2">
        <v>1.1121336863781901</v>
      </c>
      <c r="R1040" s="2">
        <v>3.9270905812833301</v>
      </c>
      <c r="S1040" s="2">
        <v>1.0436643850799801</v>
      </c>
      <c r="T1040" s="2">
        <v>3.3673637274855501</v>
      </c>
      <c r="U1040" s="2">
        <v>0.95050967580594203</v>
      </c>
      <c r="V1040" s="2">
        <v>0.29356677385388802</v>
      </c>
      <c r="W1040" s="2">
        <v>0.114716445024222</v>
      </c>
      <c r="X1040" s="2">
        <v>3.57881942438333</v>
      </c>
      <c r="Y1040" s="2">
        <v>0.11710255223506399</v>
      </c>
      <c r="Z1040" s="7">
        <v>104.99961243314399</v>
      </c>
      <c r="AA1040" s="2">
        <v>0.76749980897461301</v>
      </c>
      <c r="AB1040" s="7">
        <v>95.976288714185301</v>
      </c>
      <c r="AC1040" s="2">
        <v>1.4179253083399499</v>
      </c>
      <c r="AD1040" s="2">
        <v>76.321273596949098</v>
      </c>
      <c r="AE1040" s="2">
        <v>21.543294664488801</v>
      </c>
      <c r="AF1040" s="2">
        <v>81.562597338832404</v>
      </c>
      <c r="AG1040" s="2">
        <v>5.7719979617997499</v>
      </c>
      <c r="AH1040" s="2">
        <v>70.019913567248096</v>
      </c>
      <c r="AI1040" s="2">
        <v>18.608506354501898</v>
      </c>
      <c r="AJ1040" s="2">
        <v>72.742405215971004</v>
      </c>
      <c r="AK1040" s="2">
        <v>28.425390310147598</v>
      </c>
      <c r="AL1040" s="2">
        <v>106.407876047472</v>
      </c>
      <c r="AM1040" s="2">
        <v>3.48177216714938</v>
      </c>
      <c r="AN1040"/>
      <c r="AO1040"/>
    </row>
    <row r="1041" spans="1:41" ht="15.75" hidden="1" customHeight="1" x14ac:dyDescent="0.45">
      <c r="A1041" s="2" t="s">
        <v>197</v>
      </c>
      <c r="B1041" s="2" t="s">
        <v>94</v>
      </c>
      <c r="C1041" s="2">
        <v>0.03</v>
      </c>
      <c r="D1041" s="2"/>
      <c r="E1041" s="2" t="s">
        <v>83</v>
      </c>
      <c r="F1041" s="2" t="s">
        <v>84</v>
      </c>
      <c r="H1041" s="2">
        <v>0.56000000000000005</v>
      </c>
      <c r="J1041" s="2">
        <v>0.56059471699999996</v>
      </c>
      <c r="K1041" s="2">
        <v>44.659819863666598</v>
      </c>
      <c r="L1041" s="2"/>
      <c r="M1041" s="2">
        <v>2.0984642834607801</v>
      </c>
      <c r="N1041" s="2">
        <v>383.77777777777698</v>
      </c>
      <c r="O1041" s="2">
        <v>45.806759973384203</v>
      </c>
      <c r="P1041" s="2">
        <v>18.531213603777701</v>
      </c>
      <c r="Q1041" s="2">
        <v>1.3197032153400801</v>
      </c>
      <c r="R1041" s="2">
        <v>4.5733632658055496</v>
      </c>
      <c r="S1041" s="2">
        <v>0.60792547501571204</v>
      </c>
      <c r="T1041" s="2">
        <v>3.3663672810177698</v>
      </c>
      <c r="U1041" s="2">
        <v>1.08500947360306</v>
      </c>
      <c r="V1041" s="2">
        <v>0.38283950430166602</v>
      </c>
      <c r="W1041" s="2">
        <v>0.15675103715858801</v>
      </c>
      <c r="X1041" s="2">
        <v>3.66800755006666</v>
      </c>
      <c r="Y1041" s="2">
        <v>0.56592289505572702</v>
      </c>
      <c r="Z1041" s="7">
        <v>107.09247345167</v>
      </c>
      <c r="AA1041" s="2">
        <v>12.782290977767801</v>
      </c>
      <c r="AB1041" s="7">
        <v>97.217334218528805</v>
      </c>
      <c r="AC1041" s="2">
        <v>4.5680234316579602</v>
      </c>
      <c r="AD1041" s="2">
        <v>76.298689145239507</v>
      </c>
      <c r="AE1041" s="2">
        <v>24.591731571562502</v>
      </c>
      <c r="AF1041" s="2">
        <v>96.177400667555503</v>
      </c>
      <c r="AG1041" s="2">
        <v>6.84928832066075</v>
      </c>
      <c r="AH1041" s="2">
        <v>81.542937183456999</v>
      </c>
      <c r="AI1041" s="2">
        <v>10.839293959452799</v>
      </c>
      <c r="AJ1041" s="2">
        <v>94.863141318757997</v>
      </c>
      <c r="AK1041" s="2">
        <v>38.841069489318002</v>
      </c>
      <c r="AL1041" s="2">
        <v>109.05967763264201</v>
      </c>
      <c r="AM1041" s="2">
        <v>16.826401706449001</v>
      </c>
      <c r="AN1041"/>
      <c r="AO1041"/>
    </row>
    <row r="1042" spans="1:41" ht="15.75" hidden="1" customHeight="1" x14ac:dyDescent="0.45">
      <c r="A1042" s="2" t="s">
        <v>197</v>
      </c>
      <c r="B1042" s="2" t="s">
        <v>94</v>
      </c>
      <c r="C1042" s="2">
        <v>0.1</v>
      </c>
      <c r="D1042" s="2"/>
      <c r="E1042" s="2" t="s">
        <v>83</v>
      </c>
      <c r="F1042" s="2" t="s">
        <v>84</v>
      </c>
      <c r="H1042" s="2">
        <v>0.56000000000000005</v>
      </c>
      <c r="J1042" s="2">
        <v>0.56059471699999996</v>
      </c>
      <c r="K1042" s="2">
        <v>47.229574468722198</v>
      </c>
      <c r="L1042" s="2"/>
      <c r="M1042" s="2">
        <v>7.7649879804005302</v>
      </c>
      <c r="N1042" s="2">
        <v>378.944444444444</v>
      </c>
      <c r="O1042" s="2">
        <v>46.669444361776897</v>
      </c>
      <c r="P1042" s="2">
        <v>16.603803197277699</v>
      </c>
      <c r="Q1042" s="2">
        <v>1.4294935372631199</v>
      </c>
      <c r="R1042" s="2">
        <v>4.4200638872999898</v>
      </c>
      <c r="S1042" s="2">
        <v>1.25091320618101</v>
      </c>
      <c r="T1042" s="2">
        <v>3.6976875918477701</v>
      </c>
      <c r="U1042" s="2">
        <v>0.46283982106204302</v>
      </c>
      <c r="V1042" s="2">
        <v>0.367804702209444</v>
      </c>
      <c r="W1042" s="2">
        <v>0.16306503227270799</v>
      </c>
      <c r="X1042" s="2">
        <v>3.32602920277388</v>
      </c>
      <c r="Y1042" s="2">
        <v>0.20613795526348</v>
      </c>
      <c r="Z1042" s="7">
        <v>105.743740795287</v>
      </c>
      <c r="AA1042" s="2">
        <v>13.0230214481355</v>
      </c>
      <c r="AB1042" s="7">
        <v>102.811281822033</v>
      </c>
      <c r="AC1042" s="2">
        <v>16.9031454671765</v>
      </c>
      <c r="AD1042" s="2">
        <v>83.808061502221193</v>
      </c>
      <c r="AE1042" s="2">
        <v>10.4902610687727</v>
      </c>
      <c r="AF1042" s="2">
        <v>86.174098839607396</v>
      </c>
      <c r="AG1042" s="2">
        <v>7.4191024735157596</v>
      </c>
      <c r="AH1042" s="2">
        <v>78.809613617142901</v>
      </c>
      <c r="AI1042" s="2">
        <v>22.303746950573402</v>
      </c>
      <c r="AJ1042" s="2">
        <v>91.137693606208998</v>
      </c>
      <c r="AK1042" s="2">
        <v>40.405603462605796</v>
      </c>
      <c r="AL1042" s="2">
        <v>98.891746459105306</v>
      </c>
      <c r="AM1042" s="2">
        <v>6.1290328992040299</v>
      </c>
      <c r="AN1042"/>
      <c r="AO1042"/>
    </row>
    <row r="1043" spans="1:41" ht="15.75" hidden="1" customHeight="1" x14ac:dyDescent="0.45">
      <c r="A1043" s="2" t="s">
        <v>197</v>
      </c>
      <c r="B1043" s="2" t="s">
        <v>94</v>
      </c>
      <c r="C1043" s="2">
        <v>0.3</v>
      </c>
      <c r="D1043" s="2"/>
      <c r="E1043" s="2" t="s">
        <v>83</v>
      </c>
      <c r="F1043" s="2" t="s">
        <v>84</v>
      </c>
      <c r="H1043" s="2">
        <v>0.56000000000000005</v>
      </c>
      <c r="J1043" s="2">
        <v>0.56059471699999996</v>
      </c>
      <c r="K1043" s="2">
        <v>36.601597180444401</v>
      </c>
      <c r="L1043" s="2"/>
      <c r="M1043" s="2">
        <v>2.2446885836247898</v>
      </c>
      <c r="N1043" s="2">
        <v>258.444444444444</v>
      </c>
      <c r="O1043" s="2">
        <v>23.941092830652298</v>
      </c>
      <c r="P1043" s="2">
        <v>21.244854302166601</v>
      </c>
      <c r="Q1043" s="2">
        <v>1.8688684479595301</v>
      </c>
      <c r="R1043" s="2">
        <v>4.4768959671722204</v>
      </c>
      <c r="S1043" s="2">
        <v>1.2136665098918999</v>
      </c>
      <c r="T1043" s="2">
        <v>4.7674894291955496</v>
      </c>
      <c r="U1043" s="2">
        <v>1.4704220815464899</v>
      </c>
      <c r="V1043" s="2">
        <v>0.41831832427666599</v>
      </c>
      <c r="W1043" s="2">
        <v>0.187975530367781</v>
      </c>
      <c r="X1043" s="2">
        <v>3.2900965182333302</v>
      </c>
      <c r="Y1043" s="2">
        <v>0.67844061857433702</v>
      </c>
      <c r="Z1043" s="7">
        <v>72.118440430974303</v>
      </c>
      <c r="AA1043" s="2">
        <v>6.6807173234902999</v>
      </c>
      <c r="AB1043" s="7">
        <v>79.675863379783095</v>
      </c>
      <c r="AC1043" s="2">
        <v>4.8863305073091796</v>
      </c>
      <c r="AD1043" s="2">
        <v>108.055112112256</v>
      </c>
      <c r="AE1043" s="2">
        <v>33.327105436425299</v>
      </c>
      <c r="AF1043" s="2">
        <v>110.261254768914</v>
      </c>
      <c r="AG1043" s="2">
        <v>9.6994677929627802</v>
      </c>
      <c r="AH1043" s="2">
        <v>79.822927987701604</v>
      </c>
      <c r="AI1043" s="2">
        <v>21.6396394132381</v>
      </c>
      <c r="AJ1043" s="2">
        <v>103.654377007066</v>
      </c>
      <c r="AK1043" s="2">
        <v>46.5781328765285</v>
      </c>
      <c r="AL1043" s="2">
        <v>97.823371615548297</v>
      </c>
      <c r="AM1043" s="2">
        <v>20.171854649880199</v>
      </c>
      <c r="AN1043"/>
      <c r="AO1043"/>
    </row>
    <row r="1044" spans="1:41" ht="15.75" hidden="1" customHeight="1" x14ac:dyDescent="0.45">
      <c r="A1044" s="2" t="s">
        <v>197</v>
      </c>
      <c r="B1044" s="2" t="s">
        <v>94</v>
      </c>
      <c r="C1044" s="2">
        <v>1</v>
      </c>
      <c r="D1044" s="2"/>
      <c r="E1044" s="2" t="s">
        <v>83</v>
      </c>
      <c r="F1044" s="2" t="s">
        <v>84</v>
      </c>
      <c r="H1044" s="2">
        <v>0.56000000000000005</v>
      </c>
      <c r="J1044" s="2">
        <v>0.56059471699999996</v>
      </c>
      <c r="K1044" s="2">
        <v>18.794478180311099</v>
      </c>
      <c r="L1044" s="2"/>
      <c r="M1044" s="2">
        <v>2.8120197780126301</v>
      </c>
      <c r="N1044" s="2">
        <v>124.055555555555</v>
      </c>
      <c r="O1044" s="2">
        <v>13.1300475303082</v>
      </c>
      <c r="P1044" s="2">
        <v>14.7583565672833</v>
      </c>
      <c r="Q1044" s="2">
        <v>2.2459758585179399</v>
      </c>
      <c r="R1044" s="2">
        <v>3.84296774566833</v>
      </c>
      <c r="S1044" s="2">
        <v>0.63525857328121105</v>
      </c>
      <c r="T1044" s="2">
        <v>5.7229929816205498</v>
      </c>
      <c r="U1044" s="2">
        <v>0.17311448560874401</v>
      </c>
      <c r="V1044" s="2">
        <v>0.19936309122444401</v>
      </c>
      <c r="W1044" s="2">
        <v>0.113574171526932</v>
      </c>
      <c r="X1044" s="2">
        <v>4.6184227060055498</v>
      </c>
      <c r="Y1044" s="2">
        <v>0.45952207229703101</v>
      </c>
      <c r="Z1044" s="7">
        <v>34.617471513836101</v>
      </c>
      <c r="AA1044" s="2">
        <v>3.6639152863428901</v>
      </c>
      <c r="AB1044" s="7">
        <v>40.912593743008799</v>
      </c>
      <c r="AC1044" s="2">
        <v>6.12132040439724</v>
      </c>
      <c r="AD1044" s="2">
        <v>129.71159295281501</v>
      </c>
      <c r="AE1044" s="2">
        <v>3.9236385163552998</v>
      </c>
      <c r="AF1044" s="2">
        <v>76.596190790056696</v>
      </c>
      <c r="AG1044" s="2">
        <v>11.6566634357018</v>
      </c>
      <c r="AH1044" s="2">
        <v>68.520005796628496</v>
      </c>
      <c r="AI1044" s="2">
        <v>11.326642325491701</v>
      </c>
      <c r="AJ1044" s="2">
        <v>49.3998369657971</v>
      </c>
      <c r="AK1044" s="2">
        <v>28.142348327853401</v>
      </c>
      <c r="AL1044" s="2">
        <v>137.31806290286599</v>
      </c>
      <c r="AM1044" s="2">
        <v>13.6628205874024</v>
      </c>
      <c r="AN1044"/>
      <c r="AO1044"/>
    </row>
    <row r="1045" spans="1:41" ht="15.75" hidden="1" customHeight="1" x14ac:dyDescent="0.45">
      <c r="A1045" s="2" t="s">
        <v>197</v>
      </c>
      <c r="B1045" s="2" t="s">
        <v>94</v>
      </c>
      <c r="C1045" s="2">
        <v>3</v>
      </c>
      <c r="D1045" s="2"/>
      <c r="E1045" s="2" t="s">
        <v>83</v>
      </c>
      <c r="F1045" s="2" t="s">
        <v>84</v>
      </c>
      <c r="H1045" s="2">
        <v>0.56000000000000005</v>
      </c>
      <c r="J1045" s="2">
        <v>0.56059471699999996</v>
      </c>
      <c r="K1045" s="2">
        <v>0</v>
      </c>
      <c r="L1045" s="2"/>
      <c r="M1045" s="2">
        <v>0</v>
      </c>
      <c r="N1045" s="2">
        <v>8.8333333333333304</v>
      </c>
      <c r="O1045" s="2">
        <v>2.7537852736430501</v>
      </c>
      <c r="P1045" s="2">
        <v>0</v>
      </c>
      <c r="Q1045" s="2">
        <v>0</v>
      </c>
      <c r="R1045" s="2">
        <v>32.432382432416603</v>
      </c>
      <c r="S1045" s="2">
        <v>8.2986156795623707</v>
      </c>
      <c r="T1045" s="2">
        <v>28.258084508166601</v>
      </c>
      <c r="U1045" s="2">
        <v>12.4853840393646</v>
      </c>
      <c r="V1045" s="2">
        <v>0</v>
      </c>
      <c r="W1045" s="2">
        <v>0</v>
      </c>
      <c r="X1045" s="2">
        <v>5.3030303030750003</v>
      </c>
      <c r="Y1045" s="2">
        <v>7.3057960311335099</v>
      </c>
      <c r="Z1045" s="7">
        <v>2.4649251995969301</v>
      </c>
      <c r="AA1045" s="2">
        <v>0.76843864701302</v>
      </c>
      <c r="AB1045" s="7">
        <v>0</v>
      </c>
      <c r="AC1045" s="2">
        <v>0</v>
      </c>
      <c r="AD1045" s="2">
        <v>640.46927317944403</v>
      </c>
      <c r="AE1045" s="2">
        <v>282.98113549582803</v>
      </c>
      <c r="AF1045" s="2">
        <v>0</v>
      </c>
      <c r="AG1045" s="2">
        <v>0</v>
      </c>
      <c r="AH1045" s="2">
        <v>578.26845795740201</v>
      </c>
      <c r="AI1045" s="2">
        <v>147.964081954249</v>
      </c>
      <c r="AJ1045" s="2">
        <v>0</v>
      </c>
      <c r="AK1045" s="2">
        <v>0</v>
      </c>
      <c r="AL1045" s="2">
        <v>157.67327832217299</v>
      </c>
      <c r="AM1045" s="2">
        <v>217.220861497622</v>
      </c>
      <c r="AN1045"/>
      <c r="AO1045"/>
    </row>
    <row r="1046" spans="1:41" ht="15.75" hidden="1" customHeight="1" x14ac:dyDescent="0.45">
      <c r="A1046" s="2" t="s">
        <v>197</v>
      </c>
      <c r="B1046" s="2" t="s">
        <v>94</v>
      </c>
      <c r="C1046" s="2">
        <v>10</v>
      </c>
      <c r="D1046" s="2"/>
      <c r="E1046" s="2" t="s">
        <v>83</v>
      </c>
      <c r="F1046" s="2" t="s">
        <v>84</v>
      </c>
      <c r="H1046" s="2">
        <v>0.56000000000000005</v>
      </c>
      <c r="J1046" s="2">
        <v>0.56059471699999996</v>
      </c>
      <c r="K1046" s="2">
        <v>0</v>
      </c>
      <c r="L1046" s="2"/>
      <c r="M1046" s="2">
        <v>0</v>
      </c>
      <c r="N1046" s="2">
        <v>18.422222222222199</v>
      </c>
      <c r="O1046" s="2">
        <v>2.6302372798187199</v>
      </c>
      <c r="P1046" s="2">
        <v>0</v>
      </c>
      <c r="Q1046" s="2">
        <v>0</v>
      </c>
      <c r="R1046" s="2">
        <v>28.1081944005333</v>
      </c>
      <c r="S1046" s="2">
        <v>12.915877350865401</v>
      </c>
      <c r="T1046" s="2">
        <v>20.019069212994399</v>
      </c>
      <c r="U1046" s="2">
        <v>4.3065638093774004</v>
      </c>
      <c r="V1046" s="2">
        <v>0</v>
      </c>
      <c r="W1046" s="2">
        <v>0</v>
      </c>
      <c r="X1046" s="2">
        <v>0.20576131687222199</v>
      </c>
      <c r="Y1046" s="2">
        <v>0.35638905505496798</v>
      </c>
      <c r="Z1046" s="7">
        <v>5.1406867684675603</v>
      </c>
      <c r="AA1046" s="2">
        <v>0.733962809654088</v>
      </c>
      <c r="AB1046" s="7">
        <v>0</v>
      </c>
      <c r="AC1046" s="2">
        <v>0</v>
      </c>
      <c r="AD1046" s="2">
        <v>453.73205338352102</v>
      </c>
      <c r="AE1046" s="2">
        <v>97.608236400302005</v>
      </c>
      <c r="AF1046" s="2">
        <v>0</v>
      </c>
      <c r="AG1046" s="2">
        <v>0</v>
      </c>
      <c r="AH1046" s="2">
        <v>501.16830812025302</v>
      </c>
      <c r="AI1046" s="2">
        <v>230.28972646137399</v>
      </c>
      <c r="AJ1046" s="2">
        <v>0</v>
      </c>
      <c r="AK1046" s="2">
        <v>0</v>
      </c>
      <c r="AL1046" s="2">
        <v>6.1178344321959699</v>
      </c>
      <c r="AM1046" s="2">
        <v>10.596400068857699</v>
      </c>
      <c r="AN1046"/>
      <c r="AO1046"/>
    </row>
    <row r="1047" spans="1:41" ht="15.75" hidden="1" customHeight="1" x14ac:dyDescent="0.45">
      <c r="A1047" s="2" t="s">
        <v>198</v>
      </c>
      <c r="B1047" s="2" t="s">
        <v>122</v>
      </c>
      <c r="C1047" s="2">
        <v>3.0000000000000001E-3</v>
      </c>
      <c r="D1047" s="2"/>
      <c r="E1047" s="2" t="s">
        <v>109</v>
      </c>
      <c r="F1047" s="2" t="s">
        <v>84</v>
      </c>
      <c r="H1047" s="2">
        <v>0.1</v>
      </c>
      <c r="J1047" s="2">
        <v>0.1</v>
      </c>
      <c r="K1047" s="2">
        <v>24.1666666666666</v>
      </c>
      <c r="L1047" s="2"/>
      <c r="M1047" s="2">
        <v>3.2446537223219498</v>
      </c>
      <c r="N1047" s="2">
        <v>108.166666666666</v>
      </c>
      <c r="O1047" s="2">
        <v>11.3247516529061</v>
      </c>
      <c r="P1047" s="2">
        <v>17.9444444444444</v>
      </c>
      <c r="Q1047" s="2">
        <v>2.9642936826564501</v>
      </c>
      <c r="R1047" s="2">
        <v>1.1111111111111101</v>
      </c>
      <c r="S1047" s="2">
        <v>0.41943524640392998</v>
      </c>
      <c r="T1047" s="2">
        <v>3.6111111111111098</v>
      </c>
      <c r="U1047" s="2">
        <v>1.13447654759234</v>
      </c>
      <c r="V1047" s="2">
        <v>0.27777777777777701</v>
      </c>
      <c r="W1047" s="2">
        <v>9.6225044864937506E-2</v>
      </c>
      <c r="X1047" s="2">
        <v>2.6666666666666599</v>
      </c>
      <c r="Y1047" s="2">
        <v>0.33333333333332998</v>
      </c>
      <c r="Z1047" s="7">
        <v>75.341008029408897</v>
      </c>
      <c r="AA1047" s="2">
        <v>7.8879957338612803</v>
      </c>
      <c r="AB1047" s="7">
        <v>67.96875</v>
      </c>
      <c r="AC1047" s="2">
        <v>9.1255885940304893</v>
      </c>
      <c r="AD1047" s="2">
        <v>73.863636363636303</v>
      </c>
      <c r="AE1047" s="2">
        <v>23.205202109843299</v>
      </c>
      <c r="AF1047" s="2">
        <v>106.953642384105</v>
      </c>
      <c r="AG1047" s="2">
        <v>17.6679755919921</v>
      </c>
      <c r="AH1047" s="2">
        <v>47.619047619047599</v>
      </c>
      <c r="AI1047" s="2">
        <v>17.975796274454101</v>
      </c>
      <c r="AJ1047" s="2">
        <v>45.454545454545404</v>
      </c>
      <c r="AK1047" s="2">
        <v>15.7459164324443</v>
      </c>
      <c r="AL1047" s="2">
        <v>118.51851851851799</v>
      </c>
      <c r="AM1047" s="2">
        <v>14.8148148148146</v>
      </c>
      <c r="AN1047"/>
      <c r="AO1047"/>
    </row>
    <row r="1048" spans="1:41" ht="15.75" hidden="1" customHeight="1" x14ac:dyDescent="0.45">
      <c r="A1048" s="2" t="s">
        <v>198</v>
      </c>
      <c r="B1048" s="2" t="s">
        <v>122</v>
      </c>
      <c r="C1048" s="2">
        <v>0.01</v>
      </c>
      <c r="D1048" s="2"/>
      <c r="E1048" s="2" t="s">
        <v>109</v>
      </c>
      <c r="F1048" s="2" t="s">
        <v>84</v>
      </c>
      <c r="H1048" s="2">
        <v>0.1</v>
      </c>
      <c r="J1048" s="2">
        <v>0.1</v>
      </c>
      <c r="K1048" s="2">
        <v>15.0555555555555</v>
      </c>
      <c r="L1048" s="2"/>
      <c r="M1048" s="2">
        <v>2.4400212506663999</v>
      </c>
      <c r="N1048" s="2">
        <v>86</v>
      </c>
      <c r="O1048" s="2">
        <v>9.5</v>
      </c>
      <c r="P1048" s="2">
        <v>14.7777777777777</v>
      </c>
      <c r="Q1048" s="2">
        <v>1.98839224090815</v>
      </c>
      <c r="R1048" s="2">
        <v>0.999999999999999</v>
      </c>
      <c r="S1048" s="2">
        <v>0.5</v>
      </c>
      <c r="T1048" s="2">
        <v>3.6111111111111098</v>
      </c>
      <c r="U1048" s="2">
        <v>0.67357531405456195</v>
      </c>
      <c r="V1048" s="2">
        <v>0.11111111111111099</v>
      </c>
      <c r="W1048" s="2">
        <v>0.19245008972987501</v>
      </c>
      <c r="X1048" s="2">
        <v>1.49999999999999</v>
      </c>
      <c r="Y1048" s="2">
        <v>0.44095855184409799</v>
      </c>
      <c r="Z1048" s="7">
        <v>59.901325336170999</v>
      </c>
      <c r="AA1048" s="2">
        <v>6.6170068685305203</v>
      </c>
      <c r="AB1048" s="7">
        <v>42.34375</v>
      </c>
      <c r="AC1048" s="2">
        <v>6.8625597674992598</v>
      </c>
      <c r="AD1048" s="2">
        <v>73.863636363636303</v>
      </c>
      <c r="AE1048" s="2">
        <v>13.7776768783887</v>
      </c>
      <c r="AF1048" s="2">
        <v>88.079470198675494</v>
      </c>
      <c r="AG1048" s="2">
        <v>11.851344482233999</v>
      </c>
      <c r="AH1048" s="2">
        <v>42.857142857142797</v>
      </c>
      <c r="AI1048" s="2">
        <v>21.428571428571399</v>
      </c>
      <c r="AJ1048" s="2">
        <v>18.181818181818102</v>
      </c>
      <c r="AK1048" s="2">
        <v>31.4918328648886</v>
      </c>
      <c r="AL1048" s="2">
        <v>66.6666666666666</v>
      </c>
      <c r="AM1048" s="2">
        <v>19.5981578597377</v>
      </c>
      <c r="AN1048"/>
      <c r="AO1048"/>
    </row>
    <row r="1049" spans="1:41" ht="15.75" hidden="1" customHeight="1" x14ac:dyDescent="0.45">
      <c r="A1049" s="2" t="s">
        <v>198</v>
      </c>
      <c r="B1049" s="2" t="s">
        <v>122</v>
      </c>
      <c r="C1049" s="2">
        <v>0.03</v>
      </c>
      <c r="D1049" s="2"/>
      <c r="E1049" s="2" t="s">
        <v>109</v>
      </c>
      <c r="F1049" s="2" t="s">
        <v>84</v>
      </c>
      <c r="H1049" s="2">
        <v>0.1</v>
      </c>
      <c r="J1049" s="2">
        <v>0.1</v>
      </c>
      <c r="K1049" s="2">
        <v>12.7777777777777</v>
      </c>
      <c r="L1049" s="2"/>
      <c r="M1049" s="2">
        <v>2.5073964658659502</v>
      </c>
      <c r="N1049" s="2">
        <v>77.7777777777777</v>
      </c>
      <c r="O1049" s="2">
        <v>6.0007715553302701</v>
      </c>
      <c r="P1049" s="2">
        <v>13.7777777777777</v>
      </c>
      <c r="Q1049" s="2">
        <v>4.1510819651605804</v>
      </c>
      <c r="R1049" s="2">
        <v>0.83333333333333304</v>
      </c>
      <c r="S1049" s="2">
        <v>0.44095855184409799</v>
      </c>
      <c r="T1049" s="2">
        <v>4.4444444444444402</v>
      </c>
      <c r="U1049" s="2">
        <v>1.2509255832441899</v>
      </c>
      <c r="V1049" s="2">
        <v>0.22222222222222199</v>
      </c>
      <c r="W1049" s="2">
        <v>0.25458753860865702</v>
      </c>
      <c r="X1049" s="2">
        <v>2.38888888888888</v>
      </c>
      <c r="Y1049" s="2">
        <v>0.94770678384622198</v>
      </c>
      <c r="Z1049" s="7">
        <v>54.174325239431099</v>
      </c>
      <c r="AA1049" s="2">
        <v>4.1796996419055796</v>
      </c>
      <c r="AB1049" s="7">
        <v>35.9375</v>
      </c>
      <c r="AC1049" s="2">
        <v>7.05205256024799</v>
      </c>
      <c r="AD1049" s="2">
        <v>90.909090909090907</v>
      </c>
      <c r="AE1049" s="2">
        <v>25.587114202721999</v>
      </c>
      <c r="AF1049" s="2">
        <v>82.119205298013199</v>
      </c>
      <c r="AG1049" s="2">
        <v>24.741548136718698</v>
      </c>
      <c r="AH1049" s="2">
        <v>35.714285714285701</v>
      </c>
      <c r="AI1049" s="2">
        <v>18.898223650461301</v>
      </c>
      <c r="AJ1049" s="2">
        <v>36.363636363636303</v>
      </c>
      <c r="AK1049" s="2">
        <v>41.659779045053099</v>
      </c>
      <c r="AL1049" s="2">
        <v>106.172839506172</v>
      </c>
      <c r="AM1049" s="2">
        <v>42.120301504276497</v>
      </c>
      <c r="AN1049"/>
      <c r="AO1049"/>
    </row>
    <row r="1050" spans="1:41" ht="15.75" hidden="1" customHeight="1" x14ac:dyDescent="0.45">
      <c r="A1050" s="2" t="s">
        <v>198</v>
      </c>
      <c r="B1050" s="2" t="s">
        <v>122</v>
      </c>
      <c r="C1050" s="2">
        <v>0.1</v>
      </c>
      <c r="D1050" s="2"/>
      <c r="E1050" s="2" t="s">
        <v>109</v>
      </c>
      <c r="F1050" s="2" t="s">
        <v>84</v>
      </c>
      <c r="H1050" s="2">
        <v>0.1</v>
      </c>
      <c r="J1050" s="2">
        <v>0.1</v>
      </c>
      <c r="K1050" s="2">
        <v>5.5</v>
      </c>
      <c r="L1050" s="2"/>
      <c r="M1050" s="2">
        <v>2.4551533104427001</v>
      </c>
      <c r="N1050" s="2">
        <v>68.6666666666666</v>
      </c>
      <c r="O1050" s="2">
        <v>3.75277674973252</v>
      </c>
      <c r="P1050" s="2">
        <v>9.4444444444444393</v>
      </c>
      <c r="Q1050" s="2">
        <v>3.7466034000194099</v>
      </c>
      <c r="R1050" s="2">
        <v>5.5555555555555497E-2</v>
      </c>
      <c r="S1050" s="2">
        <v>9.6225044864937603E-2</v>
      </c>
      <c r="T1050" s="2">
        <v>3.6111111111111098</v>
      </c>
      <c r="U1050" s="2">
        <v>0.58531409738070905</v>
      </c>
      <c r="V1050" s="2">
        <v>0.27777777777777701</v>
      </c>
      <c r="W1050" s="2">
        <v>0.19245008972987501</v>
      </c>
      <c r="X1050" s="2">
        <v>3.3333333333333299</v>
      </c>
      <c r="Y1050" s="2">
        <v>1.58989866902824</v>
      </c>
      <c r="Z1050" s="7">
        <v>47.828189997097802</v>
      </c>
      <c r="AA1050" s="2">
        <v>2.6139104767412298</v>
      </c>
      <c r="AB1050" s="7">
        <v>15.46875</v>
      </c>
      <c r="AC1050" s="2">
        <v>6.9051186856201099</v>
      </c>
      <c r="AD1050" s="2">
        <v>73.863636363636303</v>
      </c>
      <c r="AE1050" s="2">
        <v>11.972333810059901</v>
      </c>
      <c r="AF1050" s="2">
        <v>56.291390728476799</v>
      </c>
      <c r="AG1050" s="2">
        <v>22.3307487418375</v>
      </c>
      <c r="AH1050" s="2">
        <v>2.38095238095238</v>
      </c>
      <c r="AI1050" s="2">
        <v>4.12393049421161</v>
      </c>
      <c r="AJ1050" s="2">
        <v>45.454545454545404</v>
      </c>
      <c r="AK1050" s="2">
        <v>31.4918328648886</v>
      </c>
      <c r="AL1050" s="2">
        <v>148.14814814814801</v>
      </c>
      <c r="AM1050" s="2">
        <v>70.662163067921895</v>
      </c>
      <c r="AN1050"/>
      <c r="AO1050"/>
    </row>
    <row r="1051" spans="1:41" ht="15.75" hidden="1" customHeight="1" x14ac:dyDescent="0.45">
      <c r="A1051" s="2" t="s">
        <v>198</v>
      </c>
      <c r="B1051" s="2" t="s">
        <v>122</v>
      </c>
      <c r="C1051" s="2">
        <v>0.3</v>
      </c>
      <c r="D1051" s="2"/>
      <c r="E1051" s="2" t="s">
        <v>109</v>
      </c>
      <c r="F1051" s="2" t="s">
        <v>84</v>
      </c>
      <c r="H1051" s="2">
        <v>0.1</v>
      </c>
      <c r="J1051" s="2">
        <v>0.1</v>
      </c>
      <c r="K1051" s="2">
        <v>1.44444444444444</v>
      </c>
      <c r="L1051" s="2"/>
      <c r="M1051" s="2">
        <v>0.97657754618038595</v>
      </c>
      <c r="N1051" s="2">
        <v>58.1666666666666</v>
      </c>
      <c r="O1051" s="2">
        <v>1.0929064207169501</v>
      </c>
      <c r="P1051" s="2">
        <v>6.7777777777777697</v>
      </c>
      <c r="Q1051" s="2">
        <v>1.9317042945237399</v>
      </c>
      <c r="R1051" s="2">
        <v>0</v>
      </c>
      <c r="S1051" s="2">
        <v>0</v>
      </c>
      <c r="T1051" s="2">
        <v>4.3333333333333304</v>
      </c>
      <c r="U1051" s="2">
        <v>0.33333333333333198</v>
      </c>
      <c r="V1051" s="2">
        <v>0.11111111111111099</v>
      </c>
      <c r="W1051" s="2">
        <v>0.19245008972987501</v>
      </c>
      <c r="X1051" s="2">
        <v>5.2777777777777697</v>
      </c>
      <c r="Y1051" s="2">
        <v>9.6225044864938894E-2</v>
      </c>
      <c r="Z1051" s="7">
        <v>40.514656089774597</v>
      </c>
      <c r="AA1051" s="2">
        <v>0.76123887289949299</v>
      </c>
      <c r="AB1051" s="7">
        <v>4.0625</v>
      </c>
      <c r="AC1051" s="2">
        <v>2.7466243486323298</v>
      </c>
      <c r="AD1051" s="2">
        <v>88.636363636363598</v>
      </c>
      <c r="AE1051" s="2">
        <v>6.8181818181817997</v>
      </c>
      <c r="AF1051" s="2">
        <v>40.397350993377401</v>
      </c>
      <c r="AG1051" s="2">
        <v>11.5134693051083</v>
      </c>
      <c r="AH1051" s="2">
        <v>0</v>
      </c>
      <c r="AI1051" s="2">
        <v>0</v>
      </c>
      <c r="AJ1051" s="2">
        <v>18.181818181818102</v>
      </c>
      <c r="AK1051" s="2">
        <v>31.4918328648886</v>
      </c>
      <c r="AL1051" s="2">
        <v>234.56790123456699</v>
      </c>
      <c r="AM1051" s="2">
        <v>4.2766686606639501</v>
      </c>
      <c r="AN1051"/>
      <c r="AO1051"/>
    </row>
    <row r="1052" spans="1:41" ht="15.75" hidden="1" customHeight="1" x14ac:dyDescent="0.45">
      <c r="A1052" s="2" t="s">
        <v>198</v>
      </c>
      <c r="B1052" s="2" t="s">
        <v>122</v>
      </c>
      <c r="C1052" s="2">
        <v>1</v>
      </c>
      <c r="D1052" s="2"/>
      <c r="E1052" s="2" t="s">
        <v>109</v>
      </c>
      <c r="F1052" s="2" t="s">
        <v>84</v>
      </c>
      <c r="H1052" s="2">
        <v>0.1</v>
      </c>
      <c r="J1052" s="2">
        <v>0.1</v>
      </c>
      <c r="K1052" s="2">
        <v>0.72222222222222199</v>
      </c>
      <c r="L1052" s="2"/>
      <c r="M1052" s="2">
        <v>0.41943524640392998</v>
      </c>
      <c r="N1052" s="2">
        <v>30.3333333333333</v>
      </c>
      <c r="O1052" s="2">
        <v>12.2383731671238</v>
      </c>
      <c r="P1052" s="2">
        <v>2.1666666666666599</v>
      </c>
      <c r="Q1052" s="2">
        <v>3.1928740101113302</v>
      </c>
      <c r="R1052" s="2">
        <v>0</v>
      </c>
      <c r="S1052" s="2">
        <v>0</v>
      </c>
      <c r="T1052" s="2">
        <v>60.0555555555555</v>
      </c>
      <c r="U1052" s="2">
        <v>45.0852073958402</v>
      </c>
      <c r="V1052" s="2">
        <v>0</v>
      </c>
      <c r="W1052" s="2">
        <v>0</v>
      </c>
      <c r="X1052" s="2">
        <v>4.3333333333333304</v>
      </c>
      <c r="Y1052" s="2">
        <v>4.3588989435406704</v>
      </c>
      <c r="Z1052" s="7">
        <v>21.1279868433781</v>
      </c>
      <c r="AA1052" s="2">
        <v>8.5243578217366593</v>
      </c>
      <c r="AB1052" s="7">
        <v>2.03125</v>
      </c>
      <c r="AC1052" s="2">
        <v>1.1796616305110501</v>
      </c>
      <c r="AD1052" s="2">
        <v>1228.4090909090901</v>
      </c>
      <c r="AE1052" s="2">
        <v>922.197424005823</v>
      </c>
      <c r="AF1052" s="2">
        <v>12.9139072847682</v>
      </c>
      <c r="AG1052" s="2">
        <v>19.0303748947033</v>
      </c>
      <c r="AH1052" s="2">
        <v>0</v>
      </c>
      <c r="AI1052" s="2">
        <v>0</v>
      </c>
      <c r="AJ1052" s="2">
        <v>0</v>
      </c>
      <c r="AK1052" s="2">
        <v>0</v>
      </c>
      <c r="AL1052" s="2">
        <v>192.59259259259201</v>
      </c>
      <c r="AM1052" s="2">
        <v>193.72884193514099</v>
      </c>
      <c r="AN1052"/>
      <c r="AO1052"/>
    </row>
    <row r="1053" spans="1:41" ht="15.75" hidden="1" customHeight="1" x14ac:dyDescent="0.45">
      <c r="A1053" s="2" t="s">
        <v>198</v>
      </c>
      <c r="B1053" s="2" t="s">
        <v>122</v>
      </c>
      <c r="C1053" s="2">
        <v>3</v>
      </c>
      <c r="D1053" s="2"/>
      <c r="E1053" s="2" t="s">
        <v>109</v>
      </c>
      <c r="F1053" s="2" t="s">
        <v>84</v>
      </c>
      <c r="H1053" s="2">
        <v>0.1</v>
      </c>
      <c r="J1053" s="2">
        <v>0.1</v>
      </c>
      <c r="K1053" s="2">
        <v>0</v>
      </c>
      <c r="L1053" s="2"/>
      <c r="M1053" s="2">
        <v>0</v>
      </c>
      <c r="N1053" s="2">
        <v>29.8333333333333</v>
      </c>
      <c r="O1053" s="2">
        <v>4.2849867107274697</v>
      </c>
      <c r="P1053" s="2">
        <v>0</v>
      </c>
      <c r="Q1053" s="2">
        <v>0</v>
      </c>
      <c r="R1053" s="2">
        <v>0</v>
      </c>
      <c r="S1053" s="2">
        <v>0</v>
      </c>
      <c r="T1053" s="2">
        <v>94.2777777777777</v>
      </c>
      <c r="U1053" s="2">
        <v>9.62250448736892E-2</v>
      </c>
      <c r="V1053" s="2">
        <v>0</v>
      </c>
      <c r="W1053" s="2">
        <v>0</v>
      </c>
      <c r="X1053" s="2">
        <v>1.7777777777777699</v>
      </c>
      <c r="Y1053" s="2">
        <v>0.67357531405456395</v>
      </c>
      <c r="Z1053" s="7">
        <v>20.779723323981798</v>
      </c>
      <c r="AA1053" s="2">
        <v>2.98460910488902</v>
      </c>
      <c r="AB1053" s="7">
        <v>0</v>
      </c>
      <c r="AC1053" s="2">
        <v>0</v>
      </c>
      <c r="AD1053" s="2">
        <v>1928.4090909090901</v>
      </c>
      <c r="AE1053" s="2">
        <v>1.9682395542345501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79.012345679012299</v>
      </c>
      <c r="AM1053" s="2">
        <v>29.936680624647298</v>
      </c>
      <c r="AN1053"/>
      <c r="AO1053"/>
    </row>
    <row r="1054" spans="1:41" ht="15.75" hidden="1" customHeight="1" x14ac:dyDescent="0.45">
      <c r="A1054" s="2" t="s">
        <v>198</v>
      </c>
      <c r="B1054" s="2" t="s">
        <v>122</v>
      </c>
      <c r="C1054" s="2">
        <v>10</v>
      </c>
      <c r="D1054" s="2"/>
      <c r="E1054" s="2" t="s">
        <v>109</v>
      </c>
      <c r="F1054" s="2" t="s">
        <v>84</v>
      </c>
      <c r="H1054" s="2">
        <v>0.1</v>
      </c>
      <c r="J1054" s="2">
        <v>0.1</v>
      </c>
      <c r="K1054" s="2">
        <v>0</v>
      </c>
      <c r="L1054" s="2"/>
      <c r="M1054" s="2">
        <v>0</v>
      </c>
      <c r="N1054" s="2">
        <v>9.1111111111111107</v>
      </c>
      <c r="O1054" s="2">
        <v>0.83887049280787296</v>
      </c>
      <c r="P1054" s="2">
        <v>0</v>
      </c>
      <c r="Q1054" s="2">
        <v>0</v>
      </c>
      <c r="R1054" s="2">
        <v>1.1111111111111101</v>
      </c>
      <c r="S1054" s="2">
        <v>1.9245008972987501</v>
      </c>
      <c r="T1054" s="2">
        <v>92</v>
      </c>
      <c r="U1054" s="2">
        <v>3.6855573979163201</v>
      </c>
      <c r="V1054" s="2">
        <v>0</v>
      </c>
      <c r="W1054" s="2">
        <v>0</v>
      </c>
      <c r="X1054" s="2">
        <v>0.44444444444444398</v>
      </c>
      <c r="Y1054" s="2">
        <v>0.76980035891950105</v>
      </c>
      <c r="Z1054" s="7">
        <v>6.3461352423333599</v>
      </c>
      <c r="AA1054" s="2">
        <v>0.58429598028602903</v>
      </c>
      <c r="AB1054" s="7">
        <v>0</v>
      </c>
      <c r="AC1054" s="2">
        <v>0</v>
      </c>
      <c r="AD1054" s="2">
        <v>1881.8181818181799</v>
      </c>
      <c r="AE1054" s="2">
        <v>75.386401321015697</v>
      </c>
      <c r="AF1054" s="2">
        <v>0</v>
      </c>
      <c r="AG1054" s="2">
        <v>0</v>
      </c>
      <c r="AH1054" s="2">
        <v>47.619047619047599</v>
      </c>
      <c r="AI1054" s="2">
        <v>82.478609884232199</v>
      </c>
      <c r="AJ1054" s="2">
        <v>0</v>
      </c>
      <c r="AK1054" s="2">
        <v>0</v>
      </c>
      <c r="AL1054" s="2">
        <v>19.753086419753</v>
      </c>
      <c r="AM1054" s="2">
        <v>34.213349285311097</v>
      </c>
      <c r="AN1054"/>
      <c r="AO1054"/>
    </row>
    <row r="1055" spans="1:41" ht="15.75" hidden="1" customHeight="1" x14ac:dyDescent="0.45">
      <c r="A1055" s="2" t="s">
        <v>198</v>
      </c>
      <c r="B1055" s="2" t="s">
        <v>122</v>
      </c>
      <c r="C1055" s="2">
        <v>3.0000000000000001E-3</v>
      </c>
      <c r="D1055" s="2"/>
      <c r="E1055" s="2" t="s">
        <v>109</v>
      </c>
      <c r="F1055" s="2" t="s">
        <v>84</v>
      </c>
      <c r="H1055" s="2">
        <v>0.05</v>
      </c>
      <c r="J1055" s="2">
        <v>0.05</v>
      </c>
      <c r="K1055" s="2">
        <v>22.1111111111111</v>
      </c>
      <c r="L1055" s="2"/>
      <c r="M1055" s="2">
        <v>4.2207599807161102</v>
      </c>
      <c r="N1055" s="2">
        <v>182.111111111111</v>
      </c>
      <c r="O1055" s="2">
        <v>8.5996339284713308</v>
      </c>
      <c r="P1055" s="2">
        <v>12</v>
      </c>
      <c r="Q1055" s="2">
        <v>1.8929694486001001</v>
      </c>
      <c r="R1055" s="2">
        <v>1.2222222222222201</v>
      </c>
      <c r="S1055" s="2">
        <v>0.50917507721731503</v>
      </c>
      <c r="T1055" s="2">
        <v>7</v>
      </c>
      <c r="U1055" s="2">
        <v>0.44095855184411198</v>
      </c>
      <c r="V1055" s="2">
        <v>0.66666666666666596</v>
      </c>
      <c r="W1055" s="2">
        <v>0.28867513459481198</v>
      </c>
      <c r="X1055" s="2">
        <v>3.4444444444444402</v>
      </c>
      <c r="Y1055" s="2">
        <v>0.25458753860866101</v>
      </c>
      <c r="Z1055" s="7">
        <v>76.844634589462501</v>
      </c>
      <c r="AA1055" s="2">
        <v>3.6287501778698701</v>
      </c>
      <c r="AB1055" s="7">
        <v>63.124504361617703</v>
      </c>
      <c r="AC1055" s="2">
        <v>12.049750936223599</v>
      </c>
      <c r="AD1055" s="2">
        <v>87.804878048780495</v>
      </c>
      <c r="AE1055" s="2">
        <v>5.5311874098913103</v>
      </c>
      <c r="AF1055" s="2">
        <v>86.4</v>
      </c>
      <c r="AG1055" s="2">
        <v>13.6293800299207</v>
      </c>
      <c r="AH1055" s="2">
        <v>67.175572519084</v>
      </c>
      <c r="AI1055" s="2">
        <v>27.9851950836998</v>
      </c>
      <c r="AJ1055" s="2">
        <v>102.127659574468</v>
      </c>
      <c r="AK1055" s="2">
        <v>44.222573810269203</v>
      </c>
      <c r="AL1055" s="2">
        <v>90.181818181818201</v>
      </c>
      <c r="AM1055" s="2">
        <v>6.6655646472085897</v>
      </c>
      <c r="AN1055"/>
      <c r="AO1055"/>
    </row>
    <row r="1056" spans="1:41" ht="15.75" hidden="1" customHeight="1" x14ac:dyDescent="0.45">
      <c r="A1056" s="2" t="s">
        <v>198</v>
      </c>
      <c r="B1056" s="2" t="s">
        <v>122</v>
      </c>
      <c r="C1056" s="2">
        <v>0.01</v>
      </c>
      <c r="D1056" s="2"/>
      <c r="E1056" s="2" t="s">
        <v>109</v>
      </c>
      <c r="F1056" s="2" t="s">
        <v>84</v>
      </c>
      <c r="H1056" s="2">
        <v>0.05</v>
      </c>
      <c r="J1056" s="2">
        <v>0.05</v>
      </c>
      <c r="K1056" s="2">
        <v>14.3888888888888</v>
      </c>
      <c r="L1056" s="2"/>
      <c r="M1056" s="2">
        <v>1.84340666922632</v>
      </c>
      <c r="N1056" s="2">
        <v>130.611111111111</v>
      </c>
      <c r="O1056" s="2">
        <v>16.251780529233301</v>
      </c>
      <c r="P1056" s="2">
        <v>13.2777777777777</v>
      </c>
      <c r="Q1056" s="2">
        <v>0.97657754618041004</v>
      </c>
      <c r="R1056" s="2">
        <v>1.1666666666666601</v>
      </c>
      <c r="S1056" s="2">
        <v>1.0408329997330601</v>
      </c>
      <c r="T1056" s="2">
        <v>6.7222222222222197</v>
      </c>
      <c r="U1056" s="2">
        <v>1.0715167512214401</v>
      </c>
      <c r="V1056" s="2">
        <v>0.61111111111111105</v>
      </c>
      <c r="W1056" s="2">
        <v>0.25458753860865702</v>
      </c>
      <c r="X1056" s="2">
        <v>3.7222222222222201</v>
      </c>
      <c r="Y1056" s="2">
        <v>0.63098981620002803</v>
      </c>
      <c r="Z1056" s="7">
        <v>55.113403270233803</v>
      </c>
      <c r="AA1056" s="2">
        <v>6.8576932433030597</v>
      </c>
      <c r="AB1056" s="7">
        <v>41.078509119746201</v>
      </c>
      <c r="AC1056" s="2">
        <v>5.2626994521925203</v>
      </c>
      <c r="AD1056" s="2">
        <v>84.320557491289193</v>
      </c>
      <c r="AE1056" s="2">
        <v>13.4406282383177</v>
      </c>
      <c r="AF1056" s="2">
        <v>95.599999999999895</v>
      </c>
      <c r="AG1056" s="2">
        <v>7.0313583324989501</v>
      </c>
      <c r="AH1056" s="2">
        <v>64.122137404580101</v>
      </c>
      <c r="AI1056" s="2">
        <v>57.206088534947099</v>
      </c>
      <c r="AJ1056" s="2">
        <v>93.617021276595693</v>
      </c>
      <c r="AK1056" s="2">
        <v>39.0006442123901</v>
      </c>
      <c r="AL1056" s="2">
        <v>97.454545454545396</v>
      </c>
      <c r="AM1056" s="2">
        <v>16.520460642328</v>
      </c>
      <c r="AN1056"/>
      <c r="AO1056"/>
    </row>
    <row r="1057" spans="1:41" ht="15.75" hidden="1" customHeight="1" x14ac:dyDescent="0.45">
      <c r="A1057" s="2" t="s">
        <v>198</v>
      </c>
      <c r="B1057" s="2" t="s">
        <v>122</v>
      </c>
      <c r="C1057" s="2">
        <v>0.03</v>
      </c>
      <c r="D1057" s="2"/>
      <c r="E1057" s="2" t="s">
        <v>109</v>
      </c>
      <c r="F1057" s="2" t="s">
        <v>84</v>
      </c>
      <c r="H1057" s="2">
        <v>0.05</v>
      </c>
      <c r="J1057" s="2">
        <v>0.05</v>
      </c>
      <c r="K1057" s="2">
        <v>9.3333333333333304</v>
      </c>
      <c r="L1057" s="2"/>
      <c r="M1057" s="2">
        <v>4.3429380735984502</v>
      </c>
      <c r="N1057" s="2">
        <v>114.222222222222</v>
      </c>
      <c r="O1057" s="2">
        <v>3.3096380019126501</v>
      </c>
      <c r="P1057" s="2">
        <v>12.3333333333333</v>
      </c>
      <c r="Q1057" s="2">
        <v>2</v>
      </c>
      <c r="R1057" s="2">
        <v>0.55555555555555503</v>
      </c>
      <c r="S1057" s="2">
        <v>0.69388866648871095</v>
      </c>
      <c r="T1057" s="2">
        <v>7.5</v>
      </c>
      <c r="U1057" s="2">
        <v>0.76376261582597904</v>
      </c>
      <c r="V1057" s="2">
        <v>0.61111111111111105</v>
      </c>
      <c r="W1057" s="2">
        <v>9.6225044864937201E-2</v>
      </c>
      <c r="X1057" s="2">
        <v>4.3888888888888804</v>
      </c>
      <c r="Y1057" s="2">
        <v>0.75154162547048597</v>
      </c>
      <c r="Z1057" s="7">
        <v>48.197855007911798</v>
      </c>
      <c r="AA1057" s="2">
        <v>1.3965535728635701</v>
      </c>
      <c r="AB1057" s="7">
        <v>26.6455194290245</v>
      </c>
      <c r="AC1057" s="2">
        <v>12.3985543734769</v>
      </c>
      <c r="AD1057" s="2">
        <v>94.076655052264798</v>
      </c>
      <c r="AE1057" s="2">
        <v>9.5802976201168093</v>
      </c>
      <c r="AF1057" s="2">
        <v>88.8</v>
      </c>
      <c r="AG1057" s="2">
        <v>14.4</v>
      </c>
      <c r="AH1057" s="2">
        <v>30.534351145038102</v>
      </c>
      <c r="AI1057" s="2">
        <v>38.137392356631402</v>
      </c>
      <c r="AJ1057" s="2">
        <v>93.617021276595693</v>
      </c>
      <c r="AK1057" s="2">
        <v>14.740857936756299</v>
      </c>
      <c r="AL1057" s="2">
        <v>114.90909090909</v>
      </c>
      <c r="AM1057" s="2">
        <v>19.6767261941363</v>
      </c>
      <c r="AN1057"/>
      <c r="AO1057"/>
    </row>
    <row r="1058" spans="1:41" ht="15.75" hidden="1" customHeight="1" x14ac:dyDescent="0.45">
      <c r="A1058" s="2" t="s">
        <v>198</v>
      </c>
      <c r="B1058" s="2" t="s">
        <v>122</v>
      </c>
      <c r="C1058" s="2">
        <v>0.1</v>
      </c>
      <c r="D1058" s="2"/>
      <c r="E1058" s="2" t="s">
        <v>109</v>
      </c>
      <c r="F1058" s="2" t="s">
        <v>84</v>
      </c>
      <c r="H1058" s="2">
        <v>0.05</v>
      </c>
      <c r="J1058" s="2">
        <v>0.05</v>
      </c>
      <c r="K1058" s="2">
        <v>5.1666666666666599</v>
      </c>
      <c r="L1058" s="2"/>
      <c r="M1058" s="2">
        <v>3.0138568866708502</v>
      </c>
      <c r="N1058" s="2">
        <v>89</v>
      </c>
      <c r="O1058" s="2">
        <v>13.5369863706808</v>
      </c>
      <c r="P1058" s="2">
        <v>11.7777777777777</v>
      </c>
      <c r="Q1058" s="2">
        <v>0.69388866648874103</v>
      </c>
      <c r="R1058" s="2">
        <v>0.11111111111111099</v>
      </c>
      <c r="S1058" s="2">
        <v>9.6225044864937603E-2</v>
      </c>
      <c r="T1058" s="2">
        <v>6.4444444444444402</v>
      </c>
      <c r="U1058" s="2">
        <v>2.9360467248275102</v>
      </c>
      <c r="V1058" s="2">
        <v>0.5</v>
      </c>
      <c r="W1058" s="2">
        <v>1.05367121277235E-8</v>
      </c>
      <c r="X1058" s="2">
        <v>5.3888888888888804</v>
      </c>
      <c r="Y1058" s="2">
        <v>0.91792842454768497</v>
      </c>
      <c r="Z1058" s="7">
        <v>37.554943444880699</v>
      </c>
      <c r="AA1058" s="2">
        <v>5.7121433434274298</v>
      </c>
      <c r="AB1058" s="7">
        <v>14.750198255352799</v>
      </c>
      <c r="AC1058" s="2">
        <v>8.6041909532236893</v>
      </c>
      <c r="AD1058" s="2">
        <v>80.836236933797906</v>
      </c>
      <c r="AE1058" s="2">
        <v>36.828460659857299</v>
      </c>
      <c r="AF1058" s="2">
        <v>84.8</v>
      </c>
      <c r="AG1058" s="2">
        <v>4.99599839871893</v>
      </c>
      <c r="AH1058" s="2">
        <v>6.1068702290076304</v>
      </c>
      <c r="AI1058" s="2">
        <v>5.2887047559355</v>
      </c>
      <c r="AJ1058" s="2">
        <v>76.595744680850999</v>
      </c>
      <c r="AK1058" s="2">
        <v>1.61413462382147E-6</v>
      </c>
      <c r="AL1058" s="2">
        <v>141.09090909090901</v>
      </c>
      <c r="AM1058" s="2">
        <v>24.033035115430302</v>
      </c>
      <c r="AN1058"/>
      <c r="AO1058"/>
    </row>
    <row r="1059" spans="1:41" ht="15.75" hidden="1" customHeight="1" x14ac:dyDescent="0.45">
      <c r="A1059" s="2" t="s">
        <v>198</v>
      </c>
      <c r="B1059" s="2" t="s">
        <v>122</v>
      </c>
      <c r="C1059" s="2">
        <v>0.3</v>
      </c>
      <c r="D1059" s="2"/>
      <c r="E1059" s="2" t="s">
        <v>109</v>
      </c>
      <c r="F1059" s="2" t="s">
        <v>84</v>
      </c>
      <c r="H1059" s="2">
        <v>0.05</v>
      </c>
      <c r="J1059" s="2">
        <v>0.05</v>
      </c>
      <c r="K1059" s="2">
        <v>0.22222222222222199</v>
      </c>
      <c r="L1059" s="2"/>
      <c r="M1059" s="2">
        <v>0.25458753860865702</v>
      </c>
      <c r="N1059" s="2">
        <v>80.1666666666666</v>
      </c>
      <c r="O1059" s="2">
        <v>2.0883273476903201</v>
      </c>
      <c r="P1059" s="2">
        <v>8.05555555555555</v>
      </c>
      <c r="Q1059" s="2">
        <v>1.2619796324000601</v>
      </c>
      <c r="R1059" s="2">
        <v>0.11111111111111099</v>
      </c>
      <c r="S1059" s="2">
        <v>9.6225044864937603E-2</v>
      </c>
      <c r="T1059" s="2">
        <v>10.2222222222222</v>
      </c>
      <c r="U1059" s="2">
        <v>0.91792842454767698</v>
      </c>
      <c r="V1059" s="2">
        <v>0.33333333333333298</v>
      </c>
      <c r="W1059" s="2">
        <v>0.33333333333333298</v>
      </c>
      <c r="X1059" s="2">
        <v>6.8888888888888804</v>
      </c>
      <c r="Y1059" s="2">
        <v>0.254587538608675</v>
      </c>
      <c r="Z1059" s="7">
        <v>33.827580144171598</v>
      </c>
      <c r="AA1059" s="2">
        <v>0.88120242063941501</v>
      </c>
      <c r="AB1059" s="7">
        <v>0.63441712926249005</v>
      </c>
      <c r="AC1059" s="2">
        <v>0.726816129255486</v>
      </c>
      <c r="AD1059" s="2">
        <v>128.222996515679</v>
      </c>
      <c r="AE1059" s="2">
        <v>11.5140847678454</v>
      </c>
      <c r="AF1059" s="2">
        <v>57.999999999999901</v>
      </c>
      <c r="AG1059" s="2">
        <v>9.0862533532804406</v>
      </c>
      <c r="AH1059" s="2">
        <v>6.1068702290076304</v>
      </c>
      <c r="AI1059" s="2">
        <v>5.2887047559355</v>
      </c>
      <c r="AJ1059" s="2">
        <v>51.063829787233999</v>
      </c>
      <c r="AK1059" s="2">
        <v>51.063829787233999</v>
      </c>
      <c r="AL1059" s="2">
        <v>180.363636363636</v>
      </c>
      <c r="AM1059" s="2">
        <v>6.6655646472089503</v>
      </c>
      <c r="AN1059"/>
      <c r="AO1059"/>
    </row>
    <row r="1060" spans="1:41" ht="15.75" hidden="1" customHeight="1" x14ac:dyDescent="0.45">
      <c r="A1060" s="2" t="s">
        <v>198</v>
      </c>
      <c r="B1060" s="2" t="s">
        <v>122</v>
      </c>
      <c r="C1060" s="2">
        <v>1</v>
      </c>
      <c r="D1060" s="2"/>
      <c r="E1060" s="2" t="s">
        <v>109</v>
      </c>
      <c r="F1060" s="2" t="s">
        <v>84</v>
      </c>
      <c r="H1060" s="2">
        <v>0.05</v>
      </c>
      <c r="J1060" s="2">
        <v>0.05</v>
      </c>
      <c r="K1060" s="2">
        <v>0.44444444444444398</v>
      </c>
      <c r="L1060" s="2"/>
      <c r="M1060" s="2">
        <v>0.76980035891950105</v>
      </c>
      <c r="N1060" s="2">
        <v>15.1666666666666</v>
      </c>
      <c r="O1060" s="2">
        <v>1.3333333333333299</v>
      </c>
      <c r="P1060" s="2">
        <v>0</v>
      </c>
      <c r="Q1060" s="2">
        <v>0</v>
      </c>
      <c r="R1060" s="2">
        <v>0</v>
      </c>
      <c r="S1060" s="2">
        <v>0</v>
      </c>
      <c r="T1060" s="2">
        <v>83.1666666666666</v>
      </c>
      <c r="U1060" s="2">
        <v>0.763762615827561</v>
      </c>
      <c r="V1060" s="2">
        <v>0</v>
      </c>
      <c r="W1060" s="2">
        <v>0</v>
      </c>
      <c r="X1060" s="2">
        <v>3.2222222222222201</v>
      </c>
      <c r="Y1060" s="2">
        <v>0.19245008972987299</v>
      </c>
      <c r="Z1060" s="7">
        <v>6.3998124597081398</v>
      </c>
      <c r="AA1060" s="2">
        <v>0.56262087557873597</v>
      </c>
      <c r="AB1060" s="7">
        <v>1.2688342585249801</v>
      </c>
      <c r="AC1060" s="2">
        <v>2.1976854021492498</v>
      </c>
      <c r="AD1060" s="2">
        <v>1043.2055749128899</v>
      </c>
      <c r="AE1060" s="2">
        <v>9.5802976201366494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84.363636363636303</v>
      </c>
      <c r="AM1060" s="2">
        <v>5.03869325838214</v>
      </c>
      <c r="AN1060"/>
      <c r="AO1060"/>
    </row>
    <row r="1061" spans="1:41" ht="15.75" hidden="1" customHeight="1" x14ac:dyDescent="0.45">
      <c r="A1061" s="2" t="s">
        <v>198</v>
      </c>
      <c r="B1061" s="2" t="s">
        <v>122</v>
      </c>
      <c r="C1061" s="2">
        <v>3</v>
      </c>
      <c r="D1061" s="2"/>
      <c r="E1061" s="2" t="s">
        <v>109</v>
      </c>
      <c r="F1061" s="2" t="s">
        <v>84</v>
      </c>
      <c r="H1061" s="2">
        <v>0.05</v>
      </c>
      <c r="J1061" s="2">
        <v>0.05</v>
      </c>
      <c r="K1061" s="2">
        <v>0</v>
      </c>
      <c r="L1061" s="2"/>
      <c r="M1061" s="2">
        <v>0</v>
      </c>
      <c r="N1061" s="2">
        <v>22.7777777777777</v>
      </c>
      <c r="O1061" s="2">
        <v>1.3574213025410999</v>
      </c>
      <c r="P1061" s="2">
        <v>0.27777777777777701</v>
      </c>
      <c r="Q1061" s="2">
        <v>0.48112522432468802</v>
      </c>
      <c r="R1061" s="2">
        <v>0.16666666666666599</v>
      </c>
      <c r="S1061" s="2">
        <v>0.28867513459481198</v>
      </c>
      <c r="T1061" s="2">
        <v>92.7222222222222</v>
      </c>
      <c r="U1061" s="2">
        <v>1.4174834246858401</v>
      </c>
      <c r="V1061" s="2">
        <v>0</v>
      </c>
      <c r="W1061" s="2">
        <v>0</v>
      </c>
      <c r="X1061" s="2">
        <v>2.5</v>
      </c>
      <c r="Y1061" s="2">
        <v>2.3094010767584998</v>
      </c>
      <c r="Z1061" s="7">
        <v>9.6114399578034302</v>
      </c>
      <c r="AA1061" s="2">
        <v>0.57278517132367901</v>
      </c>
      <c r="AB1061" s="7">
        <v>0</v>
      </c>
      <c r="AC1061" s="2">
        <v>0</v>
      </c>
      <c r="AD1061" s="2">
        <v>1163.06620209059</v>
      </c>
      <c r="AE1061" s="2">
        <v>17.780279891529801</v>
      </c>
      <c r="AF1061" s="2">
        <v>2</v>
      </c>
      <c r="AG1061" s="2">
        <v>3.4641016151377499</v>
      </c>
      <c r="AH1061" s="2">
        <v>9.1603053435114496</v>
      </c>
      <c r="AI1061" s="2">
        <v>15.8661142678065</v>
      </c>
      <c r="AJ1061" s="2">
        <v>0</v>
      </c>
      <c r="AK1061" s="2">
        <v>0</v>
      </c>
      <c r="AL1061" s="2">
        <v>65.454545454545396</v>
      </c>
      <c r="AM1061" s="2">
        <v>60.464319100586202</v>
      </c>
      <c r="AN1061"/>
      <c r="AO1061"/>
    </row>
    <row r="1062" spans="1:41" ht="15.75" hidden="1" customHeight="1" x14ac:dyDescent="0.45">
      <c r="A1062" s="2" t="s">
        <v>198</v>
      </c>
      <c r="B1062" s="2" t="s">
        <v>122</v>
      </c>
      <c r="C1062" s="2">
        <v>10</v>
      </c>
      <c r="D1062" s="2"/>
      <c r="E1062" s="2" t="s">
        <v>109</v>
      </c>
      <c r="F1062" s="2" t="s">
        <v>84</v>
      </c>
      <c r="H1062" s="2">
        <v>0.05</v>
      </c>
      <c r="J1062" s="2">
        <v>0.05</v>
      </c>
      <c r="K1062" s="2">
        <v>0</v>
      </c>
      <c r="L1062" s="2"/>
      <c r="M1062" s="2">
        <v>0</v>
      </c>
      <c r="N1062" s="2">
        <v>10.7222222222222</v>
      </c>
      <c r="O1062" s="2">
        <v>2.98297639081306</v>
      </c>
      <c r="P1062" s="2">
        <v>0.53333333333333299</v>
      </c>
      <c r="Q1062" s="2">
        <v>0.92376043070340097</v>
      </c>
      <c r="R1062" s="2">
        <v>0</v>
      </c>
      <c r="S1062" s="2">
        <v>0</v>
      </c>
      <c r="T1062" s="2">
        <v>84.122222222222206</v>
      </c>
      <c r="U1062" s="2">
        <v>10.729001886544699</v>
      </c>
      <c r="V1062" s="2">
        <v>1.67777777777777</v>
      </c>
      <c r="W1062" s="2">
        <v>1.48710506739822</v>
      </c>
      <c r="X1062" s="2">
        <v>0.55555555555555503</v>
      </c>
      <c r="Y1062" s="2">
        <v>0.96225044864937603</v>
      </c>
      <c r="Z1062" s="7">
        <v>4.5244095411123402</v>
      </c>
      <c r="AA1062" s="2">
        <v>1.2587135916224601</v>
      </c>
      <c r="AB1062" s="7">
        <v>0</v>
      </c>
      <c r="AC1062" s="2">
        <v>0</v>
      </c>
      <c r="AD1062" s="2">
        <v>1055.1916376306599</v>
      </c>
      <c r="AE1062" s="2">
        <v>134.57981460474201</v>
      </c>
      <c r="AF1062" s="2">
        <v>3.84</v>
      </c>
      <c r="AG1062" s="2">
        <v>6.6510751010644897</v>
      </c>
      <c r="AH1062" s="2">
        <v>0</v>
      </c>
      <c r="AI1062" s="2">
        <v>0</v>
      </c>
      <c r="AJ1062" s="2">
        <v>257.02127659574398</v>
      </c>
      <c r="AK1062" s="2">
        <v>227.81184011206801</v>
      </c>
      <c r="AL1062" s="2">
        <v>14.545454545454501</v>
      </c>
      <c r="AM1062" s="2">
        <v>25.193466291910902</v>
      </c>
      <c r="AN1062"/>
      <c r="AO1062"/>
    </row>
    <row r="1063" spans="1:41" ht="15.75" hidden="1" customHeight="1" x14ac:dyDescent="0.45">
      <c r="A1063" s="2" t="s">
        <v>198</v>
      </c>
      <c r="B1063" s="2" t="s">
        <v>122</v>
      </c>
      <c r="C1063" s="2">
        <v>3.0000000000000001E-3</v>
      </c>
      <c r="D1063" s="2"/>
      <c r="E1063" s="2" t="s">
        <v>83</v>
      </c>
      <c r="F1063" s="2" t="s">
        <v>110</v>
      </c>
      <c r="H1063" s="2">
        <v>0.4</v>
      </c>
      <c r="J1063" s="2">
        <v>0.4</v>
      </c>
      <c r="K1063" s="2">
        <v>2.88888888888888</v>
      </c>
      <c r="L1063" s="2"/>
      <c r="M1063" s="2">
        <v>0.48112522432468902</v>
      </c>
      <c r="N1063" s="2">
        <v>172.777777777777</v>
      </c>
      <c r="O1063" s="2">
        <v>17.0955918078098</v>
      </c>
      <c r="P1063" s="2">
        <v>5.05555555555555</v>
      </c>
      <c r="Q1063" s="2">
        <v>1.97437284932409</v>
      </c>
      <c r="R1063" s="2">
        <v>1.7777777777777699</v>
      </c>
      <c r="S1063" s="2">
        <v>1.43694635070861</v>
      </c>
      <c r="T1063" s="2">
        <v>12</v>
      </c>
      <c r="U1063" s="2">
        <v>3.7230513172814401</v>
      </c>
      <c r="V1063" s="2">
        <v>0.72222222222222199</v>
      </c>
      <c r="W1063" s="2">
        <v>0.34694433324435497</v>
      </c>
      <c r="X1063" s="2">
        <v>2.3333333333333299</v>
      </c>
      <c r="Y1063" s="2">
        <v>0.16666666666667401</v>
      </c>
      <c r="Z1063" s="7">
        <v>75.558794946549995</v>
      </c>
      <c r="AA1063" s="2">
        <v>7.4762063299459998</v>
      </c>
      <c r="AB1063" s="7">
        <v>8.0308880308880202</v>
      </c>
      <c r="AC1063" s="2">
        <v>1.33749097109566</v>
      </c>
      <c r="AD1063" s="2">
        <v>136.70886075949301</v>
      </c>
      <c r="AE1063" s="2">
        <v>42.414508677889799</v>
      </c>
      <c r="AF1063" s="2">
        <v>48.275862068965502</v>
      </c>
      <c r="AG1063" s="2">
        <v>18.8534277389038</v>
      </c>
      <c r="AH1063" s="2">
        <v>65.306122448979593</v>
      </c>
      <c r="AI1063" s="2">
        <v>52.785784311745097</v>
      </c>
      <c r="AJ1063" s="2">
        <v>152.941176470588</v>
      </c>
      <c r="AK1063" s="2">
        <v>73.470564687039897</v>
      </c>
      <c r="AL1063" s="2">
        <v>135.48387096774101</v>
      </c>
      <c r="AM1063" s="2">
        <v>9.6774193548391505</v>
      </c>
      <c r="AN1063"/>
      <c r="AO1063"/>
    </row>
    <row r="1064" spans="1:41" ht="15.75" hidden="1" customHeight="1" x14ac:dyDescent="0.45">
      <c r="A1064" s="2" t="s">
        <v>198</v>
      </c>
      <c r="B1064" s="2" t="s">
        <v>122</v>
      </c>
      <c r="C1064" s="2">
        <v>0.01</v>
      </c>
      <c r="D1064" s="2"/>
      <c r="E1064" s="2" t="s">
        <v>83</v>
      </c>
      <c r="F1064" s="2" t="s">
        <v>110</v>
      </c>
      <c r="H1064" s="2">
        <v>0.4</v>
      </c>
      <c r="J1064" s="2">
        <v>0.4</v>
      </c>
      <c r="K1064" s="2">
        <v>2.88888888888888</v>
      </c>
      <c r="L1064" s="2"/>
      <c r="M1064" s="2">
        <v>0.25458753860865702</v>
      </c>
      <c r="N1064" s="2">
        <v>149.166666666666</v>
      </c>
      <c r="O1064" s="2">
        <v>14.578332475896801</v>
      </c>
      <c r="P1064" s="2">
        <v>4.55555555555555</v>
      </c>
      <c r="Q1064" s="2">
        <v>1.0183501544346301</v>
      </c>
      <c r="R1064" s="2">
        <v>1.6666666666666601</v>
      </c>
      <c r="S1064" s="2">
        <v>0.57735026918962495</v>
      </c>
      <c r="T1064" s="2">
        <v>14.2222222222222</v>
      </c>
      <c r="U1064" s="2">
        <v>2.4739382309124802</v>
      </c>
      <c r="V1064" s="2">
        <v>0.38888888888888801</v>
      </c>
      <c r="W1064" s="2">
        <v>9.6225044864937395E-2</v>
      </c>
      <c r="X1064" s="2">
        <v>3</v>
      </c>
      <c r="Y1064" s="2">
        <v>1.25830573921179</v>
      </c>
      <c r="Z1064" s="7">
        <v>65.233236151603407</v>
      </c>
      <c r="AA1064" s="2">
        <v>6.3753640565146403</v>
      </c>
      <c r="AB1064" s="7">
        <v>8.0308880308880202</v>
      </c>
      <c r="AC1064" s="2">
        <v>0.70773369806267805</v>
      </c>
      <c r="AD1064" s="2">
        <v>162.02531645569599</v>
      </c>
      <c r="AE1064" s="2">
        <v>28.184106428116799</v>
      </c>
      <c r="AF1064" s="2">
        <v>43.5013262599469</v>
      </c>
      <c r="AG1064" s="2">
        <v>9.7242985569354694</v>
      </c>
      <c r="AH1064" s="2">
        <v>61.224489795918302</v>
      </c>
      <c r="AI1064" s="2">
        <v>21.208785398802501</v>
      </c>
      <c r="AJ1064" s="2">
        <v>82.352941176470594</v>
      </c>
      <c r="AK1064" s="2">
        <v>20.3770683243396</v>
      </c>
      <c r="AL1064" s="2">
        <v>174.193548387096</v>
      </c>
      <c r="AM1064" s="2">
        <v>73.062913889716896</v>
      </c>
      <c r="AN1064"/>
      <c r="AO1064"/>
    </row>
    <row r="1065" spans="1:41" ht="15.75" hidden="1" customHeight="1" x14ac:dyDescent="0.45">
      <c r="A1065" s="2" t="s">
        <v>198</v>
      </c>
      <c r="B1065" s="2" t="s">
        <v>122</v>
      </c>
      <c r="C1065" s="2">
        <v>0.03</v>
      </c>
      <c r="D1065" s="2"/>
      <c r="E1065" s="2" t="s">
        <v>83</v>
      </c>
      <c r="F1065" s="2" t="s">
        <v>110</v>
      </c>
      <c r="H1065" s="2">
        <v>0.4</v>
      </c>
      <c r="J1065" s="2">
        <v>0.4</v>
      </c>
      <c r="K1065" s="2">
        <v>2.5</v>
      </c>
      <c r="L1065" s="2"/>
      <c r="M1065" s="2">
        <v>0.44095855184409799</v>
      </c>
      <c r="N1065" s="2">
        <v>165</v>
      </c>
      <c r="O1065" s="2">
        <v>10.397649306987301</v>
      </c>
      <c r="P1065" s="2">
        <v>4.3333333333333304</v>
      </c>
      <c r="Q1065" s="2">
        <v>1.3017082793177699</v>
      </c>
      <c r="R1065" s="2">
        <v>1.6111111111111101</v>
      </c>
      <c r="S1065" s="2">
        <v>0.82214714371937403</v>
      </c>
      <c r="T1065" s="2">
        <v>14.5555555555555</v>
      </c>
      <c r="U1065" s="2">
        <v>3.3554819712314301</v>
      </c>
      <c r="V1065" s="2">
        <v>0.61111111111111105</v>
      </c>
      <c r="W1065" s="2">
        <v>0.19245008972987501</v>
      </c>
      <c r="X1065" s="2">
        <v>2.4444444444444402</v>
      </c>
      <c r="Y1065" s="2">
        <v>0.41943524640392998</v>
      </c>
      <c r="Z1065" s="7">
        <v>72.157434402332299</v>
      </c>
      <c r="AA1065" s="2">
        <v>4.5470769564084597</v>
      </c>
      <c r="AB1065" s="7">
        <v>6.9498069498069404</v>
      </c>
      <c r="AC1065" s="2">
        <v>1.22583072327316</v>
      </c>
      <c r="AD1065" s="2">
        <v>165.822784810126</v>
      </c>
      <c r="AE1065" s="2">
        <v>38.227009798839099</v>
      </c>
      <c r="AF1065" s="2">
        <v>41.379310344827502</v>
      </c>
      <c r="AG1065" s="2">
        <v>12.4301055849973</v>
      </c>
      <c r="AH1065" s="2">
        <v>59.183673469387699</v>
      </c>
      <c r="AI1065" s="2">
        <v>30.201323646834101</v>
      </c>
      <c r="AJ1065" s="2">
        <v>129.41176470588201</v>
      </c>
      <c r="AK1065" s="2">
        <v>40.754136648679498</v>
      </c>
      <c r="AL1065" s="2">
        <v>141.935483870967</v>
      </c>
      <c r="AM1065" s="2">
        <v>24.354304629905599</v>
      </c>
      <c r="AN1065"/>
      <c r="AO1065"/>
    </row>
    <row r="1066" spans="1:41" ht="15.75" hidden="1" customHeight="1" x14ac:dyDescent="0.45">
      <c r="A1066" s="2" t="s">
        <v>198</v>
      </c>
      <c r="B1066" s="2" t="s">
        <v>122</v>
      </c>
      <c r="C1066" s="2">
        <v>0.1</v>
      </c>
      <c r="D1066" s="2"/>
      <c r="E1066" s="2" t="s">
        <v>83</v>
      </c>
      <c r="F1066" s="2" t="s">
        <v>110</v>
      </c>
      <c r="H1066" s="2">
        <v>0.4</v>
      </c>
      <c r="J1066" s="2">
        <v>0.4</v>
      </c>
      <c r="K1066" s="2">
        <v>2.5</v>
      </c>
      <c r="L1066" s="2"/>
      <c r="M1066" s="2">
        <v>0.16666666666667401</v>
      </c>
      <c r="N1066" s="2">
        <v>151.5</v>
      </c>
      <c r="O1066" s="2">
        <v>8.02253769770617</v>
      </c>
      <c r="P1066" s="2">
        <v>3.4444444444444402</v>
      </c>
      <c r="Q1066" s="2">
        <v>1.3368010461684401</v>
      </c>
      <c r="R1066" s="2">
        <v>2.2222222222222201</v>
      </c>
      <c r="S1066" s="2">
        <v>1.61875580937038</v>
      </c>
      <c r="T1066" s="2">
        <v>17.2222222222222</v>
      </c>
      <c r="U1066" s="2">
        <v>4.1141130181274601</v>
      </c>
      <c r="V1066" s="2">
        <v>0.44444444444444398</v>
      </c>
      <c r="W1066" s="2">
        <v>9.6225044864937798E-2</v>
      </c>
      <c r="X1066" s="2">
        <v>3.38888888888888</v>
      </c>
      <c r="Y1066" s="2">
        <v>9.6225044864938894E-2</v>
      </c>
      <c r="Z1066" s="7">
        <v>66.253644314868794</v>
      </c>
      <c r="AA1066" s="2">
        <v>3.5083984100755798</v>
      </c>
      <c r="AB1066" s="7">
        <v>6.9498069498069404</v>
      </c>
      <c r="AC1066" s="2">
        <v>0.46332046332048399</v>
      </c>
      <c r="AD1066" s="2">
        <v>196.202531645569</v>
      </c>
      <c r="AE1066" s="2">
        <v>46.869641978667303</v>
      </c>
      <c r="AF1066" s="2">
        <v>32.891246684350101</v>
      </c>
      <c r="AG1066" s="2">
        <v>12.7652089289294</v>
      </c>
      <c r="AH1066" s="2">
        <v>81.632653061224403</v>
      </c>
      <c r="AI1066" s="2">
        <v>59.464499119728401</v>
      </c>
      <c r="AJ1066" s="2">
        <v>94.117647058823493</v>
      </c>
      <c r="AK1066" s="2">
        <v>20.3770683243397</v>
      </c>
      <c r="AL1066" s="2">
        <v>196.77419354838699</v>
      </c>
      <c r="AM1066" s="2">
        <v>5.5872606695771001</v>
      </c>
      <c r="AN1066"/>
      <c r="AO1066"/>
    </row>
    <row r="1067" spans="1:41" ht="15.75" hidden="1" customHeight="1" x14ac:dyDescent="0.45">
      <c r="A1067" s="2" t="s">
        <v>198</v>
      </c>
      <c r="B1067" s="2" t="s">
        <v>122</v>
      </c>
      <c r="C1067" s="2">
        <v>0.3</v>
      </c>
      <c r="D1067" s="2"/>
      <c r="E1067" s="2" t="s">
        <v>83</v>
      </c>
      <c r="F1067" s="2" t="s">
        <v>110</v>
      </c>
      <c r="H1067" s="2">
        <v>0.4</v>
      </c>
      <c r="J1067" s="2">
        <v>0.4</v>
      </c>
      <c r="K1067" s="2">
        <v>1.6666666666666601</v>
      </c>
      <c r="L1067" s="2"/>
      <c r="M1067" s="2">
        <v>0.28867513459481198</v>
      </c>
      <c r="N1067" s="2">
        <v>116.888888888888</v>
      </c>
      <c r="O1067" s="2">
        <v>2.08388881483598</v>
      </c>
      <c r="P1067" s="2">
        <v>2.7777777777777701</v>
      </c>
      <c r="Q1067" s="2">
        <v>0.91792842454768298</v>
      </c>
      <c r="R1067" s="2">
        <v>2.7222222222222201</v>
      </c>
      <c r="S1067" s="2">
        <v>2.40562612162344</v>
      </c>
      <c r="T1067" s="2">
        <v>22.8333333333333</v>
      </c>
      <c r="U1067" s="2">
        <v>3.1666666666666501</v>
      </c>
      <c r="V1067" s="2">
        <v>0.5</v>
      </c>
      <c r="W1067" s="2">
        <v>0.28867513459481298</v>
      </c>
      <c r="X1067" s="2">
        <v>3.6111111111111098</v>
      </c>
      <c r="Y1067" s="2">
        <v>0.53575837561072004</v>
      </c>
      <c r="Z1067" s="7">
        <v>51.117589893100003</v>
      </c>
      <c r="AA1067" s="2">
        <v>0.91132163914109998</v>
      </c>
      <c r="AB1067" s="7">
        <v>4.6332046332046302</v>
      </c>
      <c r="AC1067" s="2">
        <v>0.80249458265739304</v>
      </c>
      <c r="AD1067" s="2">
        <v>260.12658227847999</v>
      </c>
      <c r="AE1067" s="2">
        <v>36.075949367088398</v>
      </c>
      <c r="AF1067" s="2">
        <v>26.525198938991998</v>
      </c>
      <c r="AG1067" s="2">
        <v>8.7653642662378193</v>
      </c>
      <c r="AH1067" s="2">
        <v>100</v>
      </c>
      <c r="AI1067" s="2">
        <v>88.369939161677394</v>
      </c>
      <c r="AJ1067" s="2">
        <v>105.88235294117599</v>
      </c>
      <c r="AK1067" s="2">
        <v>61.131204973019202</v>
      </c>
      <c r="AL1067" s="2">
        <v>209.67741935483801</v>
      </c>
      <c r="AM1067" s="2">
        <v>31.108550841912798</v>
      </c>
      <c r="AN1067"/>
      <c r="AO1067"/>
    </row>
    <row r="1068" spans="1:41" ht="15.75" hidden="1" customHeight="1" x14ac:dyDescent="0.45">
      <c r="A1068" s="2" t="s">
        <v>198</v>
      </c>
      <c r="B1068" s="2" t="s">
        <v>122</v>
      </c>
      <c r="C1068" s="2">
        <v>1</v>
      </c>
      <c r="D1068" s="2"/>
      <c r="E1068" s="2" t="s">
        <v>83</v>
      </c>
      <c r="F1068" s="2" t="s">
        <v>110</v>
      </c>
      <c r="H1068" s="2">
        <v>0.4</v>
      </c>
      <c r="J1068" s="2">
        <v>0.4</v>
      </c>
      <c r="K1068" s="2">
        <v>0</v>
      </c>
      <c r="L1068" s="2"/>
      <c r="M1068" s="2">
        <v>0</v>
      </c>
      <c r="N1068" s="2">
        <v>21.3333333333333</v>
      </c>
      <c r="O1068" s="2">
        <v>3.6094013046179199</v>
      </c>
      <c r="P1068" s="2">
        <v>0.88888888888888795</v>
      </c>
      <c r="Q1068" s="2">
        <v>0.83887049280786097</v>
      </c>
      <c r="R1068" s="2">
        <v>9.7222222222222197</v>
      </c>
      <c r="S1068" s="2">
        <v>7.4579065675543497</v>
      </c>
      <c r="T1068" s="2">
        <v>74.5555555555555</v>
      </c>
      <c r="U1068" s="2">
        <v>6.9768134507041903</v>
      </c>
      <c r="V1068" s="2">
        <v>0</v>
      </c>
      <c r="W1068" s="2">
        <v>0</v>
      </c>
      <c r="X1068" s="2">
        <v>1.1666666666666601</v>
      </c>
      <c r="Y1068" s="2">
        <v>1.25830573921179</v>
      </c>
      <c r="Z1068" s="7">
        <v>9.3294460641399404</v>
      </c>
      <c r="AA1068" s="2">
        <v>1.57845538102824</v>
      </c>
      <c r="AB1068" s="7">
        <v>0</v>
      </c>
      <c r="AC1068" s="2">
        <v>0</v>
      </c>
      <c r="AD1068" s="2">
        <v>849.36708860759404</v>
      </c>
      <c r="AE1068" s="2">
        <v>79.482684881440207</v>
      </c>
      <c r="AF1068" s="2">
        <v>8.4880636604774509</v>
      </c>
      <c r="AG1068" s="2">
        <v>8.01043441408037</v>
      </c>
      <c r="AH1068" s="2">
        <v>357.142857142857</v>
      </c>
      <c r="AI1068" s="2">
        <v>273.963914726486</v>
      </c>
      <c r="AJ1068" s="2">
        <v>0</v>
      </c>
      <c r="AK1068" s="2">
        <v>0</v>
      </c>
      <c r="AL1068" s="2">
        <v>67.741935483870904</v>
      </c>
      <c r="AM1068" s="2">
        <v>73.062913889716896</v>
      </c>
      <c r="AN1068"/>
      <c r="AO1068"/>
    </row>
    <row r="1069" spans="1:41" ht="15.75" hidden="1" customHeight="1" x14ac:dyDescent="0.45">
      <c r="A1069" s="2" t="s">
        <v>198</v>
      </c>
      <c r="B1069" s="2" t="s">
        <v>122</v>
      </c>
      <c r="C1069" s="2">
        <v>3</v>
      </c>
      <c r="D1069" s="2"/>
      <c r="E1069" s="2" t="s">
        <v>83</v>
      </c>
      <c r="F1069" s="2" t="s">
        <v>110</v>
      </c>
      <c r="H1069" s="2">
        <v>0.4</v>
      </c>
      <c r="J1069" s="2">
        <v>0.4</v>
      </c>
      <c r="K1069" s="2">
        <v>0.27777777777777701</v>
      </c>
      <c r="L1069" s="2"/>
      <c r="M1069" s="2">
        <v>0.48112522432468802</v>
      </c>
      <c r="N1069" s="2">
        <v>18.6111111111111</v>
      </c>
      <c r="O1069" s="2">
        <v>1.56855677945376</v>
      </c>
      <c r="P1069" s="2">
        <v>0.53333333333333299</v>
      </c>
      <c r="Q1069" s="2">
        <v>0.92376043070340097</v>
      </c>
      <c r="R1069" s="2">
        <v>11.9444444444444</v>
      </c>
      <c r="S1069" s="2">
        <v>9.7064888567352696</v>
      </c>
      <c r="T1069" s="2">
        <v>93.299999999999898</v>
      </c>
      <c r="U1069" s="2">
        <v>3.2695565448547099</v>
      </c>
      <c r="V1069" s="2">
        <v>0.46666666666666601</v>
      </c>
      <c r="W1069" s="2">
        <v>0.808290376865476</v>
      </c>
      <c r="X1069" s="2">
        <v>0.2</v>
      </c>
      <c r="Y1069" s="2">
        <v>0.34641016151377502</v>
      </c>
      <c r="Z1069" s="7">
        <v>8.1389698736637506</v>
      </c>
      <c r="AA1069" s="2">
        <v>0.68595777527132396</v>
      </c>
      <c r="AB1069" s="7">
        <v>0.77220077220077199</v>
      </c>
      <c r="AC1069" s="2">
        <v>1.33749097109565</v>
      </c>
      <c r="AD1069" s="2">
        <v>1062.91139240506</v>
      </c>
      <c r="AE1069" s="2">
        <v>37.248112536319503</v>
      </c>
      <c r="AF1069" s="2">
        <v>5.0928381962864702</v>
      </c>
      <c r="AG1069" s="2">
        <v>8.8210545106955998</v>
      </c>
      <c r="AH1069" s="2">
        <v>438.775510204081</v>
      </c>
      <c r="AI1069" s="2">
        <v>356.56489677803</v>
      </c>
      <c r="AJ1069" s="2">
        <v>98.823529411764596</v>
      </c>
      <c r="AK1069" s="2">
        <v>171.16737392445299</v>
      </c>
      <c r="AL1069" s="2">
        <v>11.6129032258064</v>
      </c>
      <c r="AM1069" s="2">
        <v>20.114138410477199</v>
      </c>
      <c r="AN1069"/>
      <c r="AO1069"/>
    </row>
    <row r="1070" spans="1:41" ht="15.75" hidden="1" customHeight="1" x14ac:dyDescent="0.45">
      <c r="A1070" s="2" t="s">
        <v>198</v>
      </c>
      <c r="B1070" s="2" t="s">
        <v>122</v>
      </c>
      <c r="C1070" s="2">
        <v>10</v>
      </c>
      <c r="D1070" s="2"/>
      <c r="E1070" s="2" t="s">
        <v>83</v>
      </c>
      <c r="F1070" s="2" t="s">
        <v>110</v>
      </c>
      <c r="H1070" s="2">
        <v>0.4</v>
      </c>
      <c r="J1070" s="2">
        <v>0.4</v>
      </c>
      <c r="K1070" s="2">
        <v>0</v>
      </c>
      <c r="L1070" s="2"/>
      <c r="M1070" s="2">
        <v>0</v>
      </c>
      <c r="N1070" s="2">
        <v>10</v>
      </c>
      <c r="O1070" s="2">
        <v>4.2426406871192803</v>
      </c>
      <c r="P1070" s="2">
        <v>3.5</v>
      </c>
      <c r="Q1070" s="2">
        <v>4.94974746830583</v>
      </c>
      <c r="R1070" s="2">
        <v>7.5</v>
      </c>
      <c r="S1070" s="2">
        <v>0.70710678118654702</v>
      </c>
      <c r="T1070" s="2">
        <v>67.5</v>
      </c>
      <c r="U1070" s="2">
        <v>24.7487373415291</v>
      </c>
      <c r="V1070" s="2">
        <v>0</v>
      </c>
      <c r="W1070" s="2">
        <v>0</v>
      </c>
      <c r="X1070" s="2">
        <v>0</v>
      </c>
      <c r="Y1070" s="2">
        <v>0</v>
      </c>
      <c r="Z1070" s="7">
        <v>4.3731778425655898</v>
      </c>
      <c r="AA1070" s="2">
        <v>1.8553822246877301</v>
      </c>
      <c r="AB1070" s="7">
        <v>0</v>
      </c>
      <c r="AC1070" s="2">
        <v>0</v>
      </c>
      <c r="AD1070" s="2">
        <v>768.98734177215101</v>
      </c>
      <c r="AE1070" s="2">
        <v>281.94764059969901</v>
      </c>
      <c r="AF1070" s="2">
        <v>33.421750663129899</v>
      </c>
      <c r="AG1070" s="2">
        <v>47.265493066050297</v>
      </c>
      <c r="AH1070" s="2">
        <v>275.51020408163203</v>
      </c>
      <c r="AI1070" s="2">
        <v>25.975351145628199</v>
      </c>
      <c r="AJ1070" s="2">
        <v>0</v>
      </c>
      <c r="AK1070" s="2">
        <v>0</v>
      </c>
      <c r="AL1070" s="2">
        <v>0</v>
      </c>
      <c r="AM1070" s="2">
        <v>0</v>
      </c>
      <c r="AN1070"/>
      <c r="AO1070"/>
    </row>
    <row r="1071" spans="1:41" ht="15.75" hidden="1" customHeight="1" x14ac:dyDescent="0.45">
      <c r="A1071" s="2" t="s">
        <v>198</v>
      </c>
      <c r="B1071" s="2" t="s">
        <v>122</v>
      </c>
      <c r="C1071" s="2">
        <v>3.0000000000000001E-3</v>
      </c>
      <c r="D1071" s="2"/>
      <c r="E1071" s="2" t="s">
        <v>83</v>
      </c>
      <c r="F1071" s="2" t="s">
        <v>110</v>
      </c>
      <c r="H1071" s="2">
        <v>0.3</v>
      </c>
      <c r="J1071" s="2">
        <v>0.3</v>
      </c>
      <c r="K1071" s="2">
        <v>6.4999999999999902</v>
      </c>
      <c r="L1071" s="2"/>
      <c r="M1071" s="2">
        <v>2.0275875100994001</v>
      </c>
      <c r="N1071" s="2">
        <v>104.111111111111</v>
      </c>
      <c r="O1071" s="2">
        <v>15.578059119348699</v>
      </c>
      <c r="P1071" s="2">
        <v>11.2777777777777</v>
      </c>
      <c r="Q1071" s="2">
        <v>1.29457557752569</v>
      </c>
      <c r="R1071" s="2">
        <v>3.6111111111111098</v>
      </c>
      <c r="S1071" s="2">
        <v>1.2729376930432801</v>
      </c>
      <c r="T1071" s="2">
        <v>7.05555555555555</v>
      </c>
      <c r="U1071" s="2">
        <v>0.19245008972987701</v>
      </c>
      <c r="V1071" s="2">
        <v>0.83333333333333304</v>
      </c>
      <c r="W1071" s="2">
        <v>0.5</v>
      </c>
      <c r="X1071" s="2">
        <v>4.3888888888888804</v>
      </c>
      <c r="Y1071" s="2">
        <v>1.20569635634504</v>
      </c>
      <c r="Z1071" s="7">
        <v>81.602438493359401</v>
      </c>
      <c r="AA1071" s="2">
        <v>12.2101051229382</v>
      </c>
      <c r="AB1071" s="7">
        <v>26.6211604095563</v>
      </c>
      <c r="AC1071" s="2">
        <v>8.3041126693491005</v>
      </c>
      <c r="AD1071" s="2">
        <v>77.439024390243802</v>
      </c>
      <c r="AE1071" s="2">
        <v>2.11225708240109</v>
      </c>
      <c r="AF1071" s="2">
        <v>81.199999999999903</v>
      </c>
      <c r="AG1071" s="2">
        <v>9.3209441581849806</v>
      </c>
      <c r="AH1071" s="2">
        <v>107.438016528925</v>
      </c>
      <c r="AI1071" s="2">
        <v>37.8725264045937</v>
      </c>
      <c r="AJ1071" s="2">
        <v>115.384615384615</v>
      </c>
      <c r="AK1071" s="2">
        <v>69.230769230769198</v>
      </c>
      <c r="AL1071" s="2">
        <v>121.53846153846099</v>
      </c>
      <c r="AM1071" s="2">
        <v>33.388514483401003</v>
      </c>
      <c r="AN1071"/>
      <c r="AO1071"/>
    </row>
    <row r="1072" spans="1:41" ht="15.75" hidden="1" customHeight="1" x14ac:dyDescent="0.45">
      <c r="A1072" s="2" t="s">
        <v>198</v>
      </c>
      <c r="B1072" s="2" t="s">
        <v>122</v>
      </c>
      <c r="C1072" s="2">
        <v>0.01</v>
      </c>
      <c r="D1072" s="2"/>
      <c r="E1072" s="2" t="s">
        <v>83</v>
      </c>
      <c r="F1072" s="2" t="s">
        <v>110</v>
      </c>
      <c r="H1072" s="2">
        <v>0.3</v>
      </c>
      <c r="J1072" s="2">
        <v>0.3</v>
      </c>
      <c r="K1072" s="2">
        <v>2.38888888888888</v>
      </c>
      <c r="L1072" s="2"/>
      <c r="M1072" s="2">
        <v>1.5122952876462401</v>
      </c>
      <c r="N1072" s="2">
        <v>119.166666666666</v>
      </c>
      <c r="O1072" s="2">
        <v>34.424232421039903</v>
      </c>
      <c r="P1072" s="2">
        <v>10.6111111111111</v>
      </c>
      <c r="Q1072" s="2">
        <v>2.4570382652773302</v>
      </c>
      <c r="R1072" s="2">
        <v>4.4444444444444402</v>
      </c>
      <c r="S1072" s="2">
        <v>0.78763593770877005</v>
      </c>
      <c r="T1072" s="2">
        <v>6.2777777777777697</v>
      </c>
      <c r="U1072" s="2">
        <v>0.58531409738070395</v>
      </c>
      <c r="V1072" s="2">
        <v>0.61111111111111105</v>
      </c>
      <c r="W1072" s="2">
        <v>0.41943524640392998</v>
      </c>
      <c r="X1072" s="2">
        <v>4.1111111111111098</v>
      </c>
      <c r="Y1072" s="2">
        <v>0.34694433324435497</v>
      </c>
      <c r="Z1072" s="7">
        <v>93.403004572175007</v>
      </c>
      <c r="AA1072" s="2">
        <v>26.981762838176301</v>
      </c>
      <c r="AB1072" s="7">
        <v>9.7838452787258205</v>
      </c>
      <c r="AC1072" s="2">
        <v>6.1937008367764204</v>
      </c>
      <c r="AD1072" s="2">
        <v>68.902439024390205</v>
      </c>
      <c r="AE1072" s="2">
        <v>6.4241791175930896</v>
      </c>
      <c r="AF1072" s="2">
        <v>76.399999999999906</v>
      </c>
      <c r="AG1072" s="2">
        <v>17.690675509996701</v>
      </c>
      <c r="AH1072" s="2">
        <v>132.23140495867699</v>
      </c>
      <c r="AI1072" s="2">
        <v>23.433796493814601</v>
      </c>
      <c r="AJ1072" s="2">
        <v>84.615384615384599</v>
      </c>
      <c r="AK1072" s="2">
        <v>58.075649502082598</v>
      </c>
      <c r="AL1072" s="2">
        <v>113.846153846153</v>
      </c>
      <c r="AM1072" s="2">
        <v>9.6076892283052207</v>
      </c>
      <c r="AN1072"/>
      <c r="AO1072"/>
    </row>
    <row r="1073" spans="1:41" ht="15.75" hidden="1" customHeight="1" x14ac:dyDescent="0.45">
      <c r="A1073" s="2" t="s">
        <v>198</v>
      </c>
      <c r="B1073" s="2" t="s">
        <v>122</v>
      </c>
      <c r="C1073" s="2">
        <v>0.03</v>
      </c>
      <c r="D1073" s="2"/>
      <c r="E1073" s="2" t="s">
        <v>83</v>
      </c>
      <c r="F1073" s="2" t="s">
        <v>110</v>
      </c>
      <c r="H1073" s="2">
        <v>0.3</v>
      </c>
      <c r="J1073" s="2">
        <v>0.3</v>
      </c>
      <c r="K1073" s="2">
        <v>1.5</v>
      </c>
      <c r="L1073" s="2"/>
      <c r="M1073" s="2">
        <v>0.5</v>
      </c>
      <c r="N1073" s="2">
        <v>113.222222222222</v>
      </c>
      <c r="O1073" s="2">
        <v>11.9493529965867</v>
      </c>
      <c r="P1073" s="2">
        <v>8</v>
      </c>
      <c r="Q1073" s="2">
        <v>2.51661147842358</v>
      </c>
      <c r="R1073" s="2">
        <v>5.6666666666666599</v>
      </c>
      <c r="S1073" s="2">
        <v>3.8115322086764198</v>
      </c>
      <c r="T1073" s="2">
        <v>8</v>
      </c>
      <c r="U1073" s="2">
        <v>0.88191710368820098</v>
      </c>
      <c r="V1073" s="2">
        <v>0.38888888888888801</v>
      </c>
      <c r="W1073" s="2">
        <v>0.19245008972987501</v>
      </c>
      <c r="X1073" s="2">
        <v>5</v>
      </c>
      <c r="Y1073" s="2">
        <v>0.600925212577334</v>
      </c>
      <c r="Z1073" s="7">
        <v>88.743740474635302</v>
      </c>
      <c r="AA1073" s="2">
        <v>9.3659200495781096</v>
      </c>
      <c r="AB1073" s="7">
        <v>6.1433447098976002</v>
      </c>
      <c r="AC1073" s="2">
        <v>2.0477815699658701</v>
      </c>
      <c r="AD1073" s="2">
        <v>87.804878048780395</v>
      </c>
      <c r="AE1073" s="2">
        <v>9.6795779673095197</v>
      </c>
      <c r="AF1073" s="2">
        <v>57.599999999999902</v>
      </c>
      <c r="AG1073" s="2">
        <v>18.119602644649799</v>
      </c>
      <c r="AH1073" s="2">
        <v>168.59504132231399</v>
      </c>
      <c r="AI1073" s="2">
        <v>113.40095827467</v>
      </c>
      <c r="AJ1073" s="2">
        <v>53.846153846153797</v>
      </c>
      <c r="AK1073" s="2">
        <v>26.646935501059598</v>
      </c>
      <c r="AL1073" s="2">
        <v>138.461538461538</v>
      </c>
      <c r="AM1073" s="2">
        <v>16.641005886756901</v>
      </c>
      <c r="AN1073"/>
      <c r="AO1073"/>
    </row>
    <row r="1074" spans="1:41" ht="15.75" hidden="1" customHeight="1" x14ac:dyDescent="0.45">
      <c r="A1074" s="2" t="s">
        <v>198</v>
      </c>
      <c r="B1074" s="2" t="s">
        <v>122</v>
      </c>
      <c r="C1074" s="2">
        <v>0.1</v>
      </c>
      <c r="D1074" s="2"/>
      <c r="E1074" s="2" t="s">
        <v>83</v>
      </c>
      <c r="F1074" s="2" t="s">
        <v>110</v>
      </c>
      <c r="H1074" s="2">
        <v>0.3</v>
      </c>
      <c r="J1074" s="2">
        <v>0.3</v>
      </c>
      <c r="K1074" s="2">
        <v>1.3333333333333299</v>
      </c>
      <c r="L1074" s="2"/>
      <c r="M1074" s="2">
        <v>0.92796072713833699</v>
      </c>
      <c r="N1074" s="2">
        <v>95.9444444444444</v>
      </c>
      <c r="O1074" s="2">
        <v>7.6781315242513601</v>
      </c>
      <c r="P1074" s="2">
        <v>9.8333333333333304</v>
      </c>
      <c r="Q1074" s="2">
        <v>0.33333333333329501</v>
      </c>
      <c r="R1074" s="2">
        <v>21.6111111111111</v>
      </c>
      <c r="S1074" s="2">
        <v>17.083401083876499</v>
      </c>
      <c r="T1074" s="2">
        <v>7.55555555555555</v>
      </c>
      <c r="U1074" s="2">
        <v>0.78763593770876505</v>
      </c>
      <c r="V1074" s="2">
        <v>0.5</v>
      </c>
      <c r="W1074" s="2">
        <v>0.44095855184409799</v>
      </c>
      <c r="X1074" s="2">
        <v>4</v>
      </c>
      <c r="Y1074" s="2">
        <v>1.1666666666666601</v>
      </c>
      <c r="Z1074" s="7">
        <v>75.201393424776796</v>
      </c>
      <c r="AA1074" s="2">
        <v>6.0181305219474996</v>
      </c>
      <c r="AB1074" s="7">
        <v>5.4607508532423097</v>
      </c>
      <c r="AC1074" s="2">
        <v>3.8005217493720198</v>
      </c>
      <c r="AD1074" s="2">
        <v>82.926829268292593</v>
      </c>
      <c r="AE1074" s="2">
        <v>8.6447846821693695</v>
      </c>
      <c r="AF1074" s="2">
        <v>70.8</v>
      </c>
      <c r="AG1074" s="2">
        <v>2.3999999999997201</v>
      </c>
      <c r="AH1074" s="2">
        <v>642.97520661157</v>
      </c>
      <c r="AI1074" s="2">
        <v>508.26647852855598</v>
      </c>
      <c r="AJ1074" s="2">
        <v>69.230769230769198</v>
      </c>
      <c r="AK1074" s="2">
        <v>61.055799486105897</v>
      </c>
      <c r="AL1074" s="2">
        <v>110.76923076923001</v>
      </c>
      <c r="AM1074" s="2">
        <v>32.3076923076922</v>
      </c>
      <c r="AN1074"/>
      <c r="AO1074"/>
    </row>
    <row r="1075" spans="1:41" ht="15.75" hidden="1" customHeight="1" x14ac:dyDescent="0.45">
      <c r="A1075" s="2" t="s">
        <v>198</v>
      </c>
      <c r="B1075" s="2" t="s">
        <v>122</v>
      </c>
      <c r="C1075" s="2">
        <v>0.3</v>
      </c>
      <c r="D1075" s="2"/>
      <c r="E1075" s="2" t="s">
        <v>83</v>
      </c>
      <c r="F1075" s="2" t="s">
        <v>110</v>
      </c>
      <c r="H1075" s="2">
        <v>0.3</v>
      </c>
      <c r="J1075" s="2">
        <v>0.3</v>
      </c>
      <c r="K1075" s="2">
        <v>2.9444444444444402</v>
      </c>
      <c r="L1075" s="2"/>
      <c r="M1075" s="2">
        <v>1.5840641588203599</v>
      </c>
      <c r="N1075" s="2">
        <v>51.7222222222222</v>
      </c>
      <c r="O1075" s="2">
        <v>9.0466895930274998</v>
      </c>
      <c r="P1075" s="2">
        <v>4.6111111111111098</v>
      </c>
      <c r="Q1075" s="2">
        <v>0.83887049280786397</v>
      </c>
      <c r="R1075" s="2">
        <v>7.8333333333333304</v>
      </c>
      <c r="S1075" s="2">
        <v>0</v>
      </c>
      <c r="T1075" s="2">
        <v>22.1111111111111</v>
      </c>
      <c r="U1075" s="2">
        <v>0.976577546180323</v>
      </c>
      <c r="V1075" s="2">
        <v>0.27777777777777701</v>
      </c>
      <c r="W1075" s="2">
        <v>0.19245008972987501</v>
      </c>
      <c r="X1075" s="2">
        <v>8.05555555555555</v>
      </c>
      <c r="Y1075" s="2">
        <v>1.1097213530798899</v>
      </c>
      <c r="Z1075" s="7">
        <v>40.539952101023196</v>
      </c>
      <c r="AA1075" s="2">
        <v>7.0908083028301796</v>
      </c>
      <c r="AB1075" s="7">
        <v>12.0591581342434</v>
      </c>
      <c r="AC1075" s="2">
        <v>6.4876347801516401</v>
      </c>
      <c r="AD1075" s="2">
        <v>242.68292682926801</v>
      </c>
      <c r="AE1075" s="2">
        <v>10.718534043442499</v>
      </c>
      <c r="AF1075" s="2">
        <v>33.199999999999903</v>
      </c>
      <c r="AG1075" s="2">
        <v>6.0398675482166198</v>
      </c>
      <c r="AH1075" s="2">
        <v>233.05785123966899</v>
      </c>
      <c r="AI1075" s="2">
        <v>0</v>
      </c>
      <c r="AJ1075" s="2">
        <v>38.461538461538403</v>
      </c>
      <c r="AK1075" s="2">
        <v>26.646935501059598</v>
      </c>
      <c r="AL1075" s="2">
        <v>223.07692307692301</v>
      </c>
      <c r="AM1075" s="2">
        <v>30.730745162212301</v>
      </c>
      <c r="AN1075"/>
      <c r="AO1075"/>
    </row>
    <row r="1076" spans="1:41" ht="15.75" hidden="1" customHeight="1" x14ac:dyDescent="0.45">
      <c r="A1076" s="2" t="s">
        <v>198</v>
      </c>
      <c r="B1076" s="2" t="s">
        <v>122</v>
      </c>
      <c r="C1076" s="2">
        <v>1</v>
      </c>
      <c r="D1076" s="2"/>
      <c r="E1076" s="2" t="s">
        <v>83</v>
      </c>
      <c r="F1076" s="2" t="s">
        <v>110</v>
      </c>
      <c r="H1076" s="2">
        <v>0.3</v>
      </c>
      <c r="J1076" s="2">
        <v>0.3</v>
      </c>
      <c r="K1076" s="2">
        <v>0</v>
      </c>
      <c r="L1076" s="2"/>
      <c r="M1076" s="2">
        <v>0</v>
      </c>
      <c r="N1076" s="2">
        <v>16.988888888888798</v>
      </c>
      <c r="O1076" s="2">
        <v>1.18337245631731</v>
      </c>
      <c r="P1076" s="2">
        <v>1.3333333333333299</v>
      </c>
      <c r="Q1076" s="2">
        <v>0.600925212577331</v>
      </c>
      <c r="R1076" s="2">
        <v>24.8</v>
      </c>
      <c r="S1076" s="2">
        <v>0</v>
      </c>
      <c r="T1076" s="2">
        <v>70.455555555555506</v>
      </c>
      <c r="U1076" s="2">
        <v>3.41895587266922</v>
      </c>
      <c r="V1076" s="2">
        <v>0.27777777777777701</v>
      </c>
      <c r="W1076" s="2">
        <v>0.48112522432468802</v>
      </c>
      <c r="X1076" s="2">
        <v>3.4444444444444402</v>
      </c>
      <c r="Y1076" s="2">
        <v>1.71053381314896</v>
      </c>
      <c r="Z1076" s="7">
        <v>13.3159155236229</v>
      </c>
      <c r="AA1076" s="2">
        <v>0.9275290317314</v>
      </c>
      <c r="AB1076" s="7">
        <v>0</v>
      </c>
      <c r="AC1076" s="2">
        <v>0</v>
      </c>
      <c r="AD1076" s="2">
        <v>773.292682926829</v>
      </c>
      <c r="AE1076" s="2">
        <v>37.525125431735397</v>
      </c>
      <c r="AF1076" s="2">
        <v>9.5999999999999908</v>
      </c>
      <c r="AG1076" s="2">
        <v>4.3266615305567804</v>
      </c>
      <c r="AH1076" s="2">
        <v>737.85123966942103</v>
      </c>
      <c r="AI1076" s="2">
        <v>0</v>
      </c>
      <c r="AJ1076" s="2">
        <v>38.461538461538403</v>
      </c>
      <c r="AK1076" s="2">
        <v>66.617338752649104</v>
      </c>
      <c r="AL1076" s="2">
        <v>95.384615384615302</v>
      </c>
      <c r="AM1076" s="2">
        <v>47.368628671817397</v>
      </c>
      <c r="AN1076"/>
      <c r="AO1076"/>
    </row>
    <row r="1077" spans="1:41" ht="15.75" hidden="1" customHeight="1" x14ac:dyDescent="0.45">
      <c r="A1077" s="2" t="s">
        <v>198</v>
      </c>
      <c r="B1077" s="2" t="s">
        <v>122</v>
      </c>
      <c r="C1077" s="2">
        <v>3</v>
      </c>
      <c r="D1077" s="2"/>
      <c r="E1077" s="2" t="s">
        <v>83</v>
      </c>
      <c r="F1077" s="2" t="s">
        <v>110</v>
      </c>
      <c r="H1077" s="2">
        <v>0.3</v>
      </c>
      <c r="J1077" s="2">
        <v>0.3</v>
      </c>
      <c r="K1077" s="2">
        <v>0</v>
      </c>
      <c r="L1077" s="2"/>
      <c r="M1077" s="2">
        <v>0</v>
      </c>
      <c r="N1077" s="2">
        <v>11.25</v>
      </c>
      <c r="O1077" s="2">
        <v>2.2220486043288901</v>
      </c>
      <c r="P1077" s="2">
        <v>0</v>
      </c>
      <c r="Q1077" s="2">
        <v>0</v>
      </c>
      <c r="R1077" s="2">
        <v>33.161111111111097</v>
      </c>
      <c r="S1077" s="2">
        <v>4.1985557481555604</v>
      </c>
      <c r="T1077" s="2">
        <v>92.788888888888806</v>
      </c>
      <c r="U1077" s="2">
        <v>3.0111521112426001</v>
      </c>
      <c r="V1077" s="2">
        <v>0</v>
      </c>
      <c r="W1077" s="2">
        <v>0</v>
      </c>
      <c r="X1077" s="2">
        <v>0.8</v>
      </c>
      <c r="Y1077" s="2">
        <v>0.72111025509279703</v>
      </c>
      <c r="Z1077" s="7">
        <v>8.8177661659046294</v>
      </c>
      <c r="AA1077" s="2">
        <v>1.74164488908861</v>
      </c>
      <c r="AB1077" s="7">
        <v>0</v>
      </c>
      <c r="AC1077" s="2">
        <v>0</v>
      </c>
      <c r="AD1077" s="2">
        <v>1018.4146341463399</v>
      </c>
      <c r="AE1077" s="2">
        <v>33.049230489248004</v>
      </c>
      <c r="AF1077" s="2">
        <v>0</v>
      </c>
      <c r="AG1077" s="2">
        <v>0</v>
      </c>
      <c r="AH1077" s="2">
        <v>986.61157024793295</v>
      </c>
      <c r="AI1077" s="2">
        <v>124.915708209587</v>
      </c>
      <c r="AJ1077" s="2">
        <v>0</v>
      </c>
      <c r="AK1077" s="2">
        <v>0</v>
      </c>
      <c r="AL1077" s="2">
        <v>22.1538461538461</v>
      </c>
      <c r="AM1077" s="2">
        <v>19.9692070641082</v>
      </c>
      <c r="AN1077"/>
      <c r="AO1077"/>
    </row>
    <row r="1078" spans="1:41" ht="15.75" hidden="1" customHeight="1" x14ac:dyDescent="0.45">
      <c r="A1078" s="2" t="s">
        <v>198</v>
      </c>
      <c r="B1078" s="2" t="s">
        <v>122</v>
      </c>
      <c r="C1078" s="2">
        <v>10</v>
      </c>
      <c r="D1078" s="2"/>
      <c r="E1078" s="2" t="s">
        <v>83</v>
      </c>
      <c r="F1078" s="2" t="s">
        <v>110</v>
      </c>
      <c r="H1078" s="2">
        <v>0.3</v>
      </c>
      <c r="J1078" s="2">
        <v>0.3</v>
      </c>
      <c r="K1078" s="2">
        <v>0</v>
      </c>
      <c r="L1078" s="2"/>
      <c r="M1078" s="2">
        <v>0</v>
      </c>
      <c r="N1078" s="2">
        <v>8</v>
      </c>
      <c r="O1078" s="2">
        <v>0</v>
      </c>
      <c r="P1078" s="2">
        <v>0</v>
      </c>
      <c r="Q1078" s="2">
        <v>0</v>
      </c>
      <c r="R1078" s="2">
        <v>13</v>
      </c>
      <c r="S1078" s="2">
        <v>0</v>
      </c>
      <c r="T1078" s="2">
        <v>50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7">
        <v>6.2704114957544004</v>
      </c>
      <c r="AA1078" s="2">
        <v>0</v>
      </c>
      <c r="AB1078" s="7">
        <v>0</v>
      </c>
      <c r="AC1078" s="2">
        <v>0</v>
      </c>
      <c r="AD1078" s="2">
        <v>548.78048780487802</v>
      </c>
      <c r="AE1078" s="2">
        <v>0</v>
      </c>
      <c r="AF1078" s="2">
        <v>0</v>
      </c>
      <c r="AG1078" s="2">
        <v>0</v>
      </c>
      <c r="AH1078" s="2">
        <v>386.77685950413201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/>
      <c r="AO1078"/>
    </row>
    <row r="1079" spans="1:41" ht="15.75" hidden="1" customHeight="1" x14ac:dyDescent="0.45">
      <c r="A1079" s="2" t="s">
        <v>198</v>
      </c>
      <c r="B1079" s="2" t="s">
        <v>122</v>
      </c>
      <c r="C1079" s="2">
        <v>3.0000000000000001E-3</v>
      </c>
      <c r="D1079" s="2"/>
      <c r="E1079" s="2" t="s">
        <v>83</v>
      </c>
      <c r="F1079" s="2" t="s">
        <v>84</v>
      </c>
      <c r="H1079" s="2" t="s">
        <v>87</v>
      </c>
      <c r="K1079" s="2">
        <v>5.6506553008388796</v>
      </c>
      <c r="L1079" s="2"/>
      <c r="M1079" s="2">
        <v>2.1819620634928398</v>
      </c>
      <c r="N1079" s="2">
        <v>81.8333333333333</v>
      </c>
      <c r="O1079" s="2">
        <v>10.441636738451299</v>
      </c>
      <c r="P1079" s="2">
        <v>8.6695562165055495</v>
      </c>
      <c r="Q1079" s="2">
        <v>1.3785133865321599</v>
      </c>
      <c r="R1079" s="2">
        <v>0.540324757805555</v>
      </c>
      <c r="S1079" s="2">
        <v>0.49405162002562197</v>
      </c>
      <c r="T1079" s="2">
        <v>5.0120070269722197</v>
      </c>
      <c r="U1079" s="2">
        <v>0.367621254946571</v>
      </c>
      <c r="V1079" s="2">
        <v>0.363194831706111</v>
      </c>
      <c r="W1079" s="2">
        <v>0.32731801209784001</v>
      </c>
      <c r="X1079" s="2">
        <v>5.3325851582222201</v>
      </c>
      <c r="Y1079" s="2">
        <v>0.440384230240562</v>
      </c>
      <c r="Z1079" s="7">
        <v>30.996364477054499</v>
      </c>
      <c r="AA1079" s="2">
        <v>4.6834586735787003</v>
      </c>
      <c r="AB1079" s="7">
        <v>17.005911858686598</v>
      </c>
      <c r="AC1079" s="2">
        <v>7.4097088209736102</v>
      </c>
      <c r="AD1079" s="2">
        <v>86.735496900965302</v>
      </c>
      <c r="AE1079" s="2">
        <v>6.5905708991922198</v>
      </c>
      <c r="AF1079" s="2">
        <v>64.721607945071895</v>
      </c>
      <c r="AG1079" s="2">
        <v>15.614137958664699</v>
      </c>
      <c r="AH1079" s="2">
        <v>32.5440504966868</v>
      </c>
      <c r="AI1079" s="2">
        <v>28.271591412616601</v>
      </c>
      <c r="AJ1079" s="2">
        <v>53.513656873778402</v>
      </c>
      <c r="AK1079" s="2">
        <v>51.1296902046222</v>
      </c>
      <c r="AL1079" s="2">
        <v>146.93769779291199</v>
      </c>
      <c r="AM1079" s="2">
        <v>15.523116426622799</v>
      </c>
      <c r="AN1079"/>
      <c r="AO1079"/>
    </row>
    <row r="1080" spans="1:41" ht="15.75" hidden="1" customHeight="1" x14ac:dyDescent="0.45">
      <c r="A1080" s="2" t="s">
        <v>198</v>
      </c>
      <c r="B1080" s="2" t="s">
        <v>122</v>
      </c>
      <c r="C1080" s="2">
        <v>0.01</v>
      </c>
      <c r="D1080" s="2"/>
      <c r="E1080" s="2" t="s">
        <v>83</v>
      </c>
      <c r="F1080" s="2" t="s">
        <v>84</v>
      </c>
      <c r="H1080" s="2" t="s">
        <v>87</v>
      </c>
      <c r="K1080" s="2">
        <v>9.75879831850777</v>
      </c>
      <c r="L1080" s="2"/>
      <c r="M1080" s="2">
        <v>2.57548229619128</v>
      </c>
      <c r="N1080" s="2">
        <v>74.655555555555495</v>
      </c>
      <c r="O1080" s="2">
        <v>6.3631171024316897</v>
      </c>
      <c r="P1080" s="2">
        <v>9.8773202369311104</v>
      </c>
      <c r="Q1080" s="2">
        <v>1.2980204406423299</v>
      </c>
      <c r="R1080" s="2">
        <v>0.32659341879888798</v>
      </c>
      <c r="S1080" s="2">
        <v>9.7582307427467693E-2</v>
      </c>
      <c r="T1080" s="2">
        <v>4.69429257472666</v>
      </c>
      <c r="U1080" s="2">
        <v>0.291777883844002</v>
      </c>
      <c r="V1080" s="2">
        <v>0.93481267969000004</v>
      </c>
      <c r="W1080" s="2">
        <v>0.446447626530521</v>
      </c>
      <c r="X1080" s="2">
        <v>4.9785099713355496</v>
      </c>
      <c r="Y1080" s="2">
        <v>0.40397220155584002</v>
      </c>
      <c r="Z1080" s="7">
        <v>28.2541388296072</v>
      </c>
      <c r="AA1080" s="2">
        <v>2.8620102811335402</v>
      </c>
      <c r="AB1080" s="7">
        <v>28.660670708289601</v>
      </c>
      <c r="AC1080" s="2">
        <v>6.1399542886169902</v>
      </c>
      <c r="AD1080" s="2">
        <v>81.704360431021698</v>
      </c>
      <c r="AE1080" s="2">
        <v>11.701754436733999</v>
      </c>
      <c r="AF1080" s="2">
        <v>72.435047430551506</v>
      </c>
      <c r="AG1080" s="2">
        <v>4.0084910507084999</v>
      </c>
      <c r="AH1080" s="2">
        <v>17.9557271151306</v>
      </c>
      <c r="AI1080" s="2">
        <v>7.0955183600636396</v>
      </c>
      <c r="AJ1080" s="2">
        <v>141.98634343640401</v>
      </c>
      <c r="AK1080" s="2">
        <v>59.069738008538401</v>
      </c>
      <c r="AL1080" s="2">
        <v>138.51580131736901</v>
      </c>
      <c r="AM1080" s="2">
        <v>28.7471929020777</v>
      </c>
      <c r="AN1080"/>
      <c r="AO1080"/>
    </row>
    <row r="1081" spans="1:41" ht="15.75" hidden="1" customHeight="1" x14ac:dyDescent="0.45">
      <c r="A1081" s="2" t="s">
        <v>198</v>
      </c>
      <c r="B1081" s="2" t="s">
        <v>122</v>
      </c>
      <c r="C1081" s="2">
        <v>0.03</v>
      </c>
      <c r="D1081" s="2"/>
      <c r="E1081" s="2" t="s">
        <v>83</v>
      </c>
      <c r="F1081" s="2" t="s">
        <v>84</v>
      </c>
      <c r="H1081" s="2" t="s">
        <v>87</v>
      </c>
      <c r="K1081" s="2">
        <v>4.60698214821777</v>
      </c>
      <c r="L1081" s="2"/>
      <c r="M1081" s="2">
        <v>3.3768091240045299</v>
      </c>
      <c r="N1081" s="2">
        <v>68.5555555555555</v>
      </c>
      <c r="O1081" s="2">
        <v>5.4423578768082601</v>
      </c>
      <c r="P1081" s="2">
        <v>5.5242600240155504</v>
      </c>
      <c r="Q1081" s="2">
        <v>1.61892575662795</v>
      </c>
      <c r="R1081" s="2">
        <v>1.9277108434000001</v>
      </c>
      <c r="S1081" s="2">
        <v>3.3388931230702501</v>
      </c>
      <c r="T1081" s="2">
        <v>6.7816615816488799</v>
      </c>
      <c r="U1081" s="2">
        <v>0.55384572484345995</v>
      </c>
      <c r="V1081" s="2">
        <v>0.84734264557111105</v>
      </c>
      <c r="W1081" s="2">
        <v>0.556539232738681</v>
      </c>
      <c r="X1081" s="2">
        <v>6.3393102338255503</v>
      </c>
      <c r="Y1081" s="2">
        <v>1.1996685182542199</v>
      </c>
      <c r="Z1081" s="7">
        <v>25.904666858552801</v>
      </c>
      <c r="AA1081" s="2">
        <v>1.81996810303629</v>
      </c>
      <c r="AB1081" s="7">
        <v>13.242451080420601</v>
      </c>
      <c r="AC1081" s="2">
        <v>8.8401374096130798</v>
      </c>
      <c r="AD1081" s="2">
        <v>117.098266416437</v>
      </c>
      <c r="AE1081" s="2">
        <v>2.5381861948553701</v>
      </c>
      <c r="AF1081" s="2">
        <v>40.052014778602903</v>
      </c>
      <c r="AG1081" s="2">
        <v>7.1743204561691503</v>
      </c>
      <c r="AH1081" s="2">
        <v>80.364100954330993</v>
      </c>
      <c r="AI1081" s="2">
        <v>139.19470595749499</v>
      </c>
      <c r="AJ1081" s="2">
        <v>153.92994131934699</v>
      </c>
      <c r="AK1081" s="2">
        <v>124.21581338476901</v>
      </c>
      <c r="AL1081" s="2">
        <v>174.618939707994</v>
      </c>
      <c r="AM1081" s="2">
        <v>32.865122842232203</v>
      </c>
      <c r="AN1081"/>
      <c r="AO1081"/>
    </row>
    <row r="1082" spans="1:41" ht="15.75" hidden="1" customHeight="1" x14ac:dyDescent="0.45">
      <c r="A1082" s="2" t="s">
        <v>198</v>
      </c>
      <c r="B1082" s="2" t="s">
        <v>122</v>
      </c>
      <c r="C1082" s="2">
        <v>0.1</v>
      </c>
      <c r="D1082" s="2"/>
      <c r="E1082" s="2" t="s">
        <v>83</v>
      </c>
      <c r="F1082" s="2" t="s">
        <v>84</v>
      </c>
      <c r="H1082" s="2" t="s">
        <v>87</v>
      </c>
      <c r="K1082" s="2">
        <v>0.73789976099444399</v>
      </c>
      <c r="L1082" s="2"/>
      <c r="M1082" s="2">
        <v>0.87772129711834801</v>
      </c>
      <c r="N1082" s="2">
        <v>61</v>
      </c>
      <c r="O1082" s="2">
        <v>5.1666666666667398</v>
      </c>
      <c r="P1082" s="2">
        <v>5.1667773345444399</v>
      </c>
      <c r="Q1082" s="2">
        <v>0.81233020497882502</v>
      </c>
      <c r="R1082" s="2">
        <v>0</v>
      </c>
      <c r="S1082" s="2">
        <v>0</v>
      </c>
      <c r="T1082" s="2">
        <v>5.0583785140922197</v>
      </c>
      <c r="U1082" s="2">
        <v>2.0555748051863598</v>
      </c>
      <c r="V1082" s="2">
        <v>9.0090090093333297E-2</v>
      </c>
      <c r="W1082" s="2">
        <v>0.15604061330010999</v>
      </c>
      <c r="X1082" s="2">
        <v>7.2968263946555503</v>
      </c>
      <c r="Y1082" s="2">
        <v>2.2818547806624201</v>
      </c>
      <c r="Z1082" s="7">
        <v>23.1378756810672</v>
      </c>
      <c r="AA1082" s="2">
        <v>3.0007929835882399</v>
      </c>
      <c r="AB1082" s="7">
        <v>2.0766130487292598</v>
      </c>
      <c r="AC1082" s="2">
        <v>2.40438693524507</v>
      </c>
      <c r="AD1082" s="2">
        <v>88.253498931776704</v>
      </c>
      <c r="AE1082" s="2">
        <v>37.000908877577402</v>
      </c>
      <c r="AF1082" s="2">
        <v>37.932246845453101</v>
      </c>
      <c r="AG1082" s="2">
        <v>4.74840597302933</v>
      </c>
      <c r="AH1082" s="2">
        <v>0</v>
      </c>
      <c r="AI1082" s="2">
        <v>0</v>
      </c>
      <c r="AJ1082" s="2">
        <v>20.204778944387598</v>
      </c>
      <c r="AK1082" s="2">
        <v>34.995703687377201</v>
      </c>
      <c r="AL1082" s="2">
        <v>197.93443002896601</v>
      </c>
      <c r="AM1082" s="2">
        <v>48.513737348515001</v>
      </c>
      <c r="AN1082"/>
      <c r="AO1082"/>
    </row>
    <row r="1083" spans="1:41" ht="15.75" hidden="1" customHeight="1" x14ac:dyDescent="0.45">
      <c r="A1083" s="2" t="s">
        <v>198</v>
      </c>
      <c r="B1083" s="2" t="s">
        <v>122</v>
      </c>
      <c r="C1083" s="2">
        <v>0.3</v>
      </c>
      <c r="D1083" s="2"/>
      <c r="E1083" s="2" t="s">
        <v>83</v>
      </c>
      <c r="F1083" s="2" t="s">
        <v>84</v>
      </c>
      <c r="H1083" s="2" t="s">
        <v>87</v>
      </c>
      <c r="K1083" s="2">
        <v>0</v>
      </c>
      <c r="L1083" s="2"/>
      <c r="M1083" s="2">
        <v>0</v>
      </c>
      <c r="N1083" s="2">
        <v>47</v>
      </c>
      <c r="O1083" s="2">
        <v>10.042963263455199</v>
      </c>
      <c r="P1083" s="2">
        <v>3.49465470984111</v>
      </c>
      <c r="Q1083" s="2">
        <v>1.5532677323883699</v>
      </c>
      <c r="R1083" s="2">
        <v>0.49019607843333302</v>
      </c>
      <c r="S1083" s="2">
        <v>0.49019607843333302</v>
      </c>
      <c r="T1083" s="2">
        <v>7.1015238598122199</v>
      </c>
      <c r="U1083" s="2">
        <v>2.23149249243958</v>
      </c>
      <c r="V1083" s="2">
        <v>0.35837424986666599</v>
      </c>
      <c r="W1083" s="2">
        <v>3.9877067454537597E-2</v>
      </c>
      <c r="X1083" s="2">
        <v>8.9518259717377706</v>
      </c>
      <c r="Y1083" s="2">
        <v>1.0162742451642099</v>
      </c>
      <c r="Z1083" s="7">
        <v>17.898629332704399</v>
      </c>
      <c r="AA1083" s="2">
        <v>4.5748493342199898</v>
      </c>
      <c r="AB1083" s="7">
        <v>0</v>
      </c>
      <c r="AC1083" s="2">
        <v>0</v>
      </c>
      <c r="AD1083" s="2">
        <v>125.078059916374</v>
      </c>
      <c r="AE1083" s="2">
        <v>46.111318173835002</v>
      </c>
      <c r="AF1083" s="2">
        <v>25.122847172256201</v>
      </c>
      <c r="AG1083" s="2">
        <v>8.43580132740796</v>
      </c>
      <c r="AH1083" s="2">
        <v>24.025445641208599</v>
      </c>
      <c r="AI1083" s="2">
        <v>26.006783646035501</v>
      </c>
      <c r="AJ1083" s="2">
        <v>62.269540350946201</v>
      </c>
      <c r="AK1083" s="2">
        <v>28.3098596507613</v>
      </c>
      <c r="AL1083" s="2">
        <v>248.897572826409</v>
      </c>
      <c r="AM1083" s="2">
        <v>53.918213514444197</v>
      </c>
      <c r="AN1083"/>
      <c r="AO1083"/>
    </row>
    <row r="1084" spans="1:41" ht="15.75" hidden="1" customHeight="1" x14ac:dyDescent="0.45">
      <c r="A1084" s="2" t="s">
        <v>198</v>
      </c>
      <c r="B1084" s="2" t="s">
        <v>122</v>
      </c>
      <c r="C1084" s="2">
        <v>1</v>
      </c>
      <c r="D1084" s="2"/>
      <c r="E1084" s="2" t="s">
        <v>83</v>
      </c>
      <c r="F1084" s="2" t="s">
        <v>84</v>
      </c>
      <c r="H1084" s="2" t="s">
        <v>87</v>
      </c>
      <c r="K1084" s="2">
        <v>0</v>
      </c>
      <c r="L1084" s="2"/>
      <c r="M1084" s="2">
        <v>0</v>
      </c>
      <c r="N1084" s="2">
        <v>38.422222222222203</v>
      </c>
      <c r="O1084" s="2">
        <v>4.72067948655853</v>
      </c>
      <c r="P1084" s="2">
        <v>3.6333456669266599</v>
      </c>
      <c r="Q1084" s="2">
        <v>0.60192189126450701</v>
      </c>
      <c r="R1084" s="2">
        <v>0</v>
      </c>
      <c r="S1084" s="2">
        <v>0</v>
      </c>
      <c r="T1084" s="2">
        <v>8.8569051147611102</v>
      </c>
      <c r="U1084" s="2">
        <v>2.1800469717790398</v>
      </c>
      <c r="V1084" s="2">
        <v>0.215669196633333</v>
      </c>
      <c r="W1084" s="2">
        <v>0.37355000619649598</v>
      </c>
      <c r="X1084" s="2">
        <v>9.9895124315422201</v>
      </c>
      <c r="Y1084" s="2">
        <v>1.4868563197292299</v>
      </c>
      <c r="Z1084" s="7">
        <v>14.4959824828961</v>
      </c>
      <c r="AA1084" s="2">
        <v>1.3328280112375801</v>
      </c>
      <c r="AB1084" s="7">
        <v>0</v>
      </c>
      <c r="AC1084" s="2">
        <v>0</v>
      </c>
      <c r="AD1084" s="2">
        <v>154.440311211525</v>
      </c>
      <c r="AE1084" s="2">
        <v>46.044101027875499</v>
      </c>
      <c r="AF1084" s="2">
        <v>26.9629694005448</v>
      </c>
      <c r="AG1084" s="2">
        <v>6.1514523553357403</v>
      </c>
      <c r="AH1084" s="2">
        <v>0</v>
      </c>
      <c r="AI1084" s="2">
        <v>0</v>
      </c>
      <c r="AJ1084" s="2">
        <v>48.368787716559503</v>
      </c>
      <c r="AK1084" s="2">
        <v>83.777197825594499</v>
      </c>
      <c r="AL1084" s="2">
        <v>274.26449423796601</v>
      </c>
      <c r="AM1084" s="2">
        <v>33.586415308834198</v>
      </c>
      <c r="AN1084"/>
      <c r="AO1084"/>
    </row>
    <row r="1085" spans="1:41" ht="15.75" hidden="1" customHeight="1" x14ac:dyDescent="0.45">
      <c r="A1085" s="2" t="s">
        <v>198</v>
      </c>
      <c r="B1085" s="2" t="s">
        <v>122</v>
      </c>
      <c r="C1085" s="2">
        <v>3</v>
      </c>
      <c r="D1085" s="2"/>
      <c r="E1085" s="2" t="s">
        <v>83</v>
      </c>
      <c r="F1085" s="2" t="s">
        <v>84</v>
      </c>
      <c r="H1085" s="2" t="s">
        <v>87</v>
      </c>
      <c r="K1085" s="2">
        <v>0</v>
      </c>
      <c r="L1085" s="2"/>
      <c r="M1085" s="2">
        <v>0</v>
      </c>
      <c r="N1085" s="2">
        <v>41.411111111111097</v>
      </c>
      <c r="O1085" s="2">
        <v>4.5857670306350604</v>
      </c>
      <c r="P1085" s="2">
        <v>2.2070789182055499</v>
      </c>
      <c r="Q1085" s="2">
        <v>0.89718605917806904</v>
      </c>
      <c r="R1085" s="2">
        <v>0.38986354775555498</v>
      </c>
      <c r="S1085" s="2">
        <v>0.67526347273167697</v>
      </c>
      <c r="T1085" s="2">
        <v>13.277458012415501</v>
      </c>
      <c r="U1085" s="2">
        <v>4.30946329663852</v>
      </c>
      <c r="V1085" s="2">
        <v>9.7465886938888802E-2</v>
      </c>
      <c r="W1085" s="2">
        <v>0.16881586818291899</v>
      </c>
      <c r="X1085" s="2">
        <v>9.3315345523611093</v>
      </c>
      <c r="Y1085" s="2">
        <v>0.93596341100817304</v>
      </c>
      <c r="Z1085" s="7">
        <v>15.7192455698556</v>
      </c>
      <c r="AA1085" s="2">
        <v>2.4094398847515701</v>
      </c>
      <c r="AB1085" s="7">
        <v>0</v>
      </c>
      <c r="AC1085" s="2">
        <v>0</v>
      </c>
      <c r="AD1085" s="2">
        <v>235.15951032744999</v>
      </c>
      <c r="AE1085" s="2">
        <v>97.711741998114704</v>
      </c>
      <c r="AF1085" s="2">
        <v>16.493154024831401</v>
      </c>
      <c r="AG1085" s="2">
        <v>7.3863818874145597</v>
      </c>
      <c r="AH1085" s="2">
        <v>27.860471611864799</v>
      </c>
      <c r="AI1085" s="2">
        <v>48.255752354580302</v>
      </c>
      <c r="AJ1085" s="2">
        <v>18.928272104626402</v>
      </c>
      <c r="AK1085" s="2">
        <v>32.784728984701701</v>
      </c>
      <c r="AL1085" s="2">
        <v>256.394349612403</v>
      </c>
      <c r="AM1085" s="2">
        <v>19.8900292690568</v>
      </c>
      <c r="AN1085"/>
      <c r="AO1085"/>
    </row>
    <row r="1086" spans="1:41" ht="15.75" hidden="1" customHeight="1" x14ac:dyDescent="0.45">
      <c r="A1086" s="2" t="s">
        <v>198</v>
      </c>
      <c r="B1086" s="2" t="s">
        <v>122</v>
      </c>
      <c r="C1086" s="2">
        <v>10</v>
      </c>
      <c r="D1086" s="2"/>
      <c r="E1086" s="2" t="s">
        <v>83</v>
      </c>
      <c r="F1086" s="2" t="s">
        <v>84</v>
      </c>
      <c r="H1086" s="2" t="s">
        <v>87</v>
      </c>
      <c r="K1086" s="2">
        <v>0</v>
      </c>
      <c r="L1086" s="2"/>
      <c r="M1086" s="2">
        <v>0</v>
      </c>
      <c r="N1086" s="2">
        <v>42.5</v>
      </c>
      <c r="O1086" s="2">
        <v>9.2601295887260608</v>
      </c>
      <c r="P1086" s="2">
        <v>2.5615089165444398</v>
      </c>
      <c r="Q1086" s="2">
        <v>1.8811794585410899</v>
      </c>
      <c r="R1086" s="2">
        <v>0.25573192239999998</v>
      </c>
      <c r="S1086" s="2">
        <v>0.44294068271406101</v>
      </c>
      <c r="T1086" s="2">
        <v>15.536195131361101</v>
      </c>
      <c r="U1086" s="2">
        <v>7.1318606778692697</v>
      </c>
      <c r="V1086" s="2">
        <v>0.21037868162777701</v>
      </c>
      <c r="W1086" s="2">
        <v>0.36438656540866798</v>
      </c>
      <c r="X1086" s="2">
        <v>8.9271553461133308</v>
      </c>
      <c r="Y1086" s="2">
        <v>0.58571372148994305</v>
      </c>
      <c r="Z1086" s="7">
        <v>14.2611959186336</v>
      </c>
      <c r="AA1086" s="2">
        <v>2.1477230173863999</v>
      </c>
      <c r="AB1086" s="7">
        <v>0</v>
      </c>
      <c r="AC1086" s="2">
        <v>0</v>
      </c>
      <c r="AD1086" s="2">
        <v>226.95862210262601</v>
      </c>
      <c r="AE1086" s="2">
        <v>106.47034482679599</v>
      </c>
      <c r="AF1086" s="2">
        <v>17.525898877167901</v>
      </c>
      <c r="AG1086" s="2">
        <v>12.810640785279899</v>
      </c>
      <c r="AH1086" s="2">
        <v>10.6325201560265</v>
      </c>
      <c r="AI1086" s="2">
        <v>18.4160651227381</v>
      </c>
      <c r="AJ1086" s="2">
        <v>25.127771085256001</v>
      </c>
      <c r="AK1086" s="2">
        <v>43.522576200623597</v>
      </c>
      <c r="AL1086" s="2">
        <v>242.32405027259699</v>
      </c>
      <c r="AM1086" s="2">
        <v>35.132668695326601</v>
      </c>
      <c r="AN1086"/>
      <c r="AO1086"/>
    </row>
    <row r="1087" spans="1:41" ht="15.75" hidden="1" customHeight="1" x14ac:dyDescent="0.45">
      <c r="A1087" s="2" t="s">
        <v>198</v>
      </c>
      <c r="B1087" s="2" t="s">
        <v>122</v>
      </c>
      <c r="C1087" s="2">
        <v>3.0000000000000001E-3</v>
      </c>
      <c r="D1087" s="2"/>
      <c r="E1087" s="2" t="s">
        <v>85</v>
      </c>
      <c r="F1087" s="2" t="s">
        <v>84</v>
      </c>
      <c r="G1087" s="2" t="s">
        <v>111</v>
      </c>
      <c r="H1087" s="2">
        <v>0.3</v>
      </c>
      <c r="I1087" s="2">
        <v>3539</v>
      </c>
      <c r="J1087" s="2">
        <v>0.3</v>
      </c>
      <c r="K1087" s="2">
        <v>0.44444444444444398</v>
      </c>
      <c r="L1087" s="2"/>
      <c r="M1087" s="2">
        <v>0.48112522432468802</v>
      </c>
      <c r="N1087" s="2">
        <v>246.388888888888</v>
      </c>
      <c r="O1087" s="2">
        <v>55.388610274569302</v>
      </c>
      <c r="P1087" s="2">
        <v>0.72222222222222199</v>
      </c>
      <c r="Q1087" s="2">
        <v>9.6225044864937201E-2</v>
      </c>
      <c r="R1087" s="2">
        <v>5.5555555555555497E-2</v>
      </c>
      <c r="S1087" s="2">
        <v>9.6225044864937603E-2</v>
      </c>
      <c r="T1087" s="2">
        <v>11.6666666666666</v>
      </c>
      <c r="U1087" s="2">
        <v>3.4801021696368499</v>
      </c>
      <c r="V1087" s="2">
        <v>0</v>
      </c>
      <c r="W1087" s="2">
        <v>0</v>
      </c>
      <c r="X1087" s="2">
        <v>0.94444444444444398</v>
      </c>
      <c r="Y1087" s="2">
        <v>0.50917507721731603</v>
      </c>
      <c r="Z1087" s="7">
        <v>81.970243045929195</v>
      </c>
      <c r="AA1087" s="2">
        <v>18.427039736479902</v>
      </c>
      <c r="AB1087" s="7">
        <v>14.0350877192982</v>
      </c>
      <c r="AC1087" s="2">
        <v>15.193428136569</v>
      </c>
      <c r="AD1087" s="2">
        <v>207.40740740740699</v>
      </c>
      <c r="AE1087" s="2">
        <v>61.868483015766202</v>
      </c>
      <c r="AF1087" s="2">
        <v>123.809523809523</v>
      </c>
      <c r="AG1087" s="2">
        <v>16.495721976846301</v>
      </c>
      <c r="AH1087" s="2">
        <v>3.5087719298245599</v>
      </c>
      <c r="AI1087" s="2">
        <v>6.0773712546276304</v>
      </c>
      <c r="AJ1087" s="2">
        <v>0</v>
      </c>
      <c r="AK1087" s="2">
        <v>0</v>
      </c>
      <c r="AL1087" s="2">
        <v>161.90476190476099</v>
      </c>
      <c r="AM1087" s="2">
        <v>87.287156094397005</v>
      </c>
      <c r="AN1087"/>
      <c r="AO1087"/>
    </row>
    <row r="1088" spans="1:41" ht="15.75" hidden="1" customHeight="1" x14ac:dyDescent="0.45">
      <c r="A1088" s="2" t="s">
        <v>198</v>
      </c>
      <c r="B1088" s="2" t="s">
        <v>122</v>
      </c>
      <c r="C1088" s="2">
        <v>0.01</v>
      </c>
      <c r="D1088" s="2"/>
      <c r="E1088" s="2" t="s">
        <v>85</v>
      </c>
      <c r="F1088" s="2" t="s">
        <v>84</v>
      </c>
      <c r="G1088" s="2" t="s">
        <v>111</v>
      </c>
      <c r="H1088" s="2">
        <v>0.3</v>
      </c>
      <c r="I1088" s="2">
        <v>3539</v>
      </c>
      <c r="J1088" s="2">
        <v>0.3</v>
      </c>
      <c r="K1088" s="2">
        <v>5.5555555555555497E-2</v>
      </c>
      <c r="L1088" s="2"/>
      <c r="M1088" s="2">
        <v>9.6225044864937603E-2</v>
      </c>
      <c r="N1088" s="2">
        <v>253.444444444444</v>
      </c>
      <c r="O1088" s="2">
        <v>35.122536818865598</v>
      </c>
      <c r="P1088" s="2">
        <v>0.38888888888888801</v>
      </c>
      <c r="Q1088" s="2">
        <v>9.6225044864937506E-2</v>
      </c>
      <c r="R1088" s="2">
        <v>2.3333333333333299</v>
      </c>
      <c r="S1088" s="2">
        <v>3.89800518784216</v>
      </c>
      <c r="T1088" s="2">
        <v>14.6666666666666</v>
      </c>
      <c r="U1088" s="2">
        <v>3.5472994422987898</v>
      </c>
      <c r="V1088" s="2">
        <v>0</v>
      </c>
      <c r="W1088" s="2">
        <v>0</v>
      </c>
      <c r="X1088" s="2">
        <v>1</v>
      </c>
      <c r="Y1088" s="2">
        <v>0.28867513459481198</v>
      </c>
      <c r="Z1088" s="7">
        <v>84.317530727289494</v>
      </c>
      <c r="AA1088" s="2">
        <v>11.684791844368901</v>
      </c>
      <c r="AB1088" s="7">
        <v>1.7543859649122799</v>
      </c>
      <c r="AC1088" s="2">
        <v>3.0386856273138099</v>
      </c>
      <c r="AD1088" s="2">
        <v>260.74074074074002</v>
      </c>
      <c r="AE1088" s="2">
        <v>63.063101196422998</v>
      </c>
      <c r="AF1088" s="2">
        <v>66.6666666666666</v>
      </c>
      <c r="AG1088" s="2">
        <v>16.495721976846401</v>
      </c>
      <c r="AH1088" s="2">
        <v>147.36842105263099</v>
      </c>
      <c r="AI1088" s="2">
        <v>246.18980133739899</v>
      </c>
      <c r="AJ1088" s="2">
        <v>0</v>
      </c>
      <c r="AK1088" s="2">
        <v>0</v>
      </c>
      <c r="AL1088" s="2">
        <v>171.42857142857099</v>
      </c>
      <c r="AM1088" s="2">
        <v>49.487165930539199</v>
      </c>
      <c r="AN1088"/>
      <c r="AO1088"/>
    </row>
    <row r="1089" spans="1:41" ht="15.75" hidden="1" customHeight="1" x14ac:dyDescent="0.45">
      <c r="A1089" s="2" t="s">
        <v>198</v>
      </c>
      <c r="B1089" s="2" t="s">
        <v>122</v>
      </c>
      <c r="C1089" s="2">
        <v>0.03</v>
      </c>
      <c r="D1089" s="2"/>
      <c r="E1089" s="2" t="s">
        <v>85</v>
      </c>
      <c r="F1089" s="2" t="s">
        <v>84</v>
      </c>
      <c r="G1089" s="2" t="s">
        <v>111</v>
      </c>
      <c r="H1089" s="2">
        <v>0.3</v>
      </c>
      <c r="I1089" s="2">
        <v>3539</v>
      </c>
      <c r="J1089" s="2">
        <v>0.3</v>
      </c>
      <c r="K1089" s="2">
        <v>5.5555555555555497E-2</v>
      </c>
      <c r="L1089" s="2"/>
      <c r="M1089" s="2">
        <v>9.6225044864937603E-2</v>
      </c>
      <c r="N1089" s="2">
        <v>234.277777777777</v>
      </c>
      <c r="O1089" s="2">
        <v>52.520190121231998</v>
      </c>
      <c r="P1089" s="2">
        <v>0.33333333333333298</v>
      </c>
      <c r="Q1089" s="2">
        <v>0.16666666666666599</v>
      </c>
      <c r="R1089" s="2">
        <v>5.5555555555555497E-2</v>
      </c>
      <c r="S1089" s="2">
        <v>9.6225044864937603E-2</v>
      </c>
      <c r="T1089" s="2">
        <v>13.3888888888888</v>
      </c>
      <c r="U1089" s="2">
        <v>1.6694421334796401</v>
      </c>
      <c r="V1089" s="2">
        <v>5.5555555555555497E-2</v>
      </c>
      <c r="W1089" s="2">
        <v>9.6225044864937603E-2</v>
      </c>
      <c r="X1089" s="2">
        <v>1.6111111111111101</v>
      </c>
      <c r="Y1089" s="2">
        <v>0.50917507721731503</v>
      </c>
      <c r="Z1089" s="7">
        <v>77.941040569263393</v>
      </c>
      <c r="AA1089" s="2">
        <v>17.472755238557902</v>
      </c>
      <c r="AB1089" s="7">
        <v>1.7543859649122799</v>
      </c>
      <c r="AC1089" s="2">
        <v>3.0386856273138201</v>
      </c>
      <c r="AD1089" s="2">
        <v>238.024691358024</v>
      </c>
      <c r="AE1089" s="2">
        <v>29.678971261860301</v>
      </c>
      <c r="AF1089" s="2">
        <v>57.142857142857103</v>
      </c>
      <c r="AG1089" s="2">
        <v>28.571428571428498</v>
      </c>
      <c r="AH1089" s="2">
        <v>3.5087719298245599</v>
      </c>
      <c r="AI1089" s="2">
        <v>6.0773712546276304</v>
      </c>
      <c r="AJ1089" s="2">
        <v>66.6666666666666</v>
      </c>
      <c r="AK1089" s="2">
        <v>115.47005383792499</v>
      </c>
      <c r="AL1089" s="2">
        <v>276.19047619047598</v>
      </c>
      <c r="AM1089" s="2">
        <v>87.287156094396906</v>
      </c>
      <c r="AN1089"/>
      <c r="AO1089"/>
    </row>
    <row r="1090" spans="1:41" ht="15.75" hidden="1" customHeight="1" x14ac:dyDescent="0.45">
      <c r="A1090" s="2" t="s">
        <v>198</v>
      </c>
      <c r="B1090" s="2" t="s">
        <v>122</v>
      </c>
      <c r="C1090" s="2">
        <v>0.1</v>
      </c>
      <c r="D1090" s="2"/>
      <c r="E1090" s="2" t="s">
        <v>85</v>
      </c>
      <c r="F1090" s="2" t="s">
        <v>84</v>
      </c>
      <c r="G1090" s="2" t="s">
        <v>111</v>
      </c>
      <c r="H1090" s="2">
        <v>0.3</v>
      </c>
      <c r="I1090" s="2">
        <v>3539</v>
      </c>
      <c r="J1090" s="2">
        <v>0.3</v>
      </c>
      <c r="K1090" s="2">
        <v>0</v>
      </c>
      <c r="L1090" s="2"/>
      <c r="M1090" s="2">
        <v>0</v>
      </c>
      <c r="N1090" s="2">
        <v>239.555555555555</v>
      </c>
      <c r="O1090" s="2">
        <v>7.20789176553681</v>
      </c>
      <c r="P1090" s="2">
        <v>0.38888888888888801</v>
      </c>
      <c r="Q1090" s="2">
        <v>0.34694433324435497</v>
      </c>
      <c r="R1090" s="2">
        <v>5.5555555555555497E-2</v>
      </c>
      <c r="S1090" s="2">
        <v>9.6225044864937603E-2</v>
      </c>
      <c r="T1090" s="2">
        <v>16.5555555555555</v>
      </c>
      <c r="U1090" s="2">
        <v>1.3574213025411599</v>
      </c>
      <c r="V1090" s="2">
        <v>0.11111111111111099</v>
      </c>
      <c r="W1090" s="2">
        <v>9.6225044864937603E-2</v>
      </c>
      <c r="X1090" s="2">
        <v>2.3333333333333299</v>
      </c>
      <c r="Y1090" s="2">
        <v>0.57735026918962395</v>
      </c>
      <c r="Z1090" s="7">
        <v>79.696885685241597</v>
      </c>
      <c r="AA1090" s="2">
        <v>2.3979678732032599</v>
      </c>
      <c r="AB1090" s="7">
        <v>0</v>
      </c>
      <c r="AC1090" s="2">
        <v>0</v>
      </c>
      <c r="AD1090" s="2">
        <v>294.32098765431999</v>
      </c>
      <c r="AE1090" s="2">
        <v>24.1319342673984</v>
      </c>
      <c r="AF1090" s="2">
        <v>66.6666666666666</v>
      </c>
      <c r="AG1090" s="2">
        <v>59.476171413317999</v>
      </c>
      <c r="AH1090" s="2">
        <v>3.5087719298245599</v>
      </c>
      <c r="AI1090" s="2">
        <v>6.0773712546276304</v>
      </c>
      <c r="AJ1090" s="2">
        <v>133.333333333333</v>
      </c>
      <c r="AK1090" s="2">
        <v>115.47005383792499</v>
      </c>
      <c r="AL1090" s="2">
        <v>400</v>
      </c>
      <c r="AM1090" s="2">
        <v>98.974331861078497</v>
      </c>
      <c r="AN1090"/>
      <c r="AO1090"/>
    </row>
    <row r="1091" spans="1:41" ht="15.75" hidden="1" customHeight="1" x14ac:dyDescent="0.45">
      <c r="A1091" s="2" t="s">
        <v>198</v>
      </c>
      <c r="B1091" s="2" t="s">
        <v>122</v>
      </c>
      <c r="C1091" s="2">
        <v>0.3</v>
      </c>
      <c r="D1091" s="2"/>
      <c r="E1091" s="2" t="s">
        <v>85</v>
      </c>
      <c r="F1091" s="2" t="s">
        <v>84</v>
      </c>
      <c r="G1091" s="2" t="s">
        <v>111</v>
      </c>
      <c r="H1091" s="2">
        <v>0.3</v>
      </c>
      <c r="I1091" s="2">
        <v>3539</v>
      </c>
      <c r="J1091" s="2">
        <v>0.3</v>
      </c>
      <c r="K1091" s="2">
        <v>0</v>
      </c>
      <c r="L1091" s="2"/>
      <c r="M1091" s="2">
        <v>0</v>
      </c>
      <c r="N1091" s="2">
        <v>173.5</v>
      </c>
      <c r="O1091" s="2">
        <v>10.4973541639998</v>
      </c>
      <c r="P1091" s="2">
        <v>0.16666666666666599</v>
      </c>
      <c r="Q1091" s="2">
        <v>2.6341780319308701E-9</v>
      </c>
      <c r="R1091" s="2">
        <v>0.38888888888888801</v>
      </c>
      <c r="S1091" s="2">
        <v>0.34694433324435497</v>
      </c>
      <c r="T1091" s="2">
        <v>18.5555555555555</v>
      </c>
      <c r="U1091" s="2">
        <v>2.76050183306775</v>
      </c>
      <c r="V1091" s="2">
        <v>0.16666666666666599</v>
      </c>
      <c r="W1091" s="2">
        <v>0.16666666666666599</v>
      </c>
      <c r="X1091" s="2">
        <v>2.2777777777777701</v>
      </c>
      <c r="Y1091" s="2">
        <v>0.63098981620002903</v>
      </c>
      <c r="Z1091" s="7">
        <v>57.721097865261903</v>
      </c>
      <c r="AA1091" s="2">
        <v>3.49232741802046</v>
      </c>
      <c r="AB1091" s="7">
        <v>0</v>
      </c>
      <c r="AC1091" s="2">
        <v>0</v>
      </c>
      <c r="AD1091" s="2">
        <v>329.87654320987599</v>
      </c>
      <c r="AE1091" s="2">
        <v>49.0755881434267</v>
      </c>
      <c r="AF1091" s="2">
        <v>28.571428571428498</v>
      </c>
      <c r="AG1091" s="2">
        <v>4.5157337690243603E-7</v>
      </c>
      <c r="AH1091" s="2">
        <v>24.5614035087719</v>
      </c>
      <c r="AI1091" s="2">
        <v>21.9122736785908</v>
      </c>
      <c r="AJ1091" s="2">
        <v>199.99999999999901</v>
      </c>
      <c r="AK1091" s="2">
        <v>200</v>
      </c>
      <c r="AL1091" s="2">
        <v>390.47619047619003</v>
      </c>
      <c r="AM1091" s="2">
        <v>108.169682777147</v>
      </c>
      <c r="AN1091"/>
      <c r="AO1091"/>
    </row>
    <row r="1092" spans="1:41" ht="15.75" hidden="1" customHeight="1" x14ac:dyDescent="0.45">
      <c r="A1092" s="2" t="s">
        <v>198</v>
      </c>
      <c r="B1092" s="2" t="s">
        <v>122</v>
      </c>
      <c r="C1092" s="2">
        <v>1</v>
      </c>
      <c r="D1092" s="2"/>
      <c r="E1092" s="2" t="s">
        <v>85</v>
      </c>
      <c r="F1092" s="2" t="s">
        <v>84</v>
      </c>
      <c r="G1092" s="2" t="s">
        <v>111</v>
      </c>
      <c r="H1092" s="2">
        <v>0.3</v>
      </c>
      <c r="I1092" s="2">
        <v>3539</v>
      </c>
      <c r="J1092" s="2">
        <v>0.3</v>
      </c>
      <c r="K1092" s="2">
        <v>0</v>
      </c>
      <c r="L1092" s="2"/>
      <c r="M1092" s="2">
        <v>0</v>
      </c>
      <c r="N1092" s="2">
        <v>34.8888888888888</v>
      </c>
      <c r="O1092" s="2">
        <v>3.9381796885438498</v>
      </c>
      <c r="P1092" s="2">
        <v>0</v>
      </c>
      <c r="Q1092" s="2">
        <v>0</v>
      </c>
      <c r="R1092" s="2">
        <v>0.38888888888888801</v>
      </c>
      <c r="S1092" s="2">
        <v>0.67357531405456295</v>
      </c>
      <c r="T1092" s="2">
        <v>84.6111111111111</v>
      </c>
      <c r="U1092" s="2">
        <v>2.9360467248275199</v>
      </c>
      <c r="V1092" s="2">
        <v>0</v>
      </c>
      <c r="W1092" s="2">
        <v>0</v>
      </c>
      <c r="X1092" s="2">
        <v>0.94444444444444398</v>
      </c>
      <c r="Y1092" s="2">
        <v>0.53575837561072004</v>
      </c>
      <c r="Z1092" s="7">
        <v>11.6070603456242</v>
      </c>
      <c r="AA1092" s="2">
        <v>1.3101789925845899</v>
      </c>
      <c r="AB1092" s="7">
        <v>0</v>
      </c>
      <c r="AC1092" s="2">
        <v>0</v>
      </c>
      <c r="AD1092" s="2">
        <v>1504.19753086419</v>
      </c>
      <c r="AE1092" s="2">
        <v>52.196386219155997</v>
      </c>
      <c r="AF1092" s="2">
        <v>0</v>
      </c>
      <c r="AG1092" s="2">
        <v>0</v>
      </c>
      <c r="AH1092" s="2">
        <v>24.5614035087719</v>
      </c>
      <c r="AI1092" s="2">
        <v>42.5415987823934</v>
      </c>
      <c r="AJ1092" s="2">
        <v>0</v>
      </c>
      <c r="AK1092" s="2">
        <v>0</v>
      </c>
      <c r="AL1092" s="2">
        <v>161.90476190476099</v>
      </c>
      <c r="AM1092" s="2">
        <v>91.844292961837695</v>
      </c>
      <c r="AN1092"/>
      <c r="AO1092"/>
    </row>
    <row r="1093" spans="1:41" ht="15.75" hidden="1" customHeight="1" x14ac:dyDescent="0.45">
      <c r="A1093" s="2" t="s">
        <v>198</v>
      </c>
      <c r="B1093" s="2" t="s">
        <v>122</v>
      </c>
      <c r="C1093" s="2">
        <v>3</v>
      </c>
      <c r="D1093" s="2"/>
      <c r="E1093" s="2" t="s">
        <v>85</v>
      </c>
      <c r="F1093" s="2" t="s">
        <v>84</v>
      </c>
      <c r="G1093" s="2" t="s">
        <v>111</v>
      </c>
      <c r="H1093" s="2">
        <v>0.3</v>
      </c>
      <c r="I1093" s="2">
        <v>3539</v>
      </c>
      <c r="J1093" s="2">
        <v>0.3</v>
      </c>
      <c r="K1093" s="2">
        <v>0</v>
      </c>
      <c r="L1093" s="2"/>
      <c r="M1093" s="2">
        <v>0</v>
      </c>
      <c r="N1093" s="2">
        <v>46.6111111111111</v>
      </c>
      <c r="O1093" s="2">
        <v>13.1923097688402</v>
      </c>
      <c r="P1093" s="2">
        <v>0.16666666666666599</v>
      </c>
      <c r="Q1093" s="2">
        <v>0.28867513459481198</v>
      </c>
      <c r="R1093" s="2">
        <v>4.6666666666666599</v>
      </c>
      <c r="S1093" s="2">
        <v>8.0829037686547593</v>
      </c>
      <c r="T1093" s="2">
        <v>82.7222222222222</v>
      </c>
      <c r="U1093" s="2">
        <v>1.6442942874389499</v>
      </c>
      <c r="V1093" s="2">
        <v>0</v>
      </c>
      <c r="W1093" s="2">
        <v>0</v>
      </c>
      <c r="X1093" s="2">
        <v>5.5555555555555497E-2</v>
      </c>
      <c r="Y1093" s="2">
        <v>9.6225044864937603E-2</v>
      </c>
      <c r="Z1093" s="7">
        <v>15.5068847611126</v>
      </c>
      <c r="AA1093" s="2">
        <v>4.3889026123116901</v>
      </c>
      <c r="AB1093" s="7">
        <v>0</v>
      </c>
      <c r="AC1093" s="2">
        <v>0</v>
      </c>
      <c r="AD1093" s="2">
        <v>1470.61728395061</v>
      </c>
      <c r="AE1093" s="2">
        <v>29.2318984433591</v>
      </c>
      <c r="AF1093" s="2">
        <v>28.571428571428498</v>
      </c>
      <c r="AG1093" s="2">
        <v>49.487165930539298</v>
      </c>
      <c r="AH1093" s="2">
        <v>294.73684210526301</v>
      </c>
      <c r="AI1093" s="2">
        <v>510.499185388721</v>
      </c>
      <c r="AJ1093" s="2">
        <v>0</v>
      </c>
      <c r="AK1093" s="2">
        <v>0</v>
      </c>
      <c r="AL1093" s="2">
        <v>9.5238095238095202</v>
      </c>
      <c r="AM1093" s="2">
        <v>16.495721976846401</v>
      </c>
      <c r="AN1093"/>
      <c r="AO1093"/>
    </row>
    <row r="1094" spans="1:41" ht="15.75" hidden="1" customHeight="1" x14ac:dyDescent="0.45">
      <c r="A1094" s="2" t="s">
        <v>198</v>
      </c>
      <c r="B1094" s="2" t="s">
        <v>122</v>
      </c>
      <c r="C1094" s="2">
        <v>10</v>
      </c>
      <c r="D1094" s="2"/>
      <c r="E1094" s="2" t="s">
        <v>85</v>
      </c>
      <c r="F1094" s="2" t="s">
        <v>84</v>
      </c>
      <c r="G1094" s="2" t="s">
        <v>111</v>
      </c>
      <c r="H1094" s="2">
        <v>0.3</v>
      </c>
      <c r="I1094" s="2">
        <v>3539</v>
      </c>
      <c r="J1094" s="2">
        <v>0.3</v>
      </c>
      <c r="K1094" s="2">
        <v>0</v>
      </c>
      <c r="L1094" s="2"/>
      <c r="M1094" s="2">
        <v>0</v>
      </c>
      <c r="N1094" s="2">
        <v>61.6111111111111</v>
      </c>
      <c r="O1094" s="2">
        <v>7.9308352743041404</v>
      </c>
      <c r="P1094" s="2">
        <v>0</v>
      </c>
      <c r="Q1094" s="2">
        <v>0</v>
      </c>
      <c r="R1094" s="2">
        <v>0.27777777777777701</v>
      </c>
      <c r="S1094" s="2">
        <v>0.25458753860865702</v>
      </c>
      <c r="T1094" s="2">
        <v>89.3888888888889</v>
      </c>
      <c r="U1094" s="2">
        <v>0.50917507721539701</v>
      </c>
      <c r="V1094" s="2">
        <v>0</v>
      </c>
      <c r="W1094" s="2">
        <v>0</v>
      </c>
      <c r="X1094" s="2">
        <v>0</v>
      </c>
      <c r="Y1094" s="2">
        <v>0</v>
      </c>
      <c r="Z1094" s="7">
        <v>20.497181406524302</v>
      </c>
      <c r="AA1094" s="2">
        <v>2.6384813776448399</v>
      </c>
      <c r="AB1094" s="7">
        <v>0</v>
      </c>
      <c r="AC1094" s="2">
        <v>0</v>
      </c>
      <c r="AD1094" s="2">
        <v>1589.1358024691301</v>
      </c>
      <c r="AE1094" s="2">
        <v>9.0520013727181592</v>
      </c>
      <c r="AF1094" s="2">
        <v>0</v>
      </c>
      <c r="AG1094" s="2">
        <v>0</v>
      </c>
      <c r="AH1094" s="2">
        <v>17.543859649122801</v>
      </c>
      <c r="AI1094" s="2">
        <v>16.0792129647573</v>
      </c>
      <c r="AJ1094" s="2">
        <v>0</v>
      </c>
      <c r="AK1094" s="2">
        <v>0</v>
      </c>
      <c r="AL1094" s="2">
        <v>0</v>
      </c>
      <c r="AM1094" s="2">
        <v>0</v>
      </c>
      <c r="AN1094"/>
      <c r="AO1094"/>
    </row>
    <row r="1095" spans="1:41" ht="15.75" hidden="1" customHeight="1" x14ac:dyDescent="0.45">
      <c r="A1095" s="2" t="s">
        <v>198</v>
      </c>
      <c r="B1095" s="2" t="s">
        <v>122</v>
      </c>
      <c r="C1095" s="2">
        <v>3.0000000000000001E-3</v>
      </c>
      <c r="D1095" s="2"/>
      <c r="E1095" s="2" t="s">
        <v>85</v>
      </c>
      <c r="F1095" s="2" t="s">
        <v>84</v>
      </c>
      <c r="G1095" s="2" t="s">
        <v>86</v>
      </c>
      <c r="H1095" s="2">
        <v>0.7</v>
      </c>
      <c r="I1095" s="2">
        <v>3539</v>
      </c>
      <c r="J1095" s="2">
        <v>0.7</v>
      </c>
      <c r="K1095" s="2">
        <v>5.1666666666666599</v>
      </c>
      <c r="L1095" s="2"/>
      <c r="M1095" s="2">
        <v>1.49999999999999</v>
      </c>
      <c r="N1095" s="2">
        <v>261.388888888888</v>
      </c>
      <c r="O1095" s="2">
        <v>64.252611994751902</v>
      </c>
      <c r="P1095" s="2">
        <v>0.77777777777777701</v>
      </c>
      <c r="Q1095" s="2">
        <v>0.41943524640392998</v>
      </c>
      <c r="R1095" s="2">
        <v>0.22222222222222199</v>
      </c>
      <c r="S1095" s="2">
        <v>0.25458753860865702</v>
      </c>
      <c r="T1095" s="2">
        <v>2.38888888888888</v>
      </c>
      <c r="U1095" s="2">
        <v>1.4174834246858901</v>
      </c>
      <c r="V1095" s="2">
        <v>0</v>
      </c>
      <c r="W1095" s="2">
        <v>0</v>
      </c>
      <c r="X1095" s="2">
        <v>0.61111111111111105</v>
      </c>
      <c r="Y1095" s="2">
        <v>0.19245008972987501</v>
      </c>
      <c r="Z1095" s="7">
        <v>69.518321513002306</v>
      </c>
      <c r="AA1095" s="2">
        <v>17.088460636902099</v>
      </c>
      <c r="AB1095" s="7">
        <v>56.363636363636303</v>
      </c>
      <c r="AC1095" s="2">
        <v>16.363636363636299</v>
      </c>
      <c r="AD1095" s="2">
        <v>61.648745519713202</v>
      </c>
      <c r="AE1095" s="2">
        <v>36.580217411248903</v>
      </c>
      <c r="AF1095" s="2">
        <v>155.555555555555</v>
      </c>
      <c r="AG1095" s="2">
        <v>83.887049280786101</v>
      </c>
      <c r="AH1095" s="2">
        <v>21.3333333333333</v>
      </c>
      <c r="AI1095" s="2">
        <v>24.440403706431098</v>
      </c>
      <c r="AJ1095"/>
      <c r="AK1095"/>
      <c r="AL1095" s="2">
        <v>112.82051282051199</v>
      </c>
      <c r="AM1095" s="2">
        <v>35.529247334746202</v>
      </c>
      <c r="AN1095"/>
      <c r="AO1095"/>
    </row>
    <row r="1096" spans="1:41" ht="15.75" hidden="1" customHeight="1" x14ac:dyDescent="0.45">
      <c r="A1096" s="2" t="s">
        <v>198</v>
      </c>
      <c r="B1096" s="2" t="s">
        <v>122</v>
      </c>
      <c r="C1096" s="2">
        <v>0.01</v>
      </c>
      <c r="D1096" s="2"/>
      <c r="E1096" s="2" t="s">
        <v>85</v>
      </c>
      <c r="F1096" s="2" t="s">
        <v>84</v>
      </c>
      <c r="G1096" s="2" t="s">
        <v>86</v>
      </c>
      <c r="H1096" s="2">
        <v>0.7</v>
      </c>
      <c r="I1096" s="2">
        <v>3539</v>
      </c>
      <c r="J1096" s="2">
        <v>0.7</v>
      </c>
      <c r="K1096" s="2">
        <v>0.66666666666666596</v>
      </c>
      <c r="L1096" s="2"/>
      <c r="M1096" s="2">
        <v>0.44095855184409799</v>
      </c>
      <c r="N1096" s="2">
        <v>295.27777777777698</v>
      </c>
      <c r="O1096" s="2">
        <v>60.931731683302203</v>
      </c>
      <c r="P1096" s="2">
        <v>0.44444444444444398</v>
      </c>
      <c r="Q1096" s="2">
        <v>0.34694433324435497</v>
      </c>
      <c r="R1096" s="2">
        <v>0</v>
      </c>
      <c r="S1096" s="2">
        <v>0</v>
      </c>
      <c r="T1096" s="2">
        <v>8.1111111111111107</v>
      </c>
      <c r="U1096" s="2">
        <v>1.1097213530798899</v>
      </c>
      <c r="V1096" s="2">
        <v>0</v>
      </c>
      <c r="W1096" s="2">
        <v>0</v>
      </c>
      <c r="X1096" s="2">
        <v>1</v>
      </c>
      <c r="Y1096" s="2">
        <v>0.44095855184409799</v>
      </c>
      <c r="Z1096" s="7">
        <v>78.531323877068502</v>
      </c>
      <c r="AA1096" s="2">
        <v>16.205247788112299</v>
      </c>
      <c r="AB1096" s="7">
        <v>7.2727272727272698</v>
      </c>
      <c r="AC1096" s="2">
        <v>4.8104569292083399</v>
      </c>
      <c r="AD1096" s="2">
        <v>209.31899641576999</v>
      </c>
      <c r="AE1096" s="2">
        <v>28.637970402061701</v>
      </c>
      <c r="AF1096" s="2">
        <v>88.8888888888888</v>
      </c>
      <c r="AG1096" s="2">
        <v>69.388866648871101</v>
      </c>
      <c r="AH1096" s="2">
        <v>0</v>
      </c>
      <c r="AI1096" s="2">
        <v>0</v>
      </c>
      <c r="AJ1096"/>
      <c r="AK1096"/>
      <c r="AL1096" s="2">
        <v>184.61538461538399</v>
      </c>
      <c r="AM1096" s="2">
        <v>81.407732648141206</v>
      </c>
      <c r="AN1096"/>
      <c r="AO1096"/>
    </row>
    <row r="1097" spans="1:41" ht="15.75" hidden="1" customHeight="1" x14ac:dyDescent="0.45">
      <c r="A1097" s="2" t="s">
        <v>198</v>
      </c>
      <c r="B1097" s="2" t="s">
        <v>122</v>
      </c>
      <c r="C1097" s="2">
        <v>0.03</v>
      </c>
      <c r="D1097" s="2"/>
      <c r="E1097" s="2" t="s">
        <v>85</v>
      </c>
      <c r="F1097" s="2" t="s">
        <v>84</v>
      </c>
      <c r="G1097" s="2" t="s">
        <v>86</v>
      </c>
      <c r="H1097" s="2">
        <v>0.7</v>
      </c>
      <c r="I1097" s="2">
        <v>3539</v>
      </c>
      <c r="J1097" s="2">
        <v>0.7</v>
      </c>
      <c r="K1097" s="2">
        <v>0.33333333333333298</v>
      </c>
      <c r="L1097" s="2"/>
      <c r="M1097" s="2">
        <v>0.16666666666666599</v>
      </c>
      <c r="N1097" s="2">
        <v>347.55555555555497</v>
      </c>
      <c r="O1097" s="2">
        <v>44.264461959822597</v>
      </c>
      <c r="P1097" s="2">
        <v>0.27777777777777701</v>
      </c>
      <c r="Q1097" s="2">
        <v>0.25458753860865702</v>
      </c>
      <c r="R1097" s="2">
        <v>0.16666666666666599</v>
      </c>
      <c r="S1097" s="2">
        <v>0.16666666666666599</v>
      </c>
      <c r="T1097" s="2">
        <v>11.3333333333333</v>
      </c>
      <c r="U1097" s="2">
        <v>0.57735026918968302</v>
      </c>
      <c r="V1097" s="2">
        <v>5.5555555555555497E-2</v>
      </c>
      <c r="W1097" s="2">
        <v>9.6225044864937603E-2</v>
      </c>
      <c r="X1097" s="2">
        <v>1.2222222222222201</v>
      </c>
      <c r="Y1097" s="2">
        <v>9.6225044864938894E-2</v>
      </c>
      <c r="Z1097" s="7">
        <v>92.434988179669006</v>
      </c>
      <c r="AA1097" s="2">
        <v>11.772463287186801</v>
      </c>
      <c r="AB1097" s="7">
        <v>3.63636363636363</v>
      </c>
      <c r="AC1097" s="2">
        <v>1.8181818181818199</v>
      </c>
      <c r="AD1097" s="2">
        <v>292.47311827956901</v>
      </c>
      <c r="AE1097" s="2">
        <v>14.899361785540201</v>
      </c>
      <c r="AF1097" s="2">
        <v>55.5555555555555</v>
      </c>
      <c r="AG1097" s="2">
        <v>50.917507721731504</v>
      </c>
      <c r="AH1097" s="2">
        <v>15.999999999999901</v>
      </c>
      <c r="AI1097" s="2">
        <v>15.999999999999901</v>
      </c>
      <c r="AJ1097"/>
      <c r="AK1097"/>
      <c r="AL1097" s="2">
        <v>225.64102564102501</v>
      </c>
      <c r="AM1097" s="2">
        <v>17.7646236673733</v>
      </c>
      <c r="AN1097"/>
      <c r="AO1097"/>
    </row>
    <row r="1098" spans="1:41" ht="15.75" hidden="1" customHeight="1" x14ac:dyDescent="0.45">
      <c r="A1098" s="2" t="s">
        <v>198</v>
      </c>
      <c r="B1098" s="2" t="s">
        <v>122</v>
      </c>
      <c r="C1098" s="2">
        <v>0.1</v>
      </c>
      <c r="D1098" s="2"/>
      <c r="E1098" s="2" t="s">
        <v>85</v>
      </c>
      <c r="F1098" s="2" t="s">
        <v>84</v>
      </c>
      <c r="G1098" s="2" t="s">
        <v>86</v>
      </c>
      <c r="H1098" s="2">
        <v>0.7</v>
      </c>
      <c r="I1098" s="2">
        <v>3539</v>
      </c>
      <c r="J1098" s="2">
        <v>0.7</v>
      </c>
      <c r="K1098" s="2">
        <v>0</v>
      </c>
      <c r="L1098" s="2"/>
      <c r="M1098" s="2">
        <v>0</v>
      </c>
      <c r="N1098" s="2">
        <v>297.888888888888</v>
      </c>
      <c r="O1098" s="2">
        <v>15.5584322736837</v>
      </c>
      <c r="P1098" s="2">
        <v>0.44444444444444398</v>
      </c>
      <c r="Q1098" s="2">
        <v>0.19245008972987501</v>
      </c>
      <c r="R1098" s="2">
        <v>1.1111111111111101</v>
      </c>
      <c r="S1098" s="2">
        <v>0.75154162547048198</v>
      </c>
      <c r="T1098" s="2">
        <v>9.7777777777777697</v>
      </c>
      <c r="U1098" s="2">
        <v>1.7821127702606101</v>
      </c>
      <c r="V1098" s="2">
        <v>0</v>
      </c>
      <c r="W1098" s="2">
        <v>0</v>
      </c>
      <c r="X1098" s="2">
        <v>1.1111111111111101</v>
      </c>
      <c r="Y1098" s="2">
        <v>0.38490017945975002</v>
      </c>
      <c r="Z1098" s="7">
        <v>79.225768321513002</v>
      </c>
      <c r="AA1098" s="2">
        <v>4.13788092385205</v>
      </c>
      <c r="AB1098" s="7">
        <v>0</v>
      </c>
      <c r="AC1098" s="2">
        <v>0</v>
      </c>
      <c r="AD1098" s="2">
        <v>252.32974910394199</v>
      </c>
      <c r="AE1098" s="2">
        <v>45.990006974467398</v>
      </c>
      <c r="AF1098" s="2">
        <v>88.8888888888889</v>
      </c>
      <c r="AG1098" s="2">
        <v>38.490017945974998</v>
      </c>
      <c r="AH1098" s="2">
        <v>106.666666666666</v>
      </c>
      <c r="AI1098" s="2">
        <v>72.147996045166195</v>
      </c>
      <c r="AJ1098"/>
      <c r="AK1098"/>
      <c r="AL1098" s="2">
        <v>205.128205128205</v>
      </c>
      <c r="AM1098" s="2">
        <v>71.058494669492404</v>
      </c>
      <c r="AN1098"/>
      <c r="AO1098"/>
    </row>
    <row r="1099" spans="1:41" ht="15.75" hidden="1" customHeight="1" x14ac:dyDescent="0.45">
      <c r="A1099" s="2" t="s">
        <v>198</v>
      </c>
      <c r="B1099" s="2" t="s">
        <v>122</v>
      </c>
      <c r="C1099" s="2">
        <v>0.3</v>
      </c>
      <c r="D1099" s="2"/>
      <c r="E1099" s="2" t="s">
        <v>85</v>
      </c>
      <c r="F1099" s="2" t="s">
        <v>84</v>
      </c>
      <c r="G1099" s="2" t="s">
        <v>86</v>
      </c>
      <c r="H1099" s="2">
        <v>0.7</v>
      </c>
      <c r="I1099" s="2">
        <v>3539</v>
      </c>
      <c r="J1099" s="2">
        <v>0.7</v>
      </c>
      <c r="K1099" s="2">
        <v>0</v>
      </c>
      <c r="L1099" s="2"/>
      <c r="M1099" s="2">
        <v>0</v>
      </c>
      <c r="N1099" s="2">
        <v>226.444444444444</v>
      </c>
      <c r="O1099" s="2">
        <v>23.368029758942001</v>
      </c>
      <c r="P1099" s="2">
        <v>0.33333333333333298</v>
      </c>
      <c r="Q1099" s="2">
        <v>5.2683560638617502E-9</v>
      </c>
      <c r="R1099" s="2">
        <v>0.72222222222222199</v>
      </c>
      <c r="S1099" s="2">
        <v>0.97657754618038595</v>
      </c>
      <c r="T1099" s="2">
        <v>12.8888888888888</v>
      </c>
      <c r="U1099" s="2">
        <v>0.41943524640389401</v>
      </c>
      <c r="V1099" s="2">
        <v>0</v>
      </c>
      <c r="W1099" s="2">
        <v>0</v>
      </c>
      <c r="X1099" s="2">
        <v>1.2777777777777699</v>
      </c>
      <c r="Y1099" s="2">
        <v>0.34694433324435497</v>
      </c>
      <c r="Z1099" s="7">
        <v>60.224586288415999</v>
      </c>
      <c r="AA1099" s="2">
        <v>6.2149015316335303</v>
      </c>
      <c r="AB1099" s="7">
        <v>0</v>
      </c>
      <c r="AC1099" s="2">
        <v>0</v>
      </c>
      <c r="AD1099" s="2">
        <v>332.61648745519699</v>
      </c>
      <c r="AE1099" s="2">
        <v>10.8241353910682</v>
      </c>
      <c r="AF1099" s="2">
        <v>66.6666666666666</v>
      </c>
      <c r="AG1099" s="2">
        <v>1.05367121277235E-6</v>
      </c>
      <c r="AH1099" s="2">
        <v>69.3333333333333</v>
      </c>
      <c r="AI1099" s="2">
        <v>93.751444433317005</v>
      </c>
      <c r="AJ1099"/>
      <c r="AK1099"/>
      <c r="AL1099" s="2">
        <v>235.897435897435</v>
      </c>
      <c r="AM1099" s="2">
        <v>64.051261522034807</v>
      </c>
      <c r="AN1099"/>
      <c r="AO1099"/>
    </row>
    <row r="1100" spans="1:41" ht="15.75" hidden="1" customHeight="1" x14ac:dyDescent="0.45">
      <c r="A1100" s="2" t="s">
        <v>198</v>
      </c>
      <c r="B1100" s="2" t="s">
        <v>122</v>
      </c>
      <c r="C1100" s="2">
        <v>1</v>
      </c>
      <c r="D1100" s="2"/>
      <c r="E1100" s="2" t="s">
        <v>85</v>
      </c>
      <c r="F1100" s="2" t="s">
        <v>84</v>
      </c>
      <c r="G1100" s="2" t="s">
        <v>86</v>
      </c>
      <c r="H1100" s="2">
        <v>0.7</v>
      </c>
      <c r="I1100" s="2">
        <v>3539</v>
      </c>
      <c r="J1100" s="2">
        <v>0.7</v>
      </c>
      <c r="K1100" s="2">
        <v>0</v>
      </c>
      <c r="L1100" s="2"/>
      <c r="M1100" s="2">
        <v>0</v>
      </c>
      <c r="N1100" s="2">
        <v>254.166666666666</v>
      </c>
      <c r="O1100" s="2">
        <v>13.1993265821487</v>
      </c>
      <c r="P1100" s="2">
        <v>0.16666666666666599</v>
      </c>
      <c r="Q1100" s="2">
        <v>0</v>
      </c>
      <c r="R1100" s="2">
        <v>1.5</v>
      </c>
      <c r="S1100" s="2">
        <v>1.8856180831641201</v>
      </c>
      <c r="T1100" s="2">
        <v>20.3333333333333</v>
      </c>
      <c r="U1100" s="2">
        <v>0.94280904158201595</v>
      </c>
      <c r="V1100" s="2">
        <v>8.3333333333333301E-2</v>
      </c>
      <c r="W1100" s="2">
        <v>0.117851130197757</v>
      </c>
      <c r="X1100" s="2">
        <v>1.75</v>
      </c>
      <c r="Y1100" s="2">
        <v>0.35355339059327301</v>
      </c>
      <c r="Z1100" s="7">
        <v>67.597517730496406</v>
      </c>
      <c r="AA1100" s="2">
        <v>3.5104591973799901</v>
      </c>
      <c r="AB1100" s="7">
        <v>0</v>
      </c>
      <c r="AC1100" s="2">
        <v>0</v>
      </c>
      <c r="AD1100" s="2">
        <v>524.73118279569803</v>
      </c>
      <c r="AE1100" s="2">
        <v>24.330555911793901</v>
      </c>
      <c r="AF1100" s="2">
        <v>33.3333333333333</v>
      </c>
      <c r="AG1100" s="2">
        <v>0</v>
      </c>
      <c r="AH1100" s="2">
        <v>143.99999999999901</v>
      </c>
      <c r="AI1100" s="2">
        <v>181.01933598375601</v>
      </c>
      <c r="AJ1100"/>
      <c r="AK1100"/>
      <c r="AL1100" s="2">
        <v>323.07692307692298</v>
      </c>
      <c r="AM1100" s="2">
        <v>65.271395186450505</v>
      </c>
      <c r="AN1100"/>
      <c r="AO1100"/>
    </row>
    <row r="1101" spans="1:41" ht="15.75" hidden="1" customHeight="1" x14ac:dyDescent="0.45">
      <c r="A1101" s="2" t="s">
        <v>198</v>
      </c>
      <c r="B1101" s="2" t="s">
        <v>122</v>
      </c>
      <c r="C1101" s="2">
        <v>3</v>
      </c>
      <c r="D1101" s="2"/>
      <c r="E1101" s="2" t="s">
        <v>85</v>
      </c>
      <c r="F1101" s="2" t="s">
        <v>84</v>
      </c>
      <c r="G1101" s="2" t="s">
        <v>86</v>
      </c>
      <c r="H1101" s="2">
        <v>0.7</v>
      </c>
      <c r="I1101" s="2">
        <v>3539</v>
      </c>
      <c r="J1101" s="2">
        <v>0.7</v>
      </c>
      <c r="K1101" s="2">
        <v>0</v>
      </c>
      <c r="L1101" s="2"/>
      <c r="M1101" s="2">
        <v>0</v>
      </c>
      <c r="N1101" s="2">
        <v>44.2222222222222</v>
      </c>
      <c r="O1101" s="2">
        <v>22.288719950617001</v>
      </c>
      <c r="P1101" s="2">
        <v>0</v>
      </c>
      <c r="Q1101" s="2">
        <v>0</v>
      </c>
      <c r="R1101" s="2">
        <v>0.44444444444444398</v>
      </c>
      <c r="S1101" s="2">
        <v>0.76980035891950105</v>
      </c>
      <c r="T1101" s="2">
        <v>90.3333333333333</v>
      </c>
      <c r="U1101" s="2">
        <v>3.0138568866712498</v>
      </c>
      <c r="V1101" s="2">
        <v>0.16666666666666599</v>
      </c>
      <c r="W1101" s="2">
        <v>0.16666666666666599</v>
      </c>
      <c r="X1101" s="2">
        <v>1.6666666666666601</v>
      </c>
      <c r="Y1101" s="2">
        <v>1.1666666666666601</v>
      </c>
      <c r="Z1101" s="7">
        <v>11.761229314420801</v>
      </c>
      <c r="AA1101" s="2">
        <v>5.92785105069603</v>
      </c>
      <c r="AB1101" s="7">
        <v>0</v>
      </c>
      <c r="AC1101" s="2">
        <v>0</v>
      </c>
      <c r="AD1101" s="2">
        <v>2331.18279569892</v>
      </c>
      <c r="AE1101" s="2">
        <v>77.776951914096898</v>
      </c>
      <c r="AF1101" s="2">
        <v>0</v>
      </c>
      <c r="AG1101" s="2">
        <v>0</v>
      </c>
      <c r="AH1101" s="2">
        <v>42.6666666666666</v>
      </c>
      <c r="AI1101" s="2">
        <v>73.900834456272094</v>
      </c>
      <c r="AJ1101"/>
      <c r="AK1101"/>
      <c r="AL1101" s="2">
        <v>307.692307692307</v>
      </c>
      <c r="AM1101" s="2">
        <v>215.38461538461499</v>
      </c>
      <c r="AN1101"/>
      <c r="AO1101"/>
    </row>
    <row r="1102" spans="1:41" ht="15.75" hidden="1" customHeight="1" x14ac:dyDescent="0.45">
      <c r="A1102" s="2" t="s">
        <v>198</v>
      </c>
      <c r="B1102" s="2" t="s">
        <v>122</v>
      </c>
      <c r="C1102" s="2">
        <v>10</v>
      </c>
      <c r="D1102" s="2"/>
      <c r="E1102" s="2" t="s">
        <v>85</v>
      </c>
      <c r="F1102" s="2" t="s">
        <v>84</v>
      </c>
      <c r="G1102" s="2" t="s">
        <v>86</v>
      </c>
      <c r="H1102" s="2">
        <v>0.7</v>
      </c>
      <c r="I1102" s="2">
        <v>3539</v>
      </c>
      <c r="J1102" s="2">
        <v>0.7</v>
      </c>
      <c r="K1102" s="2">
        <v>0</v>
      </c>
      <c r="L1102" s="2"/>
      <c r="M1102" s="2">
        <v>0</v>
      </c>
      <c r="N1102" s="2">
        <v>73.8888888888888</v>
      </c>
      <c r="O1102" s="2">
        <v>19.690193084469801</v>
      </c>
      <c r="P1102" s="2">
        <v>5.5555555555555497E-2</v>
      </c>
      <c r="Q1102" s="2">
        <v>9.6225044864937603E-2</v>
      </c>
      <c r="R1102" s="2">
        <v>0.66666666666666596</v>
      </c>
      <c r="S1102" s="2">
        <v>0.57735026918962595</v>
      </c>
      <c r="T1102" s="2">
        <v>89.411111111111097</v>
      </c>
      <c r="U1102" s="2">
        <v>1.26768964539211</v>
      </c>
      <c r="V1102" s="2">
        <v>0.11111111111111099</v>
      </c>
      <c r="W1102" s="2">
        <v>0.19245008972987501</v>
      </c>
      <c r="X1102" s="2">
        <v>0.38888888888888801</v>
      </c>
      <c r="Y1102" s="2">
        <v>0.34694433324435497</v>
      </c>
      <c r="Z1102" s="7">
        <v>19.651300236406598</v>
      </c>
      <c r="AA1102" s="2">
        <v>5.2367534799121804</v>
      </c>
      <c r="AB1102" s="7">
        <v>0</v>
      </c>
      <c r="AC1102" s="2">
        <v>0</v>
      </c>
      <c r="AD1102" s="2">
        <v>2307.3835125447999</v>
      </c>
      <c r="AE1102" s="2">
        <v>32.71457149399</v>
      </c>
      <c r="AF1102" s="2">
        <v>11.1111111111111</v>
      </c>
      <c r="AG1102" s="2">
        <v>19.245008972987499</v>
      </c>
      <c r="AH1102" s="2">
        <v>63.999999999999901</v>
      </c>
      <c r="AI1102" s="2">
        <v>55.425625842203999</v>
      </c>
      <c r="AJ1102"/>
      <c r="AK1102"/>
      <c r="AL1102" s="2">
        <v>71.794871794871796</v>
      </c>
      <c r="AM1102" s="2">
        <v>64.051261522034807</v>
      </c>
      <c r="AN1102"/>
      <c r="AO1102"/>
    </row>
    <row r="1103" spans="1:41" ht="15.75" hidden="1" customHeight="1" x14ac:dyDescent="0.45">
      <c r="A1103" s="2" t="s">
        <v>198</v>
      </c>
      <c r="B1103" s="2" t="s">
        <v>122</v>
      </c>
      <c r="C1103" s="2">
        <v>3.0000000000000001E-3</v>
      </c>
      <c r="D1103" s="2"/>
      <c r="E1103" s="2" t="s">
        <v>85</v>
      </c>
      <c r="F1103" s="2" t="s">
        <v>84</v>
      </c>
      <c r="G1103" s="2" t="s">
        <v>111</v>
      </c>
      <c r="H1103" s="2">
        <v>4.0999999999999996</v>
      </c>
      <c r="I1103" s="2">
        <v>3539</v>
      </c>
      <c r="J1103" s="2">
        <v>4.0999999999999996</v>
      </c>
      <c r="K1103" s="2">
        <v>0.22222222222222199</v>
      </c>
      <c r="L1103" s="2"/>
      <c r="M1103" s="2">
        <v>0.19245008972987501</v>
      </c>
      <c r="N1103" s="2">
        <v>233.666666666666</v>
      </c>
      <c r="O1103" s="2">
        <v>11.0151410945726</v>
      </c>
      <c r="P1103" s="2">
        <v>0.55555555555555503</v>
      </c>
      <c r="Q1103" s="2">
        <v>0.25458753860865702</v>
      </c>
      <c r="R1103" s="2">
        <v>0</v>
      </c>
      <c r="S1103" s="2">
        <v>0</v>
      </c>
      <c r="T1103" s="2">
        <v>9.6111111111111107</v>
      </c>
      <c r="U1103" s="2">
        <v>0.82214714371935604</v>
      </c>
      <c r="V1103" s="2">
        <v>0</v>
      </c>
      <c r="W1103" s="2">
        <v>0</v>
      </c>
      <c r="X1103" s="2">
        <v>0.77777777777777701</v>
      </c>
      <c r="Y1103" s="2">
        <v>0.38490017945975002</v>
      </c>
      <c r="Z1103" s="7">
        <v>89.886199711492196</v>
      </c>
      <c r="AA1103" s="2">
        <v>4.2372717786463099</v>
      </c>
      <c r="AB1103" s="7">
        <v>5.07936507936508</v>
      </c>
      <c r="AC1103" s="2">
        <v>4.3988591938257198</v>
      </c>
      <c r="AD1103" s="2">
        <v>262.12121212121201</v>
      </c>
      <c r="AE1103" s="2">
        <v>22.422194828709699</v>
      </c>
      <c r="AF1103" s="2">
        <v>63.492063492063401</v>
      </c>
      <c r="AG1103" s="2">
        <v>29.095718698132298</v>
      </c>
      <c r="AH1103" s="2">
        <v>0</v>
      </c>
      <c r="AI1103" s="2">
        <v>0</v>
      </c>
      <c r="AJ1103" s="2">
        <v>0</v>
      </c>
      <c r="AK1103" s="2">
        <v>0</v>
      </c>
      <c r="AL1103" s="2">
        <v>207.40740740740699</v>
      </c>
      <c r="AM1103" s="2">
        <v>102.64004785593301</v>
      </c>
      <c r="AN1103"/>
      <c r="AO1103"/>
    </row>
    <row r="1104" spans="1:41" ht="15.75" hidden="1" customHeight="1" x14ac:dyDescent="0.45">
      <c r="A1104" s="2" t="s">
        <v>198</v>
      </c>
      <c r="B1104" s="2" t="s">
        <v>122</v>
      </c>
      <c r="C1104" s="2">
        <v>0.01</v>
      </c>
      <c r="D1104" s="2"/>
      <c r="E1104" s="2" t="s">
        <v>85</v>
      </c>
      <c r="F1104" s="2" t="s">
        <v>84</v>
      </c>
      <c r="G1104" s="2" t="s">
        <v>111</v>
      </c>
      <c r="H1104" s="2">
        <v>4.0999999999999996</v>
      </c>
      <c r="I1104" s="2">
        <v>3539</v>
      </c>
      <c r="J1104" s="2">
        <v>4.0999999999999996</v>
      </c>
      <c r="K1104" s="2">
        <v>0</v>
      </c>
      <c r="L1104" s="2"/>
      <c r="M1104" s="2">
        <v>0</v>
      </c>
      <c r="N1104" s="2">
        <v>200.166666666666</v>
      </c>
      <c r="O1104" s="2">
        <v>21.3333333333334</v>
      </c>
      <c r="P1104" s="2">
        <v>0.72222222222222199</v>
      </c>
      <c r="Q1104" s="2">
        <v>0.41943524640392998</v>
      </c>
      <c r="R1104" s="2">
        <v>0</v>
      </c>
      <c r="S1104" s="2">
        <v>0</v>
      </c>
      <c r="T1104" s="2">
        <v>8.2222222222222197</v>
      </c>
      <c r="U1104" s="2">
        <v>1.6694421334796401</v>
      </c>
      <c r="V1104" s="2">
        <v>0</v>
      </c>
      <c r="W1104" s="2">
        <v>0</v>
      </c>
      <c r="X1104" s="2">
        <v>0.83333333333333304</v>
      </c>
      <c r="Y1104" s="2">
        <v>0.33333333333333298</v>
      </c>
      <c r="Z1104" s="7">
        <v>76.999519153710494</v>
      </c>
      <c r="AA1104" s="2">
        <v>8.2064433402789394</v>
      </c>
      <c r="AB1104" s="7">
        <v>0</v>
      </c>
      <c r="AC1104" s="2">
        <v>0</v>
      </c>
      <c r="AD1104" s="2">
        <v>224.24242424242399</v>
      </c>
      <c r="AE1104" s="2">
        <v>45.530240003990102</v>
      </c>
      <c r="AF1104" s="2">
        <v>82.539682539682502</v>
      </c>
      <c r="AG1104" s="2">
        <v>47.9354567318777</v>
      </c>
      <c r="AH1104" s="2">
        <v>0</v>
      </c>
      <c r="AI1104" s="2">
        <v>0</v>
      </c>
      <c r="AJ1104" s="2">
        <v>0</v>
      </c>
      <c r="AK1104" s="2">
        <v>0</v>
      </c>
      <c r="AL1104" s="2">
        <v>222.222222222222</v>
      </c>
      <c r="AM1104" s="2">
        <v>88.8888888888889</v>
      </c>
      <c r="AN1104"/>
      <c r="AO1104"/>
    </row>
    <row r="1105" spans="1:41" ht="15.75" hidden="1" customHeight="1" x14ac:dyDescent="0.45">
      <c r="A1105" s="2" t="s">
        <v>198</v>
      </c>
      <c r="B1105" s="2" t="s">
        <v>122</v>
      </c>
      <c r="C1105" s="2">
        <v>0.03</v>
      </c>
      <c r="D1105" s="2"/>
      <c r="E1105" s="2" t="s">
        <v>85</v>
      </c>
      <c r="F1105" s="2" t="s">
        <v>84</v>
      </c>
      <c r="G1105" s="2" t="s">
        <v>111</v>
      </c>
      <c r="H1105" s="2">
        <v>4.0999999999999996</v>
      </c>
      <c r="I1105" s="2">
        <v>3539</v>
      </c>
      <c r="J1105" s="2">
        <v>4.0999999999999996</v>
      </c>
      <c r="K1105" s="2">
        <v>5.5555555555555497E-2</v>
      </c>
      <c r="L1105" s="2"/>
      <c r="M1105" s="2">
        <v>9.6225044864937603E-2</v>
      </c>
      <c r="N1105" s="2">
        <v>210</v>
      </c>
      <c r="O1105" s="2">
        <v>6.49572508996898</v>
      </c>
      <c r="P1105" s="2">
        <v>0.16666666666666599</v>
      </c>
      <c r="Q1105" s="2">
        <v>0.16666666666666599</v>
      </c>
      <c r="R1105" s="2">
        <v>0.11111111111111099</v>
      </c>
      <c r="S1105" s="2">
        <v>9.6225044864937603E-2</v>
      </c>
      <c r="T1105" s="2">
        <v>8.3333333333333304</v>
      </c>
      <c r="U1105" s="2">
        <v>0.76376261582595995</v>
      </c>
      <c r="V1105" s="2">
        <v>5.5555555555555497E-2</v>
      </c>
      <c r="W1105" s="2">
        <v>9.6225044864937603E-2</v>
      </c>
      <c r="X1105" s="2">
        <v>1.1666666666666601</v>
      </c>
      <c r="Y1105" s="2">
        <v>0.33333333333333298</v>
      </c>
      <c r="Z1105" s="7">
        <v>80.782176630870296</v>
      </c>
      <c r="AA1105" s="2">
        <v>2.4987562455402399</v>
      </c>
      <c r="AB1105" s="7">
        <v>1.26984126984127</v>
      </c>
      <c r="AC1105" s="2">
        <v>2.1994295969128599</v>
      </c>
      <c r="AD1105" s="2">
        <v>227.272727272727</v>
      </c>
      <c r="AE1105" s="2">
        <v>20.829889522526202</v>
      </c>
      <c r="AF1105" s="2">
        <v>19.047619047619001</v>
      </c>
      <c r="AG1105" s="2">
        <v>19.047619047619001</v>
      </c>
      <c r="AH1105" s="2">
        <v>133.333333333333</v>
      </c>
      <c r="AI1105" s="2">
        <v>115.47005383792499</v>
      </c>
      <c r="AJ1105" s="2">
        <v>133.333333333333</v>
      </c>
      <c r="AK1105" s="2">
        <v>230.94010767584999</v>
      </c>
      <c r="AL1105" s="2">
        <v>311.11111111111097</v>
      </c>
      <c r="AM1105" s="2">
        <v>88.8888888888889</v>
      </c>
      <c r="AN1105"/>
      <c r="AO1105"/>
    </row>
    <row r="1106" spans="1:41" ht="15.75" hidden="1" customHeight="1" x14ac:dyDescent="0.45">
      <c r="A1106" s="2" t="s">
        <v>198</v>
      </c>
      <c r="B1106" s="2" t="s">
        <v>122</v>
      </c>
      <c r="C1106" s="2">
        <v>0.1</v>
      </c>
      <c r="D1106" s="2"/>
      <c r="E1106" s="2" t="s">
        <v>85</v>
      </c>
      <c r="F1106" s="2" t="s">
        <v>84</v>
      </c>
      <c r="G1106" s="2" t="s">
        <v>111</v>
      </c>
      <c r="H1106" s="2">
        <v>4.0999999999999996</v>
      </c>
      <c r="I1106" s="2">
        <v>3539</v>
      </c>
      <c r="J1106" s="2">
        <v>4.0999999999999996</v>
      </c>
      <c r="K1106" s="2">
        <v>0</v>
      </c>
      <c r="L1106" s="2"/>
      <c r="M1106" s="2">
        <v>0</v>
      </c>
      <c r="N1106" s="2">
        <v>187.222222222222</v>
      </c>
      <c r="O1106" s="2">
        <v>39.361689402166299</v>
      </c>
      <c r="P1106" s="2">
        <v>0.5</v>
      </c>
      <c r="Q1106" s="2">
        <v>0.44095855184409799</v>
      </c>
      <c r="R1106" s="2">
        <v>0.66666666666666596</v>
      </c>
      <c r="S1106" s="2">
        <v>0.66666666666666596</v>
      </c>
      <c r="T1106" s="2">
        <v>11.3333333333333</v>
      </c>
      <c r="U1106" s="2">
        <v>2.04803428790742</v>
      </c>
      <c r="V1106" s="2">
        <v>0</v>
      </c>
      <c r="W1106" s="2">
        <v>0</v>
      </c>
      <c r="X1106" s="2">
        <v>1.38888888888888</v>
      </c>
      <c r="Y1106" s="2">
        <v>0.34694433324435497</v>
      </c>
      <c r="Z1106" s="7">
        <v>72.0200886894267</v>
      </c>
      <c r="AA1106" s="2">
        <v>15.141537837025</v>
      </c>
      <c r="AB1106" s="7">
        <v>0</v>
      </c>
      <c r="AC1106" s="2">
        <v>0</v>
      </c>
      <c r="AD1106" s="2">
        <v>309.09090909090901</v>
      </c>
      <c r="AE1106" s="2">
        <v>55.8554805792932</v>
      </c>
      <c r="AF1106" s="2">
        <v>57.142857142857103</v>
      </c>
      <c r="AG1106" s="2">
        <v>50.395263067896899</v>
      </c>
      <c r="AH1106" s="2">
        <v>800</v>
      </c>
      <c r="AI1106" s="2">
        <v>800</v>
      </c>
      <c r="AJ1106" s="2">
        <v>0</v>
      </c>
      <c r="AK1106" s="2">
        <v>0</v>
      </c>
      <c r="AL1106" s="2">
        <v>370.37037037036998</v>
      </c>
      <c r="AM1106" s="2">
        <v>92.518488865161402</v>
      </c>
      <c r="AN1106"/>
      <c r="AO1106"/>
    </row>
    <row r="1107" spans="1:41" ht="15.75" hidden="1" customHeight="1" x14ac:dyDescent="0.45">
      <c r="A1107" s="2" t="s">
        <v>198</v>
      </c>
      <c r="B1107" s="2" t="s">
        <v>122</v>
      </c>
      <c r="C1107" s="2">
        <v>0.3</v>
      </c>
      <c r="D1107" s="2"/>
      <c r="E1107" s="2" t="s">
        <v>85</v>
      </c>
      <c r="F1107" s="2" t="s">
        <v>84</v>
      </c>
      <c r="G1107" s="2" t="s">
        <v>111</v>
      </c>
      <c r="H1107" s="2">
        <v>4.0999999999999996</v>
      </c>
      <c r="I1107" s="2">
        <v>3539</v>
      </c>
      <c r="J1107" s="2">
        <v>4.0999999999999996</v>
      </c>
      <c r="K1107" s="2">
        <v>0</v>
      </c>
      <c r="L1107" s="2"/>
      <c r="M1107" s="2">
        <v>0</v>
      </c>
      <c r="N1107" s="2">
        <v>193.944444444444</v>
      </c>
      <c r="O1107" s="2">
        <v>6.9608694646369598</v>
      </c>
      <c r="P1107" s="2">
        <v>0.5</v>
      </c>
      <c r="Q1107" s="2">
        <v>0.57735026918962495</v>
      </c>
      <c r="R1107" s="2">
        <v>7.4444444444444402</v>
      </c>
      <c r="S1107" s="2">
        <v>7.1108940939107503</v>
      </c>
      <c r="T1107" s="2">
        <v>16.3333333333333</v>
      </c>
      <c r="U1107" s="2">
        <v>2.2047927592204801</v>
      </c>
      <c r="V1107" s="2">
        <v>0.11111111111111099</v>
      </c>
      <c r="W1107" s="2">
        <v>9.6225044864937603E-2</v>
      </c>
      <c r="X1107" s="2">
        <v>2.38888888888888</v>
      </c>
      <c r="Y1107" s="2">
        <v>0.63098981620002903</v>
      </c>
      <c r="Z1107" s="7">
        <v>74.605973179462495</v>
      </c>
      <c r="AA1107" s="2">
        <v>2.67768660284159</v>
      </c>
      <c r="AB1107" s="7">
        <v>0</v>
      </c>
      <c r="AC1107" s="2">
        <v>0</v>
      </c>
      <c r="AD1107" s="2">
        <v>445.45454545454498</v>
      </c>
      <c r="AE1107" s="2">
        <v>60.130711615104097</v>
      </c>
      <c r="AF1107" s="2">
        <v>57.142857142857103</v>
      </c>
      <c r="AG1107" s="2">
        <v>65.982887907385702</v>
      </c>
      <c r="AH1107" s="2">
        <v>8933.3333333333303</v>
      </c>
      <c r="AI1107" s="2">
        <v>8533.0729126929</v>
      </c>
      <c r="AJ1107" s="2">
        <v>266.666666666666</v>
      </c>
      <c r="AK1107" s="2">
        <v>230.94010767584999</v>
      </c>
      <c r="AL1107" s="2">
        <v>637.03703703703695</v>
      </c>
      <c r="AM1107" s="2">
        <v>168.26395098667399</v>
      </c>
      <c r="AN1107"/>
      <c r="AO1107"/>
    </row>
    <row r="1108" spans="1:41" ht="15.75" hidden="1" customHeight="1" x14ac:dyDescent="0.45">
      <c r="A1108" s="2" t="s">
        <v>198</v>
      </c>
      <c r="B1108" s="2" t="s">
        <v>122</v>
      </c>
      <c r="C1108" s="2">
        <v>1</v>
      </c>
      <c r="D1108" s="2"/>
      <c r="E1108" s="2" t="s">
        <v>85</v>
      </c>
      <c r="F1108" s="2" t="s">
        <v>84</v>
      </c>
      <c r="G1108" s="2" t="s">
        <v>111</v>
      </c>
      <c r="H1108" s="2">
        <v>4.0999999999999996</v>
      </c>
      <c r="I1108" s="2">
        <v>3539</v>
      </c>
      <c r="J1108" s="2">
        <v>4.0999999999999996</v>
      </c>
      <c r="K1108" s="2">
        <v>0</v>
      </c>
      <c r="L1108" s="2"/>
      <c r="M1108" s="2">
        <v>0</v>
      </c>
      <c r="N1108" s="2">
        <v>147.333333333333</v>
      </c>
      <c r="O1108" s="2">
        <v>0</v>
      </c>
      <c r="P1108" s="2">
        <v>0</v>
      </c>
      <c r="Q1108" s="2">
        <v>0</v>
      </c>
      <c r="R1108" s="2">
        <v>2.1666666666666599</v>
      </c>
      <c r="S1108" s="2">
        <v>0</v>
      </c>
      <c r="T1108" s="2">
        <v>86.8333333333333</v>
      </c>
      <c r="U1108" s="2">
        <v>0</v>
      </c>
      <c r="V1108" s="2">
        <v>0</v>
      </c>
      <c r="W1108" s="2">
        <v>0</v>
      </c>
      <c r="X1108" s="2">
        <v>0.16666666666666599</v>
      </c>
      <c r="Y1108" s="2">
        <v>0</v>
      </c>
      <c r="Z1108" s="7">
        <v>56.675749318801003</v>
      </c>
      <c r="AA1108" s="2">
        <v>0</v>
      </c>
      <c r="AB1108" s="7">
        <v>0</v>
      </c>
      <c r="AC1108" s="2">
        <v>0</v>
      </c>
      <c r="AD1108" s="2">
        <v>2368.1818181818098</v>
      </c>
      <c r="AE1108" s="2">
        <v>0</v>
      </c>
      <c r="AF1108" s="2">
        <v>0</v>
      </c>
      <c r="AG1108" s="2">
        <v>0</v>
      </c>
      <c r="AH1108" s="2">
        <v>2599.99999999999</v>
      </c>
      <c r="AI1108" s="2">
        <v>0</v>
      </c>
      <c r="AJ1108" s="2">
        <v>0</v>
      </c>
      <c r="AK1108" s="2">
        <v>0</v>
      </c>
      <c r="AL1108" s="2">
        <v>44.4444444444444</v>
      </c>
      <c r="AM1108" s="2">
        <v>0</v>
      </c>
      <c r="AN1108"/>
      <c r="AO1108"/>
    </row>
    <row r="1109" spans="1:41" ht="15.75" hidden="1" customHeight="1" x14ac:dyDescent="0.45">
      <c r="A1109" s="2" t="s">
        <v>198</v>
      </c>
      <c r="B1109" s="2" t="s">
        <v>122</v>
      </c>
      <c r="C1109" s="2">
        <v>3</v>
      </c>
      <c r="D1109" s="2"/>
      <c r="E1109" s="2" t="s">
        <v>85</v>
      </c>
      <c r="F1109" s="2" t="s">
        <v>84</v>
      </c>
      <c r="G1109" s="2" t="s">
        <v>111</v>
      </c>
      <c r="H1109" s="2">
        <v>4.0999999999999996</v>
      </c>
      <c r="I1109" s="2">
        <v>3539</v>
      </c>
      <c r="J1109" s="2">
        <v>4.0999999999999996</v>
      </c>
      <c r="K1109" s="2">
        <v>0</v>
      </c>
      <c r="L1109" s="2"/>
      <c r="M1109" s="2">
        <v>0</v>
      </c>
      <c r="N1109" s="2">
        <v>110.666666666666</v>
      </c>
      <c r="O1109" s="2">
        <v>38.646187105298999</v>
      </c>
      <c r="P1109" s="2">
        <v>0</v>
      </c>
      <c r="Q1109" s="2">
        <v>0</v>
      </c>
      <c r="R1109" s="2">
        <v>1.1111111111111101</v>
      </c>
      <c r="S1109" s="2">
        <v>0.63098981620003003</v>
      </c>
      <c r="T1109" s="2">
        <v>88.5</v>
      </c>
      <c r="U1109" s="2">
        <v>1.9220937657786701</v>
      </c>
      <c r="V1109" s="2">
        <v>0</v>
      </c>
      <c r="W1109" s="2">
        <v>0</v>
      </c>
      <c r="X1109" s="2">
        <v>0.44444444444444398</v>
      </c>
      <c r="Y1109" s="2">
        <v>0.48112522432468802</v>
      </c>
      <c r="Z1109" s="7">
        <v>42.5709248276967</v>
      </c>
      <c r="AA1109" s="2">
        <v>14.866300537380599</v>
      </c>
      <c r="AB1109" s="7">
        <v>0</v>
      </c>
      <c r="AC1109" s="2">
        <v>0</v>
      </c>
      <c r="AD1109" s="2">
        <v>2413.6363636363599</v>
      </c>
      <c r="AE1109" s="2">
        <v>52.420739066691098</v>
      </c>
      <c r="AF1109" s="2">
        <v>0</v>
      </c>
      <c r="AG1109" s="2">
        <v>0</v>
      </c>
      <c r="AH1109" s="2">
        <v>1333.3333333333301</v>
      </c>
      <c r="AI1109" s="2">
        <v>757.18777944003602</v>
      </c>
      <c r="AJ1109" s="2">
        <v>0</v>
      </c>
      <c r="AK1109" s="2">
        <v>0</v>
      </c>
      <c r="AL1109" s="2">
        <v>118.51851851851799</v>
      </c>
      <c r="AM1109" s="2">
        <v>128.30005981991599</v>
      </c>
      <c r="AN1109"/>
      <c r="AO1109"/>
    </row>
    <row r="1110" spans="1:41" ht="15.75" hidden="1" customHeight="1" x14ac:dyDescent="0.45">
      <c r="A1110" s="2" t="s">
        <v>198</v>
      </c>
      <c r="B1110" s="2" t="s">
        <v>122</v>
      </c>
      <c r="C1110" s="2">
        <v>10</v>
      </c>
      <c r="D1110" s="2"/>
      <c r="E1110" s="2" t="s">
        <v>85</v>
      </c>
      <c r="F1110" s="2" t="s">
        <v>84</v>
      </c>
      <c r="G1110" s="2" t="s">
        <v>111</v>
      </c>
      <c r="H1110" s="2">
        <v>4.0999999999999996</v>
      </c>
      <c r="I1110" s="2">
        <v>3539</v>
      </c>
      <c r="J1110" s="2">
        <v>4.0999999999999996</v>
      </c>
      <c r="K1110" s="2">
        <v>0</v>
      </c>
      <c r="L1110" s="2"/>
      <c r="M1110" s="2">
        <v>0</v>
      </c>
      <c r="N1110" s="2">
        <v>136.833333333333</v>
      </c>
      <c r="O1110" s="2">
        <v>18.369660977939802</v>
      </c>
      <c r="P1110" s="2">
        <v>0</v>
      </c>
      <c r="Q1110" s="2">
        <v>0</v>
      </c>
      <c r="R1110" s="2">
        <v>0.55555555555555503</v>
      </c>
      <c r="S1110" s="2">
        <v>0.25458753860865702</v>
      </c>
      <c r="T1110" s="2">
        <v>89.7222222222222</v>
      </c>
      <c r="U1110" s="2">
        <v>9.6225044854785696E-2</v>
      </c>
      <c r="V1110" s="2">
        <v>0</v>
      </c>
      <c r="W1110" s="2">
        <v>0</v>
      </c>
      <c r="X1110" s="2">
        <v>0</v>
      </c>
      <c r="Y1110" s="2">
        <v>0</v>
      </c>
      <c r="Z1110" s="7">
        <v>52.636640487257502</v>
      </c>
      <c r="AA1110" s="2">
        <v>7.0663866560435302</v>
      </c>
      <c r="AB1110" s="7">
        <v>0</v>
      </c>
      <c r="AC1110" s="2">
        <v>0</v>
      </c>
      <c r="AD1110" s="2">
        <v>2446.9696969696902</v>
      </c>
      <c r="AE1110" s="2">
        <v>2.6243194051305201</v>
      </c>
      <c r="AF1110" s="2">
        <v>0</v>
      </c>
      <c r="AG1110" s="2">
        <v>0</v>
      </c>
      <c r="AH1110" s="2">
        <v>666.66666666666595</v>
      </c>
      <c r="AI1110" s="2">
        <v>305.50504633038901</v>
      </c>
      <c r="AJ1110" s="2">
        <v>0</v>
      </c>
      <c r="AK1110" s="2">
        <v>0</v>
      </c>
      <c r="AL1110" s="2">
        <v>0</v>
      </c>
      <c r="AM1110" s="2">
        <v>0</v>
      </c>
      <c r="AN1110"/>
      <c r="AO1110"/>
    </row>
    <row r="1111" spans="1:41" ht="15.75" hidden="1" customHeight="1" x14ac:dyDescent="0.45">
      <c r="A1111" s="2" t="s">
        <v>198</v>
      </c>
      <c r="B1111" s="2" t="s">
        <v>122</v>
      </c>
      <c r="C1111" s="2">
        <v>3.0000000000000001E-3</v>
      </c>
      <c r="D1111" s="2"/>
      <c r="E1111" s="2" t="s">
        <v>85</v>
      </c>
      <c r="F1111" s="2" t="s">
        <v>84</v>
      </c>
      <c r="G1111" s="2" t="s">
        <v>86</v>
      </c>
      <c r="H1111" s="2">
        <v>1.1000000000000001</v>
      </c>
      <c r="I1111" s="2">
        <v>3539</v>
      </c>
      <c r="J1111" s="2">
        <v>1.1000000000000001</v>
      </c>
      <c r="K1111" s="2">
        <v>1.55555555555555</v>
      </c>
      <c r="L1111" s="2"/>
      <c r="M1111" s="2">
        <v>0.41943524640392998</v>
      </c>
      <c r="N1111" s="2">
        <v>314.61111111111097</v>
      </c>
      <c r="O1111" s="2">
        <v>9.5863521815206596</v>
      </c>
      <c r="P1111" s="2">
        <v>0.88888888888888895</v>
      </c>
      <c r="Q1111" s="2">
        <v>9.6225044864937798E-2</v>
      </c>
      <c r="R1111" s="2">
        <v>0.94444444444444398</v>
      </c>
      <c r="S1111" s="2">
        <v>1.6358257627039301</v>
      </c>
      <c r="T1111" s="2">
        <v>5.3333333333333304</v>
      </c>
      <c r="U1111" s="2">
        <v>0.44095855184410399</v>
      </c>
      <c r="V1111" s="2">
        <v>0</v>
      </c>
      <c r="W1111" s="2">
        <v>0</v>
      </c>
      <c r="X1111" s="2">
        <v>0.77777777777777701</v>
      </c>
      <c r="Y1111" s="2">
        <v>9.6225044864937201E-2</v>
      </c>
      <c r="Z1111" s="7">
        <v>87.270765911542597</v>
      </c>
      <c r="AA1111" s="2">
        <v>2.6591822972318</v>
      </c>
      <c r="AB1111" s="7">
        <v>26.858513189448399</v>
      </c>
      <c r="AC1111" s="2">
        <v>7.2420474199239697</v>
      </c>
      <c r="AD1111" s="2">
        <v>131.95876288659699</v>
      </c>
      <c r="AE1111" s="2">
        <v>10.910314684802501</v>
      </c>
      <c r="AF1111" s="2">
        <v>88.8888888888889</v>
      </c>
      <c r="AG1111" s="2">
        <v>9.6225044864937797</v>
      </c>
      <c r="AH1111" s="2">
        <v>73.118279569892394</v>
      </c>
      <c r="AI1111" s="2">
        <v>126.64457517707901</v>
      </c>
      <c r="AJ1111"/>
      <c r="AK1111"/>
      <c r="AL1111" s="2">
        <v>133.333333333333</v>
      </c>
      <c r="AM1111" s="2">
        <v>16.495721976846301</v>
      </c>
      <c r="AN1111"/>
      <c r="AO1111"/>
    </row>
    <row r="1112" spans="1:41" ht="15.75" hidden="1" customHeight="1" x14ac:dyDescent="0.45">
      <c r="A1112" s="2" t="s">
        <v>198</v>
      </c>
      <c r="B1112" s="2" t="s">
        <v>122</v>
      </c>
      <c r="C1112" s="2">
        <v>0.01</v>
      </c>
      <c r="D1112" s="2"/>
      <c r="E1112" s="2" t="s">
        <v>85</v>
      </c>
      <c r="F1112" s="2" t="s">
        <v>84</v>
      </c>
      <c r="G1112" s="2" t="s">
        <v>86</v>
      </c>
      <c r="H1112" s="2">
        <v>1.1000000000000001</v>
      </c>
      <c r="I1112" s="2">
        <v>3539</v>
      </c>
      <c r="J1112" s="2">
        <v>1.1000000000000001</v>
      </c>
      <c r="K1112" s="2">
        <v>0.77777777777777701</v>
      </c>
      <c r="L1112" s="2"/>
      <c r="M1112" s="2">
        <v>9.6225044864937201E-2</v>
      </c>
      <c r="N1112" s="2">
        <v>312.11111111111097</v>
      </c>
      <c r="O1112" s="2">
        <v>45.096912105835898</v>
      </c>
      <c r="P1112" s="2">
        <v>1.05555555555555</v>
      </c>
      <c r="Q1112" s="2">
        <v>0.96225044864937603</v>
      </c>
      <c r="R1112" s="2">
        <v>5.5555555555555497E-2</v>
      </c>
      <c r="S1112" s="2">
        <v>9.6225044864937603E-2</v>
      </c>
      <c r="T1112" s="2">
        <v>8.1666666666666607</v>
      </c>
      <c r="U1112" s="2">
        <v>1.75594229214211</v>
      </c>
      <c r="V1112" s="2">
        <v>5.5555555555555497E-2</v>
      </c>
      <c r="W1112" s="2">
        <v>9.6225044864937603E-2</v>
      </c>
      <c r="X1112" s="2">
        <v>0.94444444444444398</v>
      </c>
      <c r="Y1112" s="2">
        <v>0.19245008972987501</v>
      </c>
      <c r="Z1112" s="7">
        <v>86.577284635536998</v>
      </c>
      <c r="AA1112" s="2">
        <v>12.509545660425999</v>
      </c>
      <c r="AB1112" s="7">
        <v>13.429256594724199</v>
      </c>
      <c r="AC1112" s="2">
        <v>1.6614396235672599</v>
      </c>
      <c r="AD1112" s="2">
        <v>202.061855670103</v>
      </c>
      <c r="AE1112" s="2">
        <v>43.445994857124397</v>
      </c>
      <c r="AF1112" s="2">
        <v>105.555555555555</v>
      </c>
      <c r="AG1112" s="2">
        <v>96.225044864937601</v>
      </c>
      <c r="AH1112" s="2">
        <v>4.3010752688171996</v>
      </c>
      <c r="AI1112" s="2">
        <v>7.4496808927693596</v>
      </c>
      <c r="AJ1112"/>
      <c r="AK1112"/>
      <c r="AL1112" s="2">
        <v>161.90476190476099</v>
      </c>
      <c r="AM1112" s="2">
        <v>32.991443953692901</v>
      </c>
      <c r="AN1112"/>
      <c r="AO1112"/>
    </row>
    <row r="1113" spans="1:41" ht="15.75" hidden="1" customHeight="1" x14ac:dyDescent="0.45">
      <c r="A1113" s="2" t="s">
        <v>198</v>
      </c>
      <c r="B1113" s="2" t="s">
        <v>122</v>
      </c>
      <c r="C1113" s="2">
        <v>0.03</v>
      </c>
      <c r="D1113" s="2"/>
      <c r="E1113" s="2" t="s">
        <v>85</v>
      </c>
      <c r="F1113" s="2" t="s">
        <v>84</v>
      </c>
      <c r="G1113" s="2" t="s">
        <v>86</v>
      </c>
      <c r="H1113" s="2">
        <v>1.1000000000000001</v>
      </c>
      <c r="I1113" s="2">
        <v>3539</v>
      </c>
      <c r="J1113" s="2">
        <v>1.1000000000000001</v>
      </c>
      <c r="K1113" s="2">
        <v>0.11111111111111099</v>
      </c>
      <c r="L1113" s="2"/>
      <c r="M1113" s="2">
        <v>9.6225044864937603E-2</v>
      </c>
      <c r="N1113" s="2">
        <v>297.35555555555499</v>
      </c>
      <c r="O1113" s="2">
        <v>38.2448447264224</v>
      </c>
      <c r="P1113" s="2">
        <v>0.63333333333333297</v>
      </c>
      <c r="Q1113" s="2">
        <v>0.46308146631499297</v>
      </c>
      <c r="R1113" s="2">
        <v>6.6666666666666596E-2</v>
      </c>
      <c r="S1113" s="2">
        <v>0.115470053837925</v>
      </c>
      <c r="T1113" s="2">
        <v>8.55555555555555</v>
      </c>
      <c r="U1113" s="2">
        <v>2.41714554642301</v>
      </c>
      <c r="V1113" s="2">
        <v>6.6666666666666596E-2</v>
      </c>
      <c r="W1113" s="2">
        <v>0.115470053837925</v>
      </c>
      <c r="X1113" s="2">
        <v>0.98888888888888904</v>
      </c>
      <c r="Y1113" s="2">
        <v>0.29876288132774897</v>
      </c>
      <c r="Z1113" s="7">
        <v>82.484204037602098</v>
      </c>
      <c r="AA1113" s="2">
        <v>10.6088334886054</v>
      </c>
      <c r="AB1113" s="7">
        <v>1.9184652278177401</v>
      </c>
      <c r="AC1113" s="2">
        <v>1.6614396235672599</v>
      </c>
      <c r="AD1113" s="2">
        <v>211.68384879724999</v>
      </c>
      <c r="AE1113" s="2">
        <v>59.805663004280603</v>
      </c>
      <c r="AF1113" s="2">
        <v>63.3333333333333</v>
      </c>
      <c r="AG1113" s="2">
        <v>46.308146631499298</v>
      </c>
      <c r="AH1113" s="2">
        <v>5.1612903225806397</v>
      </c>
      <c r="AI1113" s="2">
        <v>8.9396170713232301</v>
      </c>
      <c r="AJ1113"/>
      <c r="AK1113"/>
      <c r="AL1113" s="2">
        <v>169.52380952380901</v>
      </c>
      <c r="AM1113" s="2">
        <v>51.216493941899898</v>
      </c>
      <c r="AN1113"/>
      <c r="AO1113"/>
    </row>
    <row r="1114" spans="1:41" ht="15.75" hidden="1" customHeight="1" x14ac:dyDescent="0.45">
      <c r="A1114" s="2" t="s">
        <v>198</v>
      </c>
      <c r="B1114" s="2" t="s">
        <v>122</v>
      </c>
      <c r="C1114" s="2">
        <v>0.1</v>
      </c>
      <c r="D1114" s="2"/>
      <c r="E1114" s="2" t="s">
        <v>85</v>
      </c>
      <c r="F1114" s="2" t="s">
        <v>84</v>
      </c>
      <c r="G1114" s="2" t="s">
        <v>86</v>
      </c>
      <c r="H1114" s="2">
        <v>1.1000000000000001</v>
      </c>
      <c r="I1114" s="2">
        <v>3539</v>
      </c>
      <c r="J1114" s="2">
        <v>1.1000000000000001</v>
      </c>
      <c r="K1114" s="2">
        <v>0.2</v>
      </c>
      <c r="L1114" s="2"/>
      <c r="M1114" s="2">
        <v>0.34641016151377502</v>
      </c>
      <c r="N1114" s="2">
        <v>295.27777777777698</v>
      </c>
      <c r="O1114" s="2">
        <v>28.353097681702401</v>
      </c>
      <c r="P1114" s="2">
        <v>0.54444444444444395</v>
      </c>
      <c r="Q1114" s="2">
        <v>0.236486629486586</v>
      </c>
      <c r="R1114" s="2">
        <v>0</v>
      </c>
      <c r="S1114" s="2">
        <v>0</v>
      </c>
      <c r="T1114" s="2">
        <v>11.411111111111101</v>
      </c>
      <c r="U1114" s="2">
        <v>0.58341269301447995</v>
      </c>
      <c r="V1114" s="2">
        <v>0</v>
      </c>
      <c r="W1114" s="2">
        <v>0</v>
      </c>
      <c r="X1114" s="2">
        <v>1.12222222222222</v>
      </c>
      <c r="Y1114" s="2">
        <v>0.10715167512214201</v>
      </c>
      <c r="Z1114" s="7">
        <v>81.907844043766303</v>
      </c>
      <c r="AA1114" s="2">
        <v>7.8649369436067804</v>
      </c>
      <c r="AB1114" s="7">
        <v>3.4532374100719401</v>
      </c>
      <c r="AC1114" s="2">
        <v>5.9811826448421597</v>
      </c>
      <c r="AD1114" s="2">
        <v>282.33676975945002</v>
      </c>
      <c r="AE1114" s="2">
        <v>14.434953229224201</v>
      </c>
      <c r="AF1114" s="2">
        <v>54.4444444444444</v>
      </c>
      <c r="AG1114" s="2">
        <v>23.6486629486586</v>
      </c>
      <c r="AH1114" s="2">
        <v>0</v>
      </c>
      <c r="AI1114" s="2">
        <v>0</v>
      </c>
      <c r="AJ1114"/>
      <c r="AK1114"/>
      <c r="AL1114" s="2">
        <v>192.38095238095201</v>
      </c>
      <c r="AM1114" s="2">
        <v>18.3688585923673</v>
      </c>
      <c r="AN1114"/>
      <c r="AO1114"/>
    </row>
    <row r="1115" spans="1:41" ht="15.75" hidden="1" customHeight="1" x14ac:dyDescent="0.45">
      <c r="A1115" s="2" t="s">
        <v>198</v>
      </c>
      <c r="B1115" s="2" t="s">
        <v>122</v>
      </c>
      <c r="C1115" s="2">
        <v>0.3</v>
      </c>
      <c r="D1115" s="2"/>
      <c r="E1115" s="2" t="s">
        <v>85</v>
      </c>
      <c r="F1115" s="2" t="s">
        <v>84</v>
      </c>
      <c r="G1115" s="2" t="s">
        <v>86</v>
      </c>
      <c r="H1115" s="2">
        <v>1.1000000000000001</v>
      </c>
      <c r="I1115" s="2">
        <v>3539</v>
      </c>
      <c r="J1115" s="2">
        <v>1.1000000000000001</v>
      </c>
      <c r="K1115" s="2">
        <v>5.5555555555555497E-2</v>
      </c>
      <c r="L1115" s="2"/>
      <c r="M1115" s="2">
        <v>9.6225044864937603E-2</v>
      </c>
      <c r="N1115" s="2">
        <v>251.277777777777</v>
      </c>
      <c r="O1115" s="2">
        <v>16.512901802103901</v>
      </c>
      <c r="P1115" s="2">
        <v>0.38888888888888801</v>
      </c>
      <c r="Q1115" s="2">
        <v>0.34694433324435497</v>
      </c>
      <c r="R1115" s="2">
        <v>0.22222222222222199</v>
      </c>
      <c r="S1115" s="2">
        <v>0.25458753860865702</v>
      </c>
      <c r="T1115" s="2">
        <v>12.5</v>
      </c>
      <c r="U1115" s="2">
        <v>1.3333333333333199</v>
      </c>
      <c r="V1115" s="2">
        <v>0</v>
      </c>
      <c r="W1115" s="2">
        <v>0</v>
      </c>
      <c r="X1115" s="2">
        <v>1.94444444444444</v>
      </c>
      <c r="Y1115" s="2">
        <v>0.50917507721731603</v>
      </c>
      <c r="Z1115" s="7">
        <v>69.702573586068695</v>
      </c>
      <c r="AA1115" s="2">
        <v>4.5805552849109299</v>
      </c>
      <c r="AB1115" s="7">
        <v>0.95923261390887204</v>
      </c>
      <c r="AC1115" s="2">
        <v>1.6614396235672599</v>
      </c>
      <c r="AD1115" s="2">
        <v>309.27835051546299</v>
      </c>
      <c r="AE1115" s="2">
        <v>32.989690721649097</v>
      </c>
      <c r="AF1115" s="2">
        <v>38.8888888888888</v>
      </c>
      <c r="AG1115" s="2">
        <v>34.694433324435501</v>
      </c>
      <c r="AH1115" s="2">
        <v>17.204301075268798</v>
      </c>
      <c r="AI1115" s="2">
        <v>19.710002989057301</v>
      </c>
      <c r="AJ1115"/>
      <c r="AK1115"/>
      <c r="AL1115" s="2">
        <v>333.33333333333297</v>
      </c>
      <c r="AM1115" s="2">
        <v>87.287156094397105</v>
      </c>
      <c r="AN1115"/>
      <c r="AO1115"/>
    </row>
    <row r="1116" spans="1:41" ht="15.75" hidden="1" customHeight="1" x14ac:dyDescent="0.45">
      <c r="A1116" s="2" t="s">
        <v>198</v>
      </c>
      <c r="B1116" s="2" t="s">
        <v>122</v>
      </c>
      <c r="C1116" s="2">
        <v>1</v>
      </c>
      <c r="D1116" s="2"/>
      <c r="E1116" s="2" t="s">
        <v>85</v>
      </c>
      <c r="F1116" s="2" t="s">
        <v>84</v>
      </c>
      <c r="G1116" s="2" t="s">
        <v>86</v>
      </c>
      <c r="H1116" s="2">
        <v>1.1000000000000001</v>
      </c>
      <c r="I1116" s="2">
        <v>3539</v>
      </c>
      <c r="J1116" s="2">
        <v>1.1000000000000001</v>
      </c>
      <c r="K1116" s="2">
        <v>0</v>
      </c>
      <c r="L1116" s="2"/>
      <c r="M1116" s="2">
        <v>0</v>
      </c>
      <c r="N1116" s="2">
        <v>215.888888888888</v>
      </c>
      <c r="O1116" s="2">
        <v>59.274627636801497</v>
      </c>
      <c r="P1116" s="2">
        <v>0.33333333333333298</v>
      </c>
      <c r="Q1116" s="2">
        <v>0.28867513459481198</v>
      </c>
      <c r="R1116" s="2">
        <v>0.11111111111111099</v>
      </c>
      <c r="S1116" s="2">
        <v>9.6225044864937603E-2</v>
      </c>
      <c r="T1116" s="2">
        <v>19.8888888888888</v>
      </c>
      <c r="U1116" s="2">
        <v>3.7908271353848901</v>
      </c>
      <c r="V1116" s="2">
        <v>0</v>
      </c>
      <c r="W1116" s="2">
        <v>0</v>
      </c>
      <c r="X1116" s="2">
        <v>2.3333333333333299</v>
      </c>
      <c r="Y1116" s="2">
        <v>0.88191710368819598</v>
      </c>
      <c r="Z1116" s="7">
        <v>59.8859608568346</v>
      </c>
      <c r="AA1116" s="2">
        <v>16.4423377633291</v>
      </c>
      <c r="AB1116" s="7">
        <v>0</v>
      </c>
      <c r="AC1116" s="2">
        <v>0</v>
      </c>
      <c r="AD1116" s="2">
        <v>492.09621993127098</v>
      </c>
      <c r="AE1116" s="2">
        <v>93.7936610816881</v>
      </c>
      <c r="AF1116" s="2">
        <v>33.3333333333333</v>
      </c>
      <c r="AG1116" s="2">
        <v>28.867513459481199</v>
      </c>
      <c r="AH1116" s="2">
        <v>8.6021505376343992</v>
      </c>
      <c r="AI1116" s="2">
        <v>7.4496808927693596</v>
      </c>
      <c r="AJ1116"/>
      <c r="AK1116"/>
      <c r="AL1116" s="2">
        <v>400</v>
      </c>
      <c r="AM1116" s="2">
        <v>151.18578920369001</v>
      </c>
      <c r="AN1116"/>
      <c r="AO1116"/>
    </row>
    <row r="1117" spans="1:41" ht="15.75" hidden="1" customHeight="1" x14ac:dyDescent="0.45">
      <c r="A1117" s="2" t="s">
        <v>198</v>
      </c>
      <c r="B1117" s="2" t="s">
        <v>122</v>
      </c>
      <c r="C1117" s="2">
        <v>3</v>
      </c>
      <c r="D1117" s="2"/>
      <c r="E1117" s="2" t="s">
        <v>85</v>
      </c>
      <c r="F1117" s="2" t="s">
        <v>84</v>
      </c>
      <c r="G1117" s="2" t="s">
        <v>86</v>
      </c>
      <c r="H1117" s="2">
        <v>1.1000000000000001</v>
      </c>
      <c r="I1117" s="2">
        <v>3539</v>
      </c>
      <c r="J1117" s="2">
        <v>1.1000000000000001</v>
      </c>
      <c r="K1117" s="2">
        <v>0</v>
      </c>
      <c r="L1117" s="2"/>
      <c r="M1117" s="2">
        <v>0</v>
      </c>
      <c r="N1117" s="2">
        <v>46.288888888888799</v>
      </c>
      <c r="O1117" s="2">
        <v>12.952062612801299</v>
      </c>
      <c r="P1117" s="2">
        <v>6.6666666666666596E-2</v>
      </c>
      <c r="Q1117" s="2">
        <v>0.115470053837925</v>
      </c>
      <c r="R1117" s="2">
        <v>0.77777777777777701</v>
      </c>
      <c r="S1117" s="2">
        <v>0.38490017945975002</v>
      </c>
      <c r="T1117" s="2">
        <v>89.211111111111094</v>
      </c>
      <c r="U1117" s="2">
        <v>2.1029960990441201</v>
      </c>
      <c r="V1117" s="2">
        <v>0</v>
      </c>
      <c r="W1117" s="2">
        <v>0</v>
      </c>
      <c r="X1117" s="2">
        <v>1.9</v>
      </c>
      <c r="Y1117" s="2">
        <v>1.1532562594670801</v>
      </c>
      <c r="Z1117" s="7">
        <v>12.8401910926182</v>
      </c>
      <c r="AA1117" s="2">
        <v>3.59280516305168</v>
      </c>
      <c r="AB1117" s="7">
        <v>0</v>
      </c>
      <c r="AC1117" s="2">
        <v>0</v>
      </c>
      <c r="AD1117" s="2">
        <v>2207.2852233676899</v>
      </c>
      <c r="AE1117" s="2">
        <v>52.032893172225798</v>
      </c>
      <c r="AF1117" s="2">
        <v>6.6666666666666599</v>
      </c>
      <c r="AG1117" s="2">
        <v>11.5470053837925</v>
      </c>
      <c r="AH1117" s="2">
        <v>60.2150537634408</v>
      </c>
      <c r="AI1117" s="2">
        <v>29.798723571077399</v>
      </c>
      <c r="AJ1117"/>
      <c r="AK1117"/>
      <c r="AL1117" s="2">
        <v>325.71428571428498</v>
      </c>
      <c r="AM1117" s="2">
        <v>197.70107305149901</v>
      </c>
      <c r="AN1117"/>
      <c r="AO1117"/>
    </row>
    <row r="1118" spans="1:41" ht="15.75" hidden="1" customHeight="1" x14ac:dyDescent="0.45">
      <c r="A1118" s="2" t="s">
        <v>198</v>
      </c>
      <c r="B1118" s="2" t="s">
        <v>122</v>
      </c>
      <c r="C1118" s="2">
        <v>10</v>
      </c>
      <c r="D1118" s="2"/>
      <c r="E1118" s="2" t="s">
        <v>85</v>
      </c>
      <c r="F1118" s="2" t="s">
        <v>84</v>
      </c>
      <c r="G1118" s="2" t="s">
        <v>86</v>
      </c>
      <c r="H1118" s="2">
        <v>1.1000000000000001</v>
      </c>
      <c r="I1118" s="2">
        <v>3539</v>
      </c>
      <c r="J1118" s="2">
        <v>1.1000000000000001</v>
      </c>
      <c r="K1118" s="2">
        <v>0</v>
      </c>
      <c r="L1118" s="2"/>
      <c r="M1118" s="2">
        <v>0</v>
      </c>
      <c r="N1118" s="2">
        <v>152.433333333333</v>
      </c>
      <c r="O1118" s="2">
        <v>54.064231346714898</v>
      </c>
      <c r="P1118" s="2">
        <v>0</v>
      </c>
      <c r="Q1118" s="2">
        <v>0</v>
      </c>
      <c r="R1118" s="2">
        <v>5.31111111111111</v>
      </c>
      <c r="S1118" s="2">
        <v>4.78264609852158</v>
      </c>
      <c r="T1118" s="2">
        <v>90.355555555555497</v>
      </c>
      <c r="U1118" s="2">
        <v>1.29800416594657</v>
      </c>
      <c r="V1118" s="2">
        <v>0</v>
      </c>
      <c r="W1118" s="2">
        <v>0</v>
      </c>
      <c r="X1118" s="2">
        <v>0.55555555555555503</v>
      </c>
      <c r="Y1118" s="2">
        <v>0.96225044864937603</v>
      </c>
      <c r="Z1118" s="7">
        <v>42.2838650023116</v>
      </c>
      <c r="AA1118" s="2">
        <v>14.9970128562315</v>
      </c>
      <c r="AB1118" s="7">
        <v>0</v>
      </c>
      <c r="AC1118" s="2">
        <v>0</v>
      </c>
      <c r="AD1118" s="2">
        <v>2235.6013745704399</v>
      </c>
      <c r="AE1118" s="2">
        <v>32.115566992492603</v>
      </c>
      <c r="AF1118" s="2">
        <v>0</v>
      </c>
      <c r="AG1118" s="2">
        <v>0</v>
      </c>
      <c r="AH1118" s="2">
        <v>411.182795698924</v>
      </c>
      <c r="AI1118" s="2">
        <v>370.26937536941199</v>
      </c>
      <c r="AJ1118"/>
      <c r="AK1118"/>
      <c r="AL1118" s="2">
        <v>95.238095238095198</v>
      </c>
      <c r="AM1118" s="2">
        <v>164.957219768464</v>
      </c>
      <c r="AN1118"/>
      <c r="AO1118"/>
    </row>
    <row r="1119" spans="1:41" ht="15.75" hidden="1" customHeight="1" x14ac:dyDescent="0.45">
      <c r="A1119" s="2" t="s">
        <v>198</v>
      </c>
      <c r="B1119" s="2" t="s">
        <v>122</v>
      </c>
      <c r="C1119" s="2">
        <v>3.0000000000000001E-3</v>
      </c>
      <c r="D1119" s="2"/>
      <c r="E1119" s="2" t="s">
        <v>85</v>
      </c>
      <c r="F1119" s="2" t="s">
        <v>84</v>
      </c>
      <c r="G1119" s="2" t="s">
        <v>86</v>
      </c>
      <c r="H1119" s="2">
        <v>0.1</v>
      </c>
      <c r="I1119" s="2">
        <v>3539</v>
      </c>
      <c r="J1119" s="2">
        <v>0.11</v>
      </c>
      <c r="K1119" s="2">
        <v>2.63868880823944</v>
      </c>
      <c r="L1119" s="2"/>
      <c r="M1119" s="2">
        <v>1.53091135267749</v>
      </c>
      <c r="N1119" s="2">
        <v>116.222222222222</v>
      </c>
      <c r="O1119" s="2">
        <v>6.9468884588182904</v>
      </c>
      <c r="P1119" s="2">
        <v>0.36356385229388799</v>
      </c>
      <c r="Q1119" s="2">
        <v>0.27410401895026598</v>
      </c>
      <c r="R1119" s="2">
        <v>0.144267638261666</v>
      </c>
      <c r="S1119" s="2">
        <v>0.15517138960881999</v>
      </c>
      <c r="T1119" s="2">
        <v>6.2747162499538804</v>
      </c>
      <c r="U1119" s="2">
        <v>0.87813110897841096</v>
      </c>
      <c r="V1119" s="2">
        <v>0</v>
      </c>
      <c r="W1119" s="2">
        <v>0</v>
      </c>
      <c r="X1119" s="2">
        <v>0.30963190907166599</v>
      </c>
      <c r="Y1119" s="2">
        <v>0.396905834728499</v>
      </c>
      <c r="Z1119" s="7">
        <v>73.135490978584798</v>
      </c>
      <c r="AA1119" s="2">
        <v>4.3558738247318098</v>
      </c>
      <c r="AB1119" s="7">
        <v>57.2120025887032</v>
      </c>
      <c r="AC1119" s="2">
        <v>29.754761033424</v>
      </c>
      <c r="AD1119" s="2">
        <v>60.142090624831802</v>
      </c>
      <c r="AE1119" s="2">
        <v>34.261267983744197</v>
      </c>
      <c r="AF1119" s="2">
        <v>149.25545183715101</v>
      </c>
      <c r="AG1119" s="2">
        <v>37.796147135770099</v>
      </c>
      <c r="AH1119" s="2">
        <v>54.83974677538</v>
      </c>
      <c r="AI1119" s="2">
        <v>59.672294485921</v>
      </c>
      <c r="AJ1119" s="2">
        <v>0</v>
      </c>
      <c r="AK1119" s="2">
        <v>0</v>
      </c>
      <c r="AL1119" s="2">
        <v>70.847379094214304</v>
      </c>
      <c r="AM1119" s="2">
        <v>84.264677350418097</v>
      </c>
      <c r="AN1119"/>
      <c r="AO1119"/>
    </row>
    <row r="1120" spans="1:41" ht="15.75" hidden="1" customHeight="1" x14ac:dyDescent="0.45">
      <c r="A1120" s="2" t="s">
        <v>198</v>
      </c>
      <c r="B1120" s="2" t="s">
        <v>122</v>
      </c>
      <c r="C1120" s="2">
        <v>0.01</v>
      </c>
      <c r="D1120" s="2"/>
      <c r="E1120" s="2" t="s">
        <v>85</v>
      </c>
      <c r="F1120" s="2" t="s">
        <v>84</v>
      </c>
      <c r="G1120" s="2" t="s">
        <v>86</v>
      </c>
      <c r="H1120" s="2">
        <v>0.1</v>
      </c>
      <c r="I1120" s="2">
        <v>3539</v>
      </c>
      <c r="J1120" s="2">
        <v>0.11</v>
      </c>
      <c r="K1120" s="2">
        <v>1.7390952556499999</v>
      </c>
      <c r="L1120" s="2"/>
      <c r="M1120" s="2">
        <v>0.78540313929429095</v>
      </c>
      <c r="N1120" s="2">
        <v>110.777777777777</v>
      </c>
      <c r="O1120" s="2">
        <v>6.7357531405454996</v>
      </c>
      <c r="P1120" s="2">
        <v>0.21965804246222201</v>
      </c>
      <c r="Q1120" s="2">
        <v>0.100897012153649</v>
      </c>
      <c r="R1120" s="2">
        <v>0</v>
      </c>
      <c r="S1120" s="2">
        <v>0</v>
      </c>
      <c r="T1120" s="2">
        <v>13.072348216038799</v>
      </c>
      <c r="U1120" s="2">
        <v>1.4498398167564901</v>
      </c>
      <c r="V1120" s="2">
        <v>0</v>
      </c>
      <c r="W1120" s="2">
        <v>0</v>
      </c>
      <c r="X1120" s="2">
        <v>0.51684749736666602</v>
      </c>
      <c r="Y1120" s="2">
        <v>0.40690091175946203</v>
      </c>
      <c r="Z1120" s="7">
        <v>69.7122062067331</v>
      </c>
      <c r="AA1120" s="2">
        <v>4.2888429333974001</v>
      </c>
      <c r="AB1120" s="7">
        <v>37.944988917746201</v>
      </c>
      <c r="AC1120" s="2">
        <v>14.929873277609101</v>
      </c>
      <c r="AD1120" s="2">
        <v>124.361921802051</v>
      </c>
      <c r="AE1120" s="2">
        <v>69.725225567685598</v>
      </c>
      <c r="AF1120" s="2">
        <v>121.38809906250199</v>
      </c>
      <c r="AG1120" s="2">
        <v>97.540527190495098</v>
      </c>
      <c r="AH1120" s="2">
        <v>0</v>
      </c>
      <c r="AI1120" s="2">
        <v>0</v>
      </c>
      <c r="AJ1120" s="2">
        <v>0</v>
      </c>
      <c r="AK1120" s="2">
        <v>0</v>
      </c>
      <c r="AL1120" s="2">
        <v>124.21349120090601</v>
      </c>
      <c r="AM1120" s="2">
        <v>87.099346870472502</v>
      </c>
      <c r="AN1120"/>
      <c r="AO1120"/>
    </row>
    <row r="1121" spans="1:41" ht="15.75" hidden="1" customHeight="1" x14ac:dyDescent="0.45">
      <c r="A1121" s="2" t="s">
        <v>198</v>
      </c>
      <c r="B1121" s="2" t="s">
        <v>122</v>
      </c>
      <c r="C1121" s="2">
        <v>0.03</v>
      </c>
      <c r="D1121" s="2"/>
      <c r="E1121" s="2" t="s">
        <v>85</v>
      </c>
      <c r="F1121" s="2" t="s">
        <v>84</v>
      </c>
      <c r="G1121" s="2" t="s">
        <v>86</v>
      </c>
      <c r="H1121" s="2">
        <v>0.1</v>
      </c>
      <c r="I1121" s="2">
        <v>3539</v>
      </c>
      <c r="J1121" s="2">
        <v>0.11</v>
      </c>
      <c r="K1121" s="2">
        <v>1.5967031062838799</v>
      </c>
      <c r="L1121" s="2"/>
      <c r="M1121" s="2">
        <v>0.68107379990644301</v>
      </c>
      <c r="N1121" s="2">
        <v>101.833333333333</v>
      </c>
      <c r="O1121" s="2">
        <v>14.405824439364</v>
      </c>
      <c r="P1121" s="2">
        <v>0.42099718956777699</v>
      </c>
      <c r="Q1121" s="2">
        <v>0.27371930724390697</v>
      </c>
      <c r="R1121" s="2">
        <v>0.19480710006944399</v>
      </c>
      <c r="S1121" s="2">
        <v>0.1763734712194</v>
      </c>
      <c r="T1121" s="2">
        <v>13.074995949133299</v>
      </c>
      <c r="U1121" s="2">
        <v>3.0040847077157999</v>
      </c>
      <c r="V1121" s="2">
        <v>0</v>
      </c>
      <c r="W1121" s="2">
        <v>0</v>
      </c>
      <c r="X1121" s="2">
        <v>0.58874056348666604</v>
      </c>
      <c r="Y1121" s="2">
        <v>0.56529204791416598</v>
      </c>
      <c r="Z1121" s="7">
        <v>64.102907213861897</v>
      </c>
      <c r="AA1121" s="2">
        <v>9.3058291522540593</v>
      </c>
      <c r="AB1121" s="7">
        <v>35.407248349095603</v>
      </c>
      <c r="AC1121" s="2">
        <v>14.5266121053295</v>
      </c>
      <c r="AD1121" s="2">
        <v>131.73695081434599</v>
      </c>
      <c r="AE1121" s="2">
        <v>95.045646277905803</v>
      </c>
      <c r="AF1121" s="2">
        <v>183.14767088030999</v>
      </c>
      <c r="AG1121" s="2">
        <v>59.042156302107003</v>
      </c>
      <c r="AH1121" s="2">
        <v>73.292770463000707</v>
      </c>
      <c r="AI1121" s="2">
        <v>65.846222994586995</v>
      </c>
      <c r="AJ1121" s="2">
        <v>0</v>
      </c>
      <c r="AK1121" s="2">
        <v>0</v>
      </c>
      <c r="AL1121" s="2">
        <v>140.37107783942801</v>
      </c>
      <c r="AM1121" s="2">
        <v>141.34364886395099</v>
      </c>
      <c r="AN1121"/>
      <c r="AO1121"/>
    </row>
    <row r="1122" spans="1:41" ht="15.75" hidden="1" customHeight="1" x14ac:dyDescent="0.45">
      <c r="A1122" s="2" t="s">
        <v>198</v>
      </c>
      <c r="B1122" s="2" t="s">
        <v>122</v>
      </c>
      <c r="C1122" s="2">
        <v>0.1</v>
      </c>
      <c r="D1122" s="2"/>
      <c r="E1122" s="2" t="s">
        <v>85</v>
      </c>
      <c r="F1122" s="2" t="s">
        <v>84</v>
      </c>
      <c r="G1122" s="2" t="s">
        <v>86</v>
      </c>
      <c r="H1122" s="2">
        <v>0.1</v>
      </c>
      <c r="I1122" s="2">
        <v>3539</v>
      </c>
      <c r="J1122" s="2">
        <v>0.11</v>
      </c>
      <c r="K1122" s="2">
        <v>0</v>
      </c>
      <c r="L1122" s="2"/>
      <c r="M1122" s="2">
        <v>0</v>
      </c>
      <c r="N1122" s="2">
        <v>86.2222222222222</v>
      </c>
      <c r="O1122" s="2">
        <v>13.598747218987601</v>
      </c>
      <c r="P1122" s="2">
        <v>0.18236236456777699</v>
      </c>
      <c r="Q1122" s="2">
        <v>0.20602299665181301</v>
      </c>
      <c r="R1122" s="2">
        <v>0</v>
      </c>
      <c r="S1122" s="2">
        <v>0</v>
      </c>
      <c r="T1122" s="2">
        <v>14.887316127194399</v>
      </c>
      <c r="U1122" s="2">
        <v>2.4776911318981898</v>
      </c>
      <c r="V1122" s="2">
        <v>0</v>
      </c>
      <c r="W1122" s="2">
        <v>0</v>
      </c>
      <c r="X1122" s="2">
        <v>0.75589851594444402</v>
      </c>
      <c r="Y1122" s="2">
        <v>0.380458511682222</v>
      </c>
      <c r="Z1122" s="7">
        <v>54.245570715729201</v>
      </c>
      <c r="AA1122" s="2">
        <v>8.4133790216144195</v>
      </c>
      <c r="AB1122" s="7">
        <v>0</v>
      </c>
      <c r="AC1122" s="2">
        <v>0</v>
      </c>
      <c r="AD1122" s="2">
        <v>144.77760721412099</v>
      </c>
      <c r="AE1122" s="2">
        <v>91.903239398274394</v>
      </c>
      <c r="AF1122" s="2">
        <v>71.218773565746702</v>
      </c>
      <c r="AG1122" s="2">
        <v>62.248796999417898</v>
      </c>
      <c r="AH1122" s="2">
        <v>0</v>
      </c>
      <c r="AI1122" s="2">
        <v>0</v>
      </c>
      <c r="AJ1122" s="2">
        <v>0</v>
      </c>
      <c r="AK1122" s="2">
        <v>0</v>
      </c>
      <c r="AL1122" s="2">
        <v>186.45113518787099</v>
      </c>
      <c r="AM1122" s="2">
        <v>93.953346240372099</v>
      </c>
      <c r="AN1122"/>
      <c r="AO1122"/>
    </row>
    <row r="1123" spans="1:41" ht="15.75" hidden="1" customHeight="1" x14ac:dyDescent="0.45">
      <c r="A1123" s="2" t="s">
        <v>198</v>
      </c>
      <c r="B1123" s="2" t="s">
        <v>122</v>
      </c>
      <c r="C1123" s="2">
        <v>0.3</v>
      </c>
      <c r="D1123" s="2"/>
      <c r="E1123" s="2" t="s">
        <v>85</v>
      </c>
      <c r="F1123" s="2" t="s">
        <v>84</v>
      </c>
      <c r="G1123" s="2" t="s">
        <v>86</v>
      </c>
      <c r="H1123" s="2">
        <v>0.1</v>
      </c>
      <c r="I1123" s="2">
        <v>3539</v>
      </c>
      <c r="J1123" s="2">
        <v>0.11</v>
      </c>
      <c r="K1123" s="2">
        <v>0</v>
      </c>
      <c r="L1123" s="2"/>
      <c r="M1123" s="2">
        <v>0</v>
      </c>
      <c r="N1123" s="2">
        <v>65</v>
      </c>
      <c r="O1123" s="2">
        <v>14.268263150549499</v>
      </c>
      <c r="P1123" s="2">
        <v>7.8247261344444402E-2</v>
      </c>
      <c r="Q1123" s="2">
        <v>0.13552823220169799</v>
      </c>
      <c r="R1123" s="2">
        <v>0.11820330969444399</v>
      </c>
      <c r="S1123" s="2">
        <v>0.20473413801357601</v>
      </c>
      <c r="T1123" s="2">
        <v>20.876965565172199</v>
      </c>
      <c r="U1123" s="2">
        <v>5.9797534106147898</v>
      </c>
      <c r="V1123" s="2">
        <v>0</v>
      </c>
      <c r="W1123" s="2">
        <v>0</v>
      </c>
      <c r="X1123" s="2">
        <v>0.60319986130000003</v>
      </c>
      <c r="Y1123" s="2">
        <v>0.24333183248177301</v>
      </c>
      <c r="Z1123" s="7">
        <v>40.868218114808798</v>
      </c>
      <c r="AA1123" s="2">
        <v>8.7446681248076796</v>
      </c>
      <c r="AB1123" s="7">
        <v>0</v>
      </c>
      <c r="AC1123" s="2">
        <v>0</v>
      </c>
      <c r="AD1123" s="2">
        <v>179.24953279669199</v>
      </c>
      <c r="AE1123" s="2">
        <v>40.576361620086502</v>
      </c>
      <c r="AF1123" s="2">
        <v>22.219199961591801</v>
      </c>
      <c r="AG1123" s="2">
        <v>38.484783237009502</v>
      </c>
      <c r="AH1123" s="2">
        <v>45.371875153368002</v>
      </c>
      <c r="AI1123" s="2">
        <v>78.586393000305407</v>
      </c>
      <c r="AJ1123" s="2">
        <v>0</v>
      </c>
      <c r="AK1123" s="2">
        <v>0</v>
      </c>
      <c r="AL1123" s="2">
        <v>155.65856125827801</v>
      </c>
      <c r="AM1123" s="2">
        <v>76.283700434827196</v>
      </c>
      <c r="AN1123"/>
      <c r="AO1123"/>
    </row>
    <row r="1124" spans="1:41" ht="15.75" hidden="1" customHeight="1" x14ac:dyDescent="0.45">
      <c r="A1124" s="2" t="s">
        <v>198</v>
      </c>
      <c r="B1124" s="2" t="s">
        <v>122</v>
      </c>
      <c r="C1124" s="2">
        <v>1</v>
      </c>
      <c r="D1124" s="2"/>
      <c r="E1124" s="2" t="s">
        <v>85</v>
      </c>
      <c r="F1124" s="2" t="s">
        <v>84</v>
      </c>
      <c r="G1124" s="2" t="s">
        <v>86</v>
      </c>
      <c r="H1124" s="2">
        <v>0.1</v>
      </c>
      <c r="I1124" s="2">
        <v>3539</v>
      </c>
      <c r="J1124" s="2">
        <v>0.11</v>
      </c>
      <c r="K1124" s="2">
        <v>0</v>
      </c>
      <c r="L1124" s="2"/>
      <c r="M1124" s="2">
        <v>0</v>
      </c>
      <c r="N1124" s="2">
        <v>37.1666666666666</v>
      </c>
      <c r="O1124" s="2">
        <v>2.7284509239575399</v>
      </c>
      <c r="P1124" s="2">
        <v>0</v>
      </c>
      <c r="Q1124" s="2">
        <v>0</v>
      </c>
      <c r="R1124" s="2">
        <v>0</v>
      </c>
      <c r="S1124" s="2">
        <v>0</v>
      </c>
      <c r="T1124" s="2">
        <v>20.677110698411099</v>
      </c>
      <c r="U1124" s="2">
        <v>0.78360449649923203</v>
      </c>
      <c r="V1124" s="2">
        <v>0</v>
      </c>
      <c r="W1124" s="2">
        <v>0</v>
      </c>
      <c r="X1124" s="2">
        <v>0.71729582146111104</v>
      </c>
      <c r="Y1124" s="2">
        <v>0.68065628101271303</v>
      </c>
      <c r="Z1124" s="7">
        <v>23.391444360475202</v>
      </c>
      <c r="AA1124" s="2">
        <v>1.7795544545158499</v>
      </c>
      <c r="AB1124" s="7">
        <v>0</v>
      </c>
      <c r="AC1124" s="2">
        <v>0</v>
      </c>
      <c r="AD1124" s="2">
        <v>193.124311031747</v>
      </c>
      <c r="AE1124" s="2">
        <v>94.815210630435402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185.05902718220801</v>
      </c>
      <c r="AM1124" s="2">
        <v>191.46343253141401</v>
      </c>
      <c r="AN1124"/>
      <c r="AO1124"/>
    </row>
    <row r="1125" spans="1:41" ht="15.75" hidden="1" customHeight="1" x14ac:dyDescent="0.45">
      <c r="A1125" s="2" t="s">
        <v>198</v>
      </c>
      <c r="B1125" s="2" t="s">
        <v>122</v>
      </c>
      <c r="C1125" s="2">
        <v>3</v>
      </c>
      <c r="D1125" s="2"/>
      <c r="E1125" s="2" t="s">
        <v>85</v>
      </c>
      <c r="F1125" s="2" t="s">
        <v>84</v>
      </c>
      <c r="G1125" s="2" t="s">
        <v>86</v>
      </c>
      <c r="H1125" s="2">
        <v>0.1</v>
      </c>
      <c r="I1125" s="2">
        <v>3539</v>
      </c>
      <c r="J1125" s="2">
        <v>0.11</v>
      </c>
      <c r="K1125" s="2">
        <v>0</v>
      </c>
      <c r="L1125" s="2"/>
      <c r="M1125" s="2">
        <v>0</v>
      </c>
      <c r="N1125" s="2">
        <v>43.4444444444444</v>
      </c>
      <c r="O1125" s="2">
        <v>4.2633233428777197</v>
      </c>
      <c r="P1125" s="2">
        <v>0</v>
      </c>
      <c r="Q1125" s="2">
        <v>0</v>
      </c>
      <c r="R1125" s="2">
        <v>8.0515297905555505E-2</v>
      </c>
      <c r="S1125" s="2">
        <v>0.13945658675896599</v>
      </c>
      <c r="T1125" s="2">
        <v>25.191505442938801</v>
      </c>
      <c r="U1125" s="2">
        <v>1.8550590020801501</v>
      </c>
      <c r="V1125" s="2">
        <v>0</v>
      </c>
      <c r="W1125" s="2">
        <v>0</v>
      </c>
      <c r="X1125" s="2">
        <v>0.97738123324444404</v>
      </c>
      <c r="Y1125" s="2">
        <v>0.75405922755437205</v>
      </c>
      <c r="Z1125" s="7">
        <v>27.330240441444602</v>
      </c>
      <c r="AA1125" s="2">
        <v>2.5488091328496898</v>
      </c>
      <c r="AB1125" s="7">
        <v>0</v>
      </c>
      <c r="AC1125" s="2">
        <v>0</v>
      </c>
      <c r="AD1125" s="2">
        <v>232.51007119567501</v>
      </c>
      <c r="AE1125" s="2">
        <v>104.19877520574499</v>
      </c>
      <c r="AF1125" s="2">
        <v>0</v>
      </c>
      <c r="AG1125" s="2">
        <v>0</v>
      </c>
      <c r="AH1125" s="2">
        <v>29.854042736158402</v>
      </c>
      <c r="AI1125" s="2">
        <v>51.708718830358897</v>
      </c>
      <c r="AJ1125" s="2">
        <v>0</v>
      </c>
      <c r="AK1125" s="2">
        <v>0</v>
      </c>
      <c r="AL1125" s="2">
        <v>253.760030756579</v>
      </c>
      <c r="AM1125" s="2">
        <v>194.892860475227</v>
      </c>
      <c r="AN1125"/>
      <c r="AO1125"/>
    </row>
    <row r="1126" spans="1:41" ht="15.75" hidden="1" customHeight="1" x14ac:dyDescent="0.45">
      <c r="A1126" s="2" t="s">
        <v>198</v>
      </c>
      <c r="B1126" s="2" t="s">
        <v>122</v>
      </c>
      <c r="C1126" s="2">
        <v>10</v>
      </c>
      <c r="D1126" s="2"/>
      <c r="E1126" s="2" t="s">
        <v>85</v>
      </c>
      <c r="F1126" s="2" t="s">
        <v>84</v>
      </c>
      <c r="G1126" s="2" t="s">
        <v>86</v>
      </c>
      <c r="H1126" s="2">
        <v>0.1</v>
      </c>
      <c r="I1126" s="2">
        <v>3539</v>
      </c>
      <c r="J1126" s="2">
        <v>0.11</v>
      </c>
      <c r="K1126" s="2">
        <v>0</v>
      </c>
      <c r="L1126" s="2"/>
      <c r="M1126" s="2">
        <v>0</v>
      </c>
      <c r="N1126" s="2">
        <v>42.1111111111111</v>
      </c>
      <c r="O1126" s="2">
        <v>1.8358568490955001</v>
      </c>
      <c r="P1126" s="2">
        <v>0.40429686645000001</v>
      </c>
      <c r="Q1126" s="2">
        <v>0.13971097288453899</v>
      </c>
      <c r="R1126" s="2">
        <v>0</v>
      </c>
      <c r="S1126" s="2">
        <v>0</v>
      </c>
      <c r="T1126" s="2">
        <v>22.350134358461101</v>
      </c>
      <c r="U1126" s="2">
        <v>3.3312846490054202</v>
      </c>
      <c r="V1126" s="2">
        <v>0</v>
      </c>
      <c r="W1126" s="2">
        <v>0</v>
      </c>
      <c r="X1126" s="2">
        <v>1.08416250574999</v>
      </c>
      <c r="Y1126" s="2">
        <v>9.3813877689113798E-2</v>
      </c>
      <c r="Z1126" s="7">
        <v>25.576341032642901</v>
      </c>
      <c r="AA1126" s="2">
        <v>1.47509235616867</v>
      </c>
      <c r="AB1126" s="7">
        <v>0</v>
      </c>
      <c r="AC1126" s="2">
        <v>0</v>
      </c>
      <c r="AD1126" s="2">
        <v>279.76523688457002</v>
      </c>
      <c r="AE1126" s="2">
        <v>65.521447438844206</v>
      </c>
      <c r="AF1126" s="2">
        <v>244.69076339502499</v>
      </c>
      <c r="AG1126" s="2">
        <v>91.103262876950495</v>
      </c>
      <c r="AH1126" s="2">
        <v>0</v>
      </c>
      <c r="AI1126" s="2">
        <v>0</v>
      </c>
      <c r="AJ1126" s="2">
        <v>0</v>
      </c>
      <c r="AK1126" s="2">
        <v>0</v>
      </c>
      <c r="AL1126" s="2">
        <v>281.798468587336</v>
      </c>
      <c r="AM1126" s="2">
        <v>38.213557674244697</v>
      </c>
      <c r="AN1126"/>
      <c r="AO1126"/>
    </row>
    <row r="1127" spans="1:41" ht="15.75" hidden="1" customHeight="1" x14ac:dyDescent="0.45">
      <c r="A1127" s="2" t="s">
        <v>199</v>
      </c>
      <c r="B1127" s="2" t="s">
        <v>200</v>
      </c>
      <c r="C1127" s="2">
        <v>3.0000000000000001E-3</v>
      </c>
      <c r="D1127" s="2"/>
      <c r="E1127" s="2" t="s">
        <v>109</v>
      </c>
      <c r="F1127" s="2" t="s">
        <v>84</v>
      </c>
      <c r="H1127" s="2">
        <v>3</v>
      </c>
      <c r="J1127" s="2">
        <v>3</v>
      </c>
      <c r="K1127" s="2">
        <v>32.7777777777777</v>
      </c>
      <c r="L1127" s="2"/>
      <c r="M1127" s="2">
        <v>6.5113860389434404</v>
      </c>
      <c r="N1127" s="2">
        <v>125.444444444444</v>
      </c>
      <c r="O1127" s="2">
        <v>22.343488570084101</v>
      </c>
      <c r="P1127" s="2">
        <v>15.8888888888888</v>
      </c>
      <c r="Q1127" s="2">
        <v>1.49381440663872</v>
      </c>
      <c r="R1127" s="2">
        <v>1.8333333333333299</v>
      </c>
      <c r="S1127" s="2">
        <v>0.44095855184409699</v>
      </c>
      <c r="T1127" s="2">
        <v>7.3888888888888804</v>
      </c>
      <c r="U1127" s="2">
        <v>4.0219306217196102</v>
      </c>
      <c r="V1127" s="2">
        <v>0.55555555555555503</v>
      </c>
      <c r="W1127" s="2">
        <v>0.41943524640392998</v>
      </c>
      <c r="X1127" s="2">
        <v>2.38888888888888</v>
      </c>
      <c r="Y1127" s="2">
        <v>9.6225044864929707E-2</v>
      </c>
      <c r="Z1127" s="7">
        <v>87.375447421882498</v>
      </c>
      <c r="AA1127" s="2">
        <v>15.5628439300189</v>
      </c>
      <c r="AB1127" s="7">
        <v>92.1875</v>
      </c>
      <c r="AC1127" s="2">
        <v>18.313273234528399</v>
      </c>
      <c r="AD1127" s="2">
        <v>151.136363636363</v>
      </c>
      <c r="AE1127" s="2">
        <v>82.266762716992105</v>
      </c>
      <c r="AF1127" s="2">
        <v>94.701986754966796</v>
      </c>
      <c r="AG1127" s="2">
        <v>8.9035295759923994</v>
      </c>
      <c r="AH1127" s="2">
        <v>78.571428571428498</v>
      </c>
      <c r="AI1127" s="2">
        <v>18.898223650461301</v>
      </c>
      <c r="AJ1127" s="2">
        <v>90.909090909090907</v>
      </c>
      <c r="AK1127" s="2">
        <v>68.634858502461299</v>
      </c>
      <c r="AL1127" s="2">
        <v>106.172839506172</v>
      </c>
      <c r="AM1127" s="2">
        <v>4.2766686606635398</v>
      </c>
      <c r="AN1127"/>
      <c r="AO1127"/>
    </row>
    <row r="1128" spans="1:41" ht="15.75" hidden="1" customHeight="1" x14ac:dyDescent="0.45">
      <c r="A1128" s="2" t="s">
        <v>199</v>
      </c>
      <c r="B1128" s="2" t="s">
        <v>200</v>
      </c>
      <c r="C1128" s="2">
        <v>0.01</v>
      </c>
      <c r="D1128" s="2"/>
      <c r="E1128" s="2" t="s">
        <v>109</v>
      </c>
      <c r="F1128" s="2" t="s">
        <v>84</v>
      </c>
      <c r="H1128" s="2">
        <v>3</v>
      </c>
      <c r="J1128" s="2">
        <v>3</v>
      </c>
      <c r="K1128" s="2">
        <v>37.8888888888888</v>
      </c>
      <c r="L1128" s="2"/>
      <c r="M1128" s="2">
        <v>2.8398617598070302</v>
      </c>
      <c r="N1128" s="2">
        <v>139.277777777777</v>
      </c>
      <c r="O1128" s="2">
        <v>8.8574095368627894</v>
      </c>
      <c r="P1128" s="2">
        <v>20.0555555555555</v>
      </c>
      <c r="Q1128" s="2">
        <v>4.7267951714235101</v>
      </c>
      <c r="R1128" s="2">
        <v>1.1111111111111101</v>
      </c>
      <c r="S1128" s="2">
        <v>1.2729376930432801</v>
      </c>
      <c r="T1128" s="2">
        <v>18.4444444444444</v>
      </c>
      <c r="U1128" s="2">
        <v>24.4616101344611</v>
      </c>
      <c r="V1128" s="2">
        <v>1.6666666666666601</v>
      </c>
      <c r="W1128" s="2">
        <v>2.0480342879074098</v>
      </c>
      <c r="X1128" s="2">
        <v>1.2222222222222201</v>
      </c>
      <c r="Y1128" s="2">
        <v>1.1706281947614099</v>
      </c>
      <c r="Z1128" s="7">
        <v>97.010738125181305</v>
      </c>
      <c r="AA1128" s="2">
        <v>6.1694252360851403</v>
      </c>
      <c r="AB1128" s="7">
        <v>106.5625</v>
      </c>
      <c r="AC1128" s="2">
        <v>7.9871111994572903</v>
      </c>
      <c r="AD1128" s="2">
        <v>377.27272727272702</v>
      </c>
      <c r="AE1128" s="2">
        <v>500.35111638670401</v>
      </c>
      <c r="AF1128" s="2">
        <v>119.536423841059</v>
      </c>
      <c r="AG1128" s="2">
        <v>28.1729513528553</v>
      </c>
      <c r="AH1128" s="2">
        <v>47.619047619047599</v>
      </c>
      <c r="AI1128" s="2">
        <v>54.5544725589981</v>
      </c>
      <c r="AJ1128" s="2">
        <v>272.72727272727201</v>
      </c>
      <c r="AK1128" s="2">
        <v>335.132883475759</v>
      </c>
      <c r="AL1128" s="2">
        <v>54.320987654320902</v>
      </c>
      <c r="AM1128" s="2">
        <v>52.027919767173998</v>
      </c>
      <c r="AN1128"/>
      <c r="AO1128"/>
    </row>
    <row r="1129" spans="1:41" ht="15.75" hidden="1" customHeight="1" x14ac:dyDescent="0.45">
      <c r="A1129" s="2" t="s">
        <v>199</v>
      </c>
      <c r="B1129" s="2" t="s">
        <v>200</v>
      </c>
      <c r="C1129" s="2">
        <v>0.03</v>
      </c>
      <c r="D1129" s="2"/>
      <c r="E1129" s="2" t="s">
        <v>109</v>
      </c>
      <c r="F1129" s="2" t="s">
        <v>84</v>
      </c>
      <c r="H1129" s="2">
        <v>3</v>
      </c>
      <c r="J1129" s="2">
        <v>3</v>
      </c>
      <c r="K1129" s="2">
        <v>38</v>
      </c>
      <c r="L1129" s="2"/>
      <c r="M1129" s="2">
        <v>7.2648315725677897</v>
      </c>
      <c r="N1129" s="2">
        <v>141.833333333333</v>
      </c>
      <c r="O1129" s="2">
        <v>19.367785395111799</v>
      </c>
      <c r="P1129" s="2">
        <v>17.6111111111111</v>
      </c>
      <c r="Q1129" s="2">
        <v>2.6943012562182602</v>
      </c>
      <c r="R1129" s="2">
        <v>2.6111111111111098</v>
      </c>
      <c r="S1129" s="2">
        <v>0.50917507721731703</v>
      </c>
      <c r="T1129" s="2">
        <v>6.1111111111111098</v>
      </c>
      <c r="U1129" s="2">
        <v>1.5485955405295899</v>
      </c>
      <c r="V1129" s="2">
        <v>0.88888888888888895</v>
      </c>
      <c r="W1129" s="2">
        <v>9.6225044864937798E-2</v>
      </c>
      <c r="X1129" s="2">
        <v>1.8333333333333299</v>
      </c>
      <c r="Y1129" s="2">
        <v>0.28867513459480998</v>
      </c>
      <c r="Z1129" s="7">
        <v>98.790751668762695</v>
      </c>
      <c r="AA1129" s="2">
        <v>13.4901862092294</v>
      </c>
      <c r="AB1129" s="7">
        <v>106.875</v>
      </c>
      <c r="AC1129" s="2">
        <v>20.432338797846899</v>
      </c>
      <c r="AD1129" s="2">
        <v>125</v>
      </c>
      <c r="AE1129" s="2">
        <v>31.675817874468901</v>
      </c>
      <c r="AF1129" s="2">
        <v>104.966887417218</v>
      </c>
      <c r="AG1129" s="2">
        <v>16.0587492092479</v>
      </c>
      <c r="AH1129" s="2">
        <v>111.904761904761</v>
      </c>
      <c r="AI1129" s="2">
        <v>21.821789023599301</v>
      </c>
      <c r="AJ1129" s="2">
        <v>145.45454545454501</v>
      </c>
      <c r="AK1129" s="2">
        <v>15.7459164324443</v>
      </c>
      <c r="AL1129" s="2">
        <v>81.481481481481495</v>
      </c>
      <c r="AM1129" s="2">
        <v>12.8300059819915</v>
      </c>
      <c r="AN1129"/>
      <c r="AO1129"/>
    </row>
    <row r="1130" spans="1:41" ht="15.75" hidden="1" customHeight="1" x14ac:dyDescent="0.45">
      <c r="A1130" s="2" t="s">
        <v>199</v>
      </c>
      <c r="B1130" s="2" t="s">
        <v>200</v>
      </c>
      <c r="C1130" s="2">
        <v>0.1</v>
      </c>
      <c r="D1130" s="2"/>
      <c r="E1130" s="2" t="s">
        <v>109</v>
      </c>
      <c r="F1130" s="2" t="s">
        <v>84</v>
      </c>
      <c r="H1130" s="2">
        <v>3</v>
      </c>
      <c r="J1130" s="2">
        <v>3</v>
      </c>
      <c r="K1130" s="2">
        <v>34.4444444444444</v>
      </c>
      <c r="L1130" s="2"/>
      <c r="M1130" s="2">
        <v>3.8345408726083599</v>
      </c>
      <c r="N1130" s="2">
        <v>125.555555555555</v>
      </c>
      <c r="O1130" s="2">
        <v>14.9167442580227</v>
      </c>
      <c r="P1130" s="2">
        <v>17.5</v>
      </c>
      <c r="Q1130" s="2">
        <v>2.2047927592205099</v>
      </c>
      <c r="R1130" s="2">
        <v>2.7777777777777701</v>
      </c>
      <c r="S1130" s="2">
        <v>0.83887049280785997</v>
      </c>
      <c r="T1130" s="2">
        <v>6.1111111111111098</v>
      </c>
      <c r="U1130" s="2">
        <v>0.48112522432469401</v>
      </c>
      <c r="V1130" s="2">
        <v>0.66666666666666596</v>
      </c>
      <c r="W1130" s="2">
        <v>0.16666666666666599</v>
      </c>
      <c r="X1130" s="2">
        <v>2.38888888888888</v>
      </c>
      <c r="Y1130" s="2">
        <v>0.63098981620002903</v>
      </c>
      <c r="Z1130" s="7">
        <v>87.452839315081704</v>
      </c>
      <c r="AA1130" s="2">
        <v>10.3899157064684</v>
      </c>
      <c r="AB1130" s="7">
        <v>96.875</v>
      </c>
      <c r="AC1130" s="2">
        <v>10.784646204211001</v>
      </c>
      <c r="AD1130" s="2">
        <v>124.99999999999901</v>
      </c>
      <c r="AE1130" s="2">
        <v>9.8411977702778497</v>
      </c>
      <c r="AF1130" s="2">
        <v>104.304635761589</v>
      </c>
      <c r="AG1130" s="2">
        <v>13.141148896016199</v>
      </c>
      <c r="AH1130" s="2">
        <v>119.04761904761899</v>
      </c>
      <c r="AI1130" s="2">
        <v>35.951592548908202</v>
      </c>
      <c r="AJ1130" s="2">
        <v>109.09090909090899</v>
      </c>
      <c r="AK1130" s="2">
        <v>27.272727272727199</v>
      </c>
      <c r="AL1130" s="2">
        <v>106.172839506172</v>
      </c>
      <c r="AM1130" s="2">
        <v>28.0439918311124</v>
      </c>
      <c r="AN1130"/>
      <c r="AO1130"/>
    </row>
    <row r="1131" spans="1:41" ht="15.75" hidden="1" customHeight="1" x14ac:dyDescent="0.45">
      <c r="A1131" s="2" t="s">
        <v>199</v>
      </c>
      <c r="B1131" s="2" t="s">
        <v>200</v>
      </c>
      <c r="C1131" s="2">
        <v>0.3</v>
      </c>
      <c r="D1131" s="2"/>
      <c r="E1131" s="2" t="s">
        <v>109</v>
      </c>
      <c r="F1131" s="2" t="s">
        <v>84</v>
      </c>
      <c r="H1131" s="2">
        <v>3</v>
      </c>
      <c r="J1131" s="2">
        <v>3</v>
      </c>
      <c r="K1131" s="2">
        <v>34.1666666666666</v>
      </c>
      <c r="L1131" s="2"/>
      <c r="M1131" s="2">
        <v>2.8915585954828602</v>
      </c>
      <c r="N1131" s="2">
        <v>133.666666666666</v>
      </c>
      <c r="O1131" s="2">
        <v>6.20707481651199</v>
      </c>
      <c r="P1131" s="2">
        <v>15.8333333333333</v>
      </c>
      <c r="Q1131" s="2">
        <v>0.72648315725677404</v>
      </c>
      <c r="R1131" s="2">
        <v>2.88888888888888</v>
      </c>
      <c r="S1131" s="2">
        <v>0.97657754618038495</v>
      </c>
      <c r="T1131" s="2">
        <v>6.4444444444444402</v>
      </c>
      <c r="U1131" s="2">
        <v>0.67357531405454596</v>
      </c>
      <c r="V1131" s="2">
        <v>0.55555555555555503</v>
      </c>
      <c r="W1131" s="2">
        <v>0.19245008972987501</v>
      </c>
      <c r="X1131" s="2">
        <v>2.7777777777777701</v>
      </c>
      <c r="Y1131" s="2">
        <v>1.0844011831079501</v>
      </c>
      <c r="Z1131" s="7">
        <v>93.102447518622398</v>
      </c>
      <c r="AA1131" s="2">
        <v>4.3233954415097502</v>
      </c>
      <c r="AB1131" s="7">
        <v>96.09375</v>
      </c>
      <c r="AC1131" s="2">
        <v>8.1325085497955598</v>
      </c>
      <c r="AD1131" s="2">
        <v>131.81818181818099</v>
      </c>
      <c r="AE1131" s="2">
        <v>13.7776768783884</v>
      </c>
      <c r="AF1131" s="2">
        <v>94.370860927152293</v>
      </c>
      <c r="AG1131" s="2">
        <v>4.3300320631198401</v>
      </c>
      <c r="AH1131" s="2">
        <v>123.809523809523</v>
      </c>
      <c r="AI1131" s="2">
        <v>41.853323407730699</v>
      </c>
      <c r="AJ1131" s="2">
        <v>90.909090909090907</v>
      </c>
      <c r="AK1131" s="2">
        <v>31.4918328648886</v>
      </c>
      <c r="AL1131" s="2">
        <v>123.456790123456</v>
      </c>
      <c r="AM1131" s="2">
        <v>48.195608138131199</v>
      </c>
      <c r="AN1131"/>
      <c r="AO1131"/>
    </row>
    <row r="1132" spans="1:41" ht="15.75" hidden="1" customHeight="1" x14ac:dyDescent="0.45">
      <c r="A1132" s="2" t="s">
        <v>199</v>
      </c>
      <c r="B1132" s="2" t="s">
        <v>200</v>
      </c>
      <c r="C1132" s="2">
        <v>1</v>
      </c>
      <c r="D1132" s="2"/>
      <c r="E1132" s="2" t="s">
        <v>109</v>
      </c>
      <c r="F1132" s="2" t="s">
        <v>84</v>
      </c>
      <c r="H1132" s="2">
        <v>3</v>
      </c>
      <c r="J1132" s="2">
        <v>3</v>
      </c>
      <c r="K1132" s="2">
        <v>30.7777777777777</v>
      </c>
      <c r="L1132" s="2"/>
      <c r="M1132" s="2">
        <v>3.3388842669592198</v>
      </c>
      <c r="N1132" s="2">
        <v>110.222222222222</v>
      </c>
      <c r="O1132" s="2">
        <v>27.513801250631602</v>
      </c>
      <c r="P1132" s="2">
        <v>17.2222222222222</v>
      </c>
      <c r="Q1132" s="2">
        <v>2.5837813231629898</v>
      </c>
      <c r="R1132" s="2">
        <v>2.2777777777777701</v>
      </c>
      <c r="S1132" s="2">
        <v>1.1097213530798899</v>
      </c>
      <c r="T1132" s="2">
        <v>6.6666666666666599</v>
      </c>
      <c r="U1132" s="2">
        <v>1.1666666666666601</v>
      </c>
      <c r="V1132" s="2">
        <v>0.16666666666666599</v>
      </c>
      <c r="W1132" s="2">
        <v>0.16666666666666599</v>
      </c>
      <c r="X1132" s="2">
        <v>2.8333333333333299</v>
      </c>
      <c r="Y1132" s="2">
        <v>0.16666666666667401</v>
      </c>
      <c r="Z1132" s="7">
        <v>76.772758053593805</v>
      </c>
      <c r="AA1132" s="2">
        <v>19.164106511032902</v>
      </c>
      <c r="AB1132" s="7">
        <v>86.5625</v>
      </c>
      <c r="AC1132" s="2">
        <v>9.3906120008228093</v>
      </c>
      <c r="AD1132" s="2">
        <v>136.363636363636</v>
      </c>
      <c r="AE1132" s="2">
        <v>23.863636363636299</v>
      </c>
      <c r="AF1132" s="2">
        <v>102.649006622516</v>
      </c>
      <c r="AG1132" s="2">
        <v>15.400021131435</v>
      </c>
      <c r="AH1132" s="2">
        <v>97.619047619047606</v>
      </c>
      <c r="AI1132" s="2">
        <v>47.559486560567002</v>
      </c>
      <c r="AJ1132" s="2">
        <v>27.272727272727199</v>
      </c>
      <c r="AK1132" s="2">
        <v>27.272727272727199</v>
      </c>
      <c r="AL1132" s="2">
        <v>125.925925925925</v>
      </c>
      <c r="AM1132" s="2">
        <v>7.4074074074077396</v>
      </c>
      <c r="AN1132"/>
      <c r="AO1132"/>
    </row>
    <row r="1133" spans="1:41" ht="15.75" hidden="1" customHeight="1" x14ac:dyDescent="0.45">
      <c r="A1133" s="2" t="s">
        <v>199</v>
      </c>
      <c r="B1133" s="2" t="s">
        <v>200</v>
      </c>
      <c r="C1133" s="2">
        <v>3</v>
      </c>
      <c r="D1133" s="2"/>
      <c r="E1133" s="2" t="s">
        <v>109</v>
      </c>
      <c r="F1133" s="2" t="s">
        <v>84</v>
      </c>
      <c r="H1133" s="2">
        <v>3</v>
      </c>
      <c r="J1133" s="2">
        <v>3</v>
      </c>
      <c r="K1133" s="2">
        <v>23.2222222222222</v>
      </c>
      <c r="L1133" s="2"/>
      <c r="M1133" s="2">
        <v>5.0944777655520097</v>
      </c>
      <c r="N1133" s="2">
        <v>90.1111111111111</v>
      </c>
      <c r="O1133" s="2">
        <v>37.339409227804801</v>
      </c>
      <c r="P1133" s="2">
        <v>16.4444444444444</v>
      </c>
      <c r="Q1133" s="2">
        <v>2.0705161281760001</v>
      </c>
      <c r="R1133" s="2">
        <v>1.2222222222222201</v>
      </c>
      <c r="S1133" s="2">
        <v>1.1097213530798899</v>
      </c>
      <c r="T1133" s="2">
        <v>8.3888888888888893</v>
      </c>
      <c r="U1133" s="2">
        <v>0.19245008972980401</v>
      </c>
      <c r="V1133" s="2">
        <v>0.16666666666666599</v>
      </c>
      <c r="W1133" s="2">
        <v>0.16666666666666599</v>
      </c>
      <c r="X1133" s="2">
        <v>3.88888888888888</v>
      </c>
      <c r="Y1133" s="2">
        <v>1.22851913263866</v>
      </c>
      <c r="Z1133" s="7">
        <v>62.764825384540899</v>
      </c>
      <c r="AA1133" s="2">
        <v>26.007908139711201</v>
      </c>
      <c r="AB1133" s="7">
        <v>65.3125</v>
      </c>
      <c r="AC1133" s="2">
        <v>14.328218715615</v>
      </c>
      <c r="AD1133" s="2">
        <v>171.59090909090901</v>
      </c>
      <c r="AE1133" s="2">
        <v>3.93647910810963</v>
      </c>
      <c r="AF1133" s="2">
        <v>98.013245033112497</v>
      </c>
      <c r="AG1133" s="2">
        <v>12.340824605022499</v>
      </c>
      <c r="AH1133" s="2">
        <v>52.380952380952301</v>
      </c>
      <c r="AI1133" s="2">
        <v>47.559486560567102</v>
      </c>
      <c r="AJ1133" s="2">
        <v>27.272727272727199</v>
      </c>
      <c r="AK1133" s="2">
        <v>27.272727272727199</v>
      </c>
      <c r="AL1133" s="2">
        <v>172.83950617283901</v>
      </c>
      <c r="AM1133" s="2">
        <v>54.600850339496198</v>
      </c>
      <c r="AN1133"/>
      <c r="AO1133"/>
    </row>
    <row r="1134" spans="1:41" ht="15.75" hidden="1" customHeight="1" x14ac:dyDescent="0.45">
      <c r="A1134" s="2" t="s">
        <v>199</v>
      </c>
      <c r="B1134" s="2" t="s">
        <v>200</v>
      </c>
      <c r="C1134" s="2">
        <v>10</v>
      </c>
      <c r="D1134" s="2"/>
      <c r="E1134" s="2" t="s">
        <v>109</v>
      </c>
      <c r="F1134" s="2" t="s">
        <v>84</v>
      </c>
      <c r="H1134" s="2">
        <v>3</v>
      </c>
      <c r="J1134" s="2">
        <v>3</v>
      </c>
      <c r="K1134" s="2">
        <v>8.7777777777777697</v>
      </c>
      <c r="L1134" s="2"/>
      <c r="M1134" s="2">
        <v>2.5513250007122199</v>
      </c>
      <c r="N1134" s="2">
        <v>23.8888888888888</v>
      </c>
      <c r="O1134" s="2">
        <v>18.043414721576799</v>
      </c>
      <c r="P1134" s="2">
        <v>16.3333333333333</v>
      </c>
      <c r="Q1134" s="2">
        <v>5.7518113089124698</v>
      </c>
      <c r="R1134" s="2">
        <v>0.38888888888888801</v>
      </c>
      <c r="S1134" s="2">
        <v>0.67357531405456295</v>
      </c>
      <c r="T1134" s="2">
        <v>22.5</v>
      </c>
      <c r="U1134" s="2">
        <v>6.7638746292343397</v>
      </c>
      <c r="V1134" s="2">
        <v>0.44444444444444398</v>
      </c>
      <c r="W1134" s="2">
        <v>0.50917507721731503</v>
      </c>
      <c r="X1134" s="2">
        <v>7.3333333333333304</v>
      </c>
      <c r="Y1134" s="2">
        <v>3.4439963866286298</v>
      </c>
      <c r="Z1134" s="7">
        <v>16.6392570378252</v>
      </c>
      <c r="AA1134" s="2">
        <v>12.567726225728199</v>
      </c>
      <c r="AB1134" s="7">
        <v>24.6875</v>
      </c>
      <c r="AC1134" s="2">
        <v>7.1756015645031397</v>
      </c>
      <c r="AD1134" s="2">
        <v>460.22727272727201</v>
      </c>
      <c r="AE1134" s="2">
        <v>138.35198105251999</v>
      </c>
      <c r="AF1134" s="2">
        <v>97.350993377483405</v>
      </c>
      <c r="AG1134" s="2">
        <v>34.282319059743202</v>
      </c>
      <c r="AH1134" s="2">
        <v>16.6666666666666</v>
      </c>
      <c r="AI1134" s="2">
        <v>28.867513459481199</v>
      </c>
      <c r="AJ1134" s="2">
        <v>72.727272727272705</v>
      </c>
      <c r="AK1134" s="2">
        <v>83.319558090106199</v>
      </c>
      <c r="AL1134" s="2">
        <v>325.92592592592501</v>
      </c>
      <c r="AM1134" s="2">
        <v>153.06650607238299</v>
      </c>
      <c r="AN1134"/>
      <c r="AO1134"/>
    </row>
    <row r="1135" spans="1:41" ht="15.75" hidden="1" customHeight="1" x14ac:dyDescent="0.45">
      <c r="A1135" s="2" t="s">
        <v>199</v>
      </c>
      <c r="B1135" s="2" t="s">
        <v>200</v>
      </c>
      <c r="C1135" s="2">
        <v>3.0000000000000001E-3</v>
      </c>
      <c r="D1135" s="2"/>
      <c r="E1135" s="2" t="s">
        <v>109</v>
      </c>
      <c r="F1135" s="2" t="s">
        <v>84</v>
      </c>
      <c r="H1135" s="2">
        <v>0.8</v>
      </c>
      <c r="J1135" s="2">
        <v>0.8</v>
      </c>
      <c r="K1135" s="2">
        <v>33.7222222222222</v>
      </c>
      <c r="L1135" s="2"/>
      <c r="M1135" s="2">
        <v>3.5642255405211398</v>
      </c>
      <c r="N1135" s="2">
        <v>229.666666666666</v>
      </c>
      <c r="O1135" s="2">
        <v>22.960715242440699</v>
      </c>
      <c r="P1135" s="2">
        <v>13.5555555555555</v>
      </c>
      <c r="Q1135" s="2">
        <v>1.1706281947614099</v>
      </c>
      <c r="R1135" s="2">
        <v>2.05555555555555</v>
      </c>
      <c r="S1135" s="2">
        <v>0.67357531405456195</v>
      </c>
      <c r="T1135" s="2">
        <v>11.3888888888888</v>
      </c>
      <c r="U1135" s="2">
        <v>0.91792842454767698</v>
      </c>
      <c r="V1135" s="2">
        <v>0.94444444444444398</v>
      </c>
      <c r="W1135" s="2">
        <v>0.38490017945975002</v>
      </c>
      <c r="X1135" s="2">
        <v>3.4999999999999898</v>
      </c>
      <c r="Y1135" s="2">
        <v>0.5</v>
      </c>
      <c r="Z1135" s="7">
        <v>96.9114458184375</v>
      </c>
      <c r="AA1135" s="2">
        <v>9.6886332852120702</v>
      </c>
      <c r="AB1135" s="7">
        <v>96.272799365582898</v>
      </c>
      <c r="AC1135" s="2">
        <v>10.1754258095766</v>
      </c>
      <c r="AD1135" s="2">
        <v>142.85714285714201</v>
      </c>
      <c r="AE1135" s="2">
        <v>11.5140847678454</v>
      </c>
      <c r="AF1135" s="2">
        <v>97.6</v>
      </c>
      <c r="AG1135" s="2">
        <v>8.4285230022822208</v>
      </c>
      <c r="AH1135" s="2">
        <v>112.977099236641</v>
      </c>
      <c r="AI1135" s="2">
        <v>37.020933291548403</v>
      </c>
      <c r="AJ1135" s="2">
        <v>144.68085106382901</v>
      </c>
      <c r="AK1135" s="2">
        <v>58.963431747025503</v>
      </c>
      <c r="AL1135" s="2">
        <v>91.636363636363598</v>
      </c>
      <c r="AM1135" s="2">
        <v>13.090909090908999</v>
      </c>
      <c r="AN1135"/>
      <c r="AO1135"/>
    </row>
    <row r="1136" spans="1:41" ht="15.75" hidden="1" customHeight="1" x14ac:dyDescent="0.45">
      <c r="A1136" s="2" t="s">
        <v>199</v>
      </c>
      <c r="B1136" s="2" t="s">
        <v>200</v>
      </c>
      <c r="C1136" s="2">
        <v>0.01</v>
      </c>
      <c r="D1136" s="2"/>
      <c r="E1136" s="2" t="s">
        <v>109</v>
      </c>
      <c r="F1136" s="2" t="s">
        <v>84</v>
      </c>
      <c r="H1136" s="2">
        <v>0.8</v>
      </c>
      <c r="J1136" s="2">
        <v>0.8</v>
      </c>
      <c r="K1136" s="2">
        <v>33.9444444444444</v>
      </c>
      <c r="L1136" s="2"/>
      <c r="M1136" s="2">
        <v>0.63098981620012295</v>
      </c>
      <c r="N1136" s="2">
        <v>197.111111111111</v>
      </c>
      <c r="O1136" s="2">
        <v>20.764107208068101</v>
      </c>
      <c r="P1136" s="2">
        <v>15.1111111111111</v>
      </c>
      <c r="Q1136" s="2">
        <v>0.41943524640392799</v>
      </c>
      <c r="R1136" s="2">
        <v>2.55555555555555</v>
      </c>
      <c r="S1136" s="2">
        <v>1.0046189622236099</v>
      </c>
      <c r="T1136" s="2">
        <v>8.05555555555555</v>
      </c>
      <c r="U1136" s="2">
        <v>1.9172704363041499</v>
      </c>
      <c r="V1136" s="2">
        <v>0.55555555555555503</v>
      </c>
      <c r="W1136" s="2">
        <v>0.25458753860865702</v>
      </c>
      <c r="X1136" s="2">
        <v>3.7222222222222201</v>
      </c>
      <c r="Y1136" s="2">
        <v>0.83887049280786197</v>
      </c>
      <c r="Z1136" s="7">
        <v>83.174119439723299</v>
      </c>
      <c r="AA1136" s="2">
        <v>8.7617401335105392</v>
      </c>
      <c r="AB1136" s="7">
        <v>96.907216494845301</v>
      </c>
      <c r="AC1136" s="2">
        <v>1.80139836504397</v>
      </c>
      <c r="AD1136" s="2">
        <v>101.045296167247</v>
      </c>
      <c r="AE1136" s="2">
        <v>24.049385263745499</v>
      </c>
      <c r="AF1136" s="2">
        <v>108.799999999999</v>
      </c>
      <c r="AG1136" s="2">
        <v>3.0199337741082801</v>
      </c>
      <c r="AH1136" s="2">
        <v>140.458015267175</v>
      </c>
      <c r="AI1136" s="2">
        <v>55.215698687099497</v>
      </c>
      <c r="AJ1136" s="2">
        <v>85.106382978723303</v>
      </c>
      <c r="AK1136" s="2">
        <v>39.0006442123901</v>
      </c>
      <c r="AL1136" s="2">
        <v>97.454545454545396</v>
      </c>
      <c r="AM1136" s="2">
        <v>21.9631547207876</v>
      </c>
      <c r="AN1136"/>
      <c r="AO1136"/>
    </row>
    <row r="1137" spans="1:41" ht="15.75" hidden="1" customHeight="1" x14ac:dyDescent="0.45">
      <c r="A1137" s="2" t="s">
        <v>199</v>
      </c>
      <c r="B1137" s="2" t="s">
        <v>200</v>
      </c>
      <c r="C1137" s="2">
        <v>0.03</v>
      </c>
      <c r="D1137" s="2"/>
      <c r="E1137" s="2" t="s">
        <v>109</v>
      </c>
      <c r="F1137" s="2" t="s">
        <v>84</v>
      </c>
      <c r="H1137" s="2">
        <v>0.8</v>
      </c>
      <c r="J1137" s="2">
        <v>0.8</v>
      </c>
      <c r="K1137" s="2">
        <v>33.2222222222222</v>
      </c>
      <c r="L1137" s="2"/>
      <c r="M1137" s="2">
        <v>3.3388842669592802</v>
      </c>
      <c r="N1137" s="2">
        <v>220.388888888888</v>
      </c>
      <c r="O1137" s="2">
        <v>32.386697086121004</v>
      </c>
      <c r="P1137" s="2">
        <v>14.1666666666666</v>
      </c>
      <c r="Q1137" s="2">
        <v>1.32287565553229</v>
      </c>
      <c r="R1137" s="2">
        <v>1.88888888888888</v>
      </c>
      <c r="S1137" s="2">
        <v>0.85526690657448001</v>
      </c>
      <c r="T1137" s="2">
        <v>8.8888888888888893</v>
      </c>
      <c r="U1137" s="2">
        <v>1.2619796324000601</v>
      </c>
      <c r="V1137" s="2">
        <v>0.72222222222222199</v>
      </c>
      <c r="W1137" s="2">
        <v>9.6225044864937201E-2</v>
      </c>
      <c r="X1137" s="2">
        <v>4.1111111111111098</v>
      </c>
      <c r="Y1137" s="2">
        <v>0.75154162547047798</v>
      </c>
      <c r="Z1137" s="7">
        <v>92.996542225868794</v>
      </c>
      <c r="AA1137" s="2">
        <v>13.666073903772499</v>
      </c>
      <c r="AB1137" s="7">
        <v>94.845360824742201</v>
      </c>
      <c r="AC1137" s="2">
        <v>9.5321041721280206</v>
      </c>
      <c r="AD1137" s="2">
        <v>111.49825783972101</v>
      </c>
      <c r="AE1137" s="2">
        <v>15.829709674704601</v>
      </c>
      <c r="AF1137" s="2">
        <v>102</v>
      </c>
      <c r="AG1137" s="2">
        <v>9.5247047198325205</v>
      </c>
      <c r="AH1137" s="2">
        <v>103.816793893129</v>
      </c>
      <c r="AI1137" s="2">
        <v>47.007036086536303</v>
      </c>
      <c r="AJ1137" s="2">
        <v>110.63829787234</v>
      </c>
      <c r="AK1137" s="2">
        <v>14.740857936756299</v>
      </c>
      <c r="AL1137" s="2">
        <v>107.636363636363</v>
      </c>
      <c r="AM1137" s="2">
        <v>19.676726194136101</v>
      </c>
      <c r="AN1137"/>
      <c r="AO1137"/>
    </row>
    <row r="1138" spans="1:41" ht="15.75" hidden="1" customHeight="1" x14ac:dyDescent="0.45">
      <c r="A1138" s="2" t="s">
        <v>199</v>
      </c>
      <c r="B1138" s="2" t="s">
        <v>200</v>
      </c>
      <c r="C1138" s="2">
        <v>0.1</v>
      </c>
      <c r="D1138" s="2"/>
      <c r="E1138" s="2" t="s">
        <v>109</v>
      </c>
      <c r="F1138" s="2" t="s">
        <v>84</v>
      </c>
      <c r="H1138" s="2">
        <v>0.8</v>
      </c>
      <c r="J1138" s="2">
        <v>0.8</v>
      </c>
      <c r="K1138" s="2">
        <v>36.1111111111111</v>
      </c>
      <c r="L1138" s="2"/>
      <c r="M1138" s="2">
        <v>3.42512503151075</v>
      </c>
      <c r="N1138" s="2">
        <v>227.611111111111</v>
      </c>
      <c r="O1138" s="2">
        <v>42.098539606939298</v>
      </c>
      <c r="P1138" s="2">
        <v>11.6111111111111</v>
      </c>
      <c r="Q1138" s="2">
        <v>1.8282758524337901</v>
      </c>
      <c r="R1138" s="2">
        <v>2.6111111111111098</v>
      </c>
      <c r="S1138" s="2">
        <v>0.25458753860865002</v>
      </c>
      <c r="T1138" s="2">
        <v>7.9444444444444402</v>
      </c>
      <c r="U1138" s="2">
        <v>1.10972135307988</v>
      </c>
      <c r="V1138" s="2">
        <v>0.27777777777777701</v>
      </c>
      <c r="W1138" s="2">
        <v>0.25458753860865702</v>
      </c>
      <c r="X1138" s="2">
        <v>3.3333333333333299</v>
      </c>
      <c r="Y1138" s="2">
        <v>0.92796072713833599</v>
      </c>
      <c r="Z1138" s="7">
        <v>96.044071968587005</v>
      </c>
      <c r="AA1138" s="2">
        <v>17.764137910681701</v>
      </c>
      <c r="AB1138" s="7">
        <v>103.092783505154</v>
      </c>
      <c r="AC1138" s="2">
        <v>9.7783109543526603</v>
      </c>
      <c r="AD1138" s="2">
        <v>99.6515679442508</v>
      </c>
      <c r="AE1138" s="2">
        <v>13.9198497250438</v>
      </c>
      <c r="AF1138" s="2">
        <v>83.6</v>
      </c>
      <c r="AG1138" s="2">
        <v>13.1635861375233</v>
      </c>
      <c r="AH1138" s="2">
        <v>143.511450381679</v>
      </c>
      <c r="AI1138" s="2">
        <v>13.9925975418495</v>
      </c>
      <c r="AJ1138" s="2">
        <v>42.553191489361602</v>
      </c>
      <c r="AK1138" s="2">
        <v>39.0006442123901</v>
      </c>
      <c r="AL1138" s="2">
        <v>87.272727272727195</v>
      </c>
      <c r="AM1138" s="2">
        <v>24.295699037803701</v>
      </c>
      <c r="AN1138"/>
      <c r="AO1138"/>
    </row>
    <row r="1139" spans="1:41" ht="15.75" hidden="1" customHeight="1" x14ac:dyDescent="0.45">
      <c r="A1139" s="2" t="s">
        <v>199</v>
      </c>
      <c r="B1139" s="2" t="s">
        <v>200</v>
      </c>
      <c r="C1139" s="2">
        <v>0.3</v>
      </c>
      <c r="D1139" s="2"/>
      <c r="E1139" s="2" t="s">
        <v>109</v>
      </c>
      <c r="F1139" s="2" t="s">
        <v>84</v>
      </c>
      <c r="H1139" s="2">
        <v>0.8</v>
      </c>
      <c r="J1139" s="2">
        <v>0.8</v>
      </c>
      <c r="K1139" s="2">
        <v>27.5</v>
      </c>
      <c r="L1139" s="2"/>
      <c r="M1139" s="2">
        <v>4.0858835573771</v>
      </c>
      <c r="N1139" s="2">
        <v>164.611111111111</v>
      </c>
      <c r="O1139" s="2">
        <v>38.3312801382503</v>
      </c>
      <c r="P1139" s="2">
        <v>13.2222222222222</v>
      </c>
      <c r="Q1139" s="2">
        <v>0.91792842454766099</v>
      </c>
      <c r="R1139" s="2">
        <v>1.7777777777777699</v>
      </c>
      <c r="S1139" s="2">
        <v>0.50917507721731703</v>
      </c>
      <c r="T1139" s="2">
        <v>9.5</v>
      </c>
      <c r="U1139" s="2">
        <v>1.7638342073764</v>
      </c>
      <c r="V1139" s="2">
        <v>0.77777777777777701</v>
      </c>
      <c r="W1139" s="2">
        <v>0.25458753860865702</v>
      </c>
      <c r="X1139" s="2">
        <v>5.7222222222222197</v>
      </c>
      <c r="Y1139" s="2">
        <v>1.49381440663875</v>
      </c>
      <c r="Z1139" s="7">
        <v>69.460235597491604</v>
      </c>
      <c r="AA1139" s="2">
        <v>16.174483795077201</v>
      </c>
      <c r="AB1139" s="7">
        <v>78.509119746233097</v>
      </c>
      <c r="AC1139" s="2">
        <v>11.6646953263739</v>
      </c>
      <c r="AD1139" s="2">
        <v>119.16376306620199</v>
      </c>
      <c r="AE1139" s="2">
        <v>22.124749639564602</v>
      </c>
      <c r="AF1139" s="2">
        <v>95.199999999999903</v>
      </c>
      <c r="AG1139" s="2">
        <v>6.6090846567431596</v>
      </c>
      <c r="AH1139" s="2">
        <v>97.709923664122101</v>
      </c>
      <c r="AI1139" s="2">
        <v>27.985195083699899</v>
      </c>
      <c r="AJ1139" s="2">
        <v>119.148936170212</v>
      </c>
      <c r="AK1139" s="2">
        <v>39.0006442123901</v>
      </c>
      <c r="AL1139" s="2">
        <v>149.81818181818099</v>
      </c>
      <c r="AM1139" s="2">
        <v>39.110777191996398</v>
      </c>
      <c r="AN1139"/>
      <c r="AO1139"/>
    </row>
    <row r="1140" spans="1:41" ht="15.75" hidden="1" customHeight="1" x14ac:dyDescent="0.45">
      <c r="A1140" s="2" t="s">
        <v>199</v>
      </c>
      <c r="B1140" s="2" t="s">
        <v>200</v>
      </c>
      <c r="C1140" s="2">
        <v>1</v>
      </c>
      <c r="D1140" s="2"/>
      <c r="E1140" s="2" t="s">
        <v>109</v>
      </c>
      <c r="F1140" s="2" t="s">
        <v>84</v>
      </c>
      <c r="H1140" s="2">
        <v>0.8</v>
      </c>
      <c r="J1140" s="2">
        <v>0.8</v>
      </c>
      <c r="K1140" s="2">
        <v>15.1666666666666</v>
      </c>
      <c r="L1140" s="2"/>
      <c r="M1140" s="2">
        <v>9.8924775011678001</v>
      </c>
      <c r="N1140" s="2">
        <v>98.1111111111111</v>
      </c>
      <c r="O1140" s="2">
        <v>61.899186256842299</v>
      </c>
      <c r="P1140" s="2">
        <v>9.55555555555555</v>
      </c>
      <c r="Q1140" s="2">
        <v>0.41943524640399499</v>
      </c>
      <c r="R1140" s="2">
        <v>1.05555555555555</v>
      </c>
      <c r="S1140" s="2">
        <v>0.50917507721731503</v>
      </c>
      <c r="T1140" s="2">
        <v>16.7777777777777</v>
      </c>
      <c r="U1140" s="2">
        <v>7.3415358167176503</v>
      </c>
      <c r="V1140" s="2">
        <v>0.66666666666666596</v>
      </c>
      <c r="W1140" s="2">
        <v>0.28867513459481198</v>
      </c>
      <c r="X1140" s="2">
        <v>8.6666666666666607</v>
      </c>
      <c r="Y1140" s="2">
        <v>2.4209731743889802</v>
      </c>
      <c r="Z1140" s="7">
        <v>41.399519428002101</v>
      </c>
      <c r="AA1140" s="2">
        <v>26.1193307770769</v>
      </c>
      <c r="AB1140" s="7">
        <v>43.298969072164901</v>
      </c>
      <c r="AC1140" s="2">
        <v>28.241807299130901</v>
      </c>
      <c r="AD1140" s="2">
        <v>210.45296167247301</v>
      </c>
      <c r="AE1140" s="2">
        <v>92.088951011092405</v>
      </c>
      <c r="AF1140" s="2">
        <v>68.799999999999898</v>
      </c>
      <c r="AG1140" s="2">
        <v>3.0199337741087602</v>
      </c>
      <c r="AH1140" s="2">
        <v>58.015267175572497</v>
      </c>
      <c r="AI1140" s="2">
        <v>27.985195083699701</v>
      </c>
      <c r="AJ1140" s="2">
        <v>102.127659574468</v>
      </c>
      <c r="AK1140" s="2">
        <v>44.222573810269203</v>
      </c>
      <c r="AL1140" s="2">
        <v>226.90909090909099</v>
      </c>
      <c r="AM1140" s="2">
        <v>63.385479474911698</v>
      </c>
      <c r="AN1140"/>
      <c r="AO1140"/>
    </row>
    <row r="1141" spans="1:41" ht="15.75" hidden="1" customHeight="1" x14ac:dyDescent="0.45">
      <c r="A1141" s="2" t="s">
        <v>199</v>
      </c>
      <c r="B1141" s="2" t="s">
        <v>200</v>
      </c>
      <c r="C1141" s="2">
        <v>3</v>
      </c>
      <c r="D1141" s="2"/>
      <c r="E1141" s="2" t="s">
        <v>109</v>
      </c>
      <c r="F1141" s="2" t="s">
        <v>84</v>
      </c>
      <c r="H1141" s="2">
        <v>0.8</v>
      </c>
      <c r="J1141" s="2">
        <v>0.8</v>
      </c>
      <c r="K1141" s="2">
        <v>2.2333333333333298</v>
      </c>
      <c r="L1141" s="2"/>
      <c r="M1141" s="2">
        <v>2.8919428302325301</v>
      </c>
      <c r="N1141" s="2">
        <v>22.2555555555555</v>
      </c>
      <c r="O1141" s="2">
        <v>13.0121453237322</v>
      </c>
      <c r="P1141" s="2">
        <v>7.0777777777777704</v>
      </c>
      <c r="Q1141" s="2">
        <v>5.1268718352241596</v>
      </c>
      <c r="R1141" s="2">
        <v>0.5</v>
      </c>
      <c r="S1141" s="2">
        <v>0.86602540378443804</v>
      </c>
      <c r="T1141" s="2">
        <v>39.066666666666599</v>
      </c>
      <c r="U1141" s="2">
        <v>11.202380699357301</v>
      </c>
      <c r="V1141" s="2">
        <v>0.27777777777777701</v>
      </c>
      <c r="W1141" s="2">
        <v>0.48112522432468802</v>
      </c>
      <c r="X1141" s="2">
        <v>11.8666666666666</v>
      </c>
      <c r="Y1141" s="2">
        <v>0.61101009266080297</v>
      </c>
      <c r="Z1141" s="7">
        <v>9.39108011486843</v>
      </c>
      <c r="AA1141" s="2">
        <v>5.4906784463969904</v>
      </c>
      <c r="AB1141" s="7">
        <v>6.3758921490880196</v>
      </c>
      <c r="AC1141" s="2">
        <v>8.25614130756313</v>
      </c>
      <c r="AD1141" s="2">
        <v>490.03484320557402</v>
      </c>
      <c r="AE1141" s="2">
        <v>140.51766730901099</v>
      </c>
      <c r="AF1141" s="2">
        <v>50.959999999999901</v>
      </c>
      <c r="AG1141" s="2">
        <v>36.913477213613902</v>
      </c>
      <c r="AH1141" s="2">
        <v>27.480916030534299</v>
      </c>
      <c r="AI1141" s="2">
        <v>47.598342803419499</v>
      </c>
      <c r="AJ1141" s="2">
        <v>42.553191489361602</v>
      </c>
      <c r="AK1141" s="2">
        <v>73.704289683781994</v>
      </c>
      <c r="AL1141" s="2">
        <v>310.69090909090897</v>
      </c>
      <c r="AM1141" s="2">
        <v>15.997355153300999</v>
      </c>
      <c r="AN1141"/>
      <c r="AO1141"/>
    </row>
    <row r="1142" spans="1:41" ht="15.75" hidden="1" customHeight="1" x14ac:dyDescent="0.45">
      <c r="A1142" s="2" t="s">
        <v>199</v>
      </c>
      <c r="B1142" s="2" t="s">
        <v>200</v>
      </c>
      <c r="C1142" s="2">
        <v>10</v>
      </c>
      <c r="D1142" s="2"/>
      <c r="E1142" s="2" t="s">
        <v>109</v>
      </c>
      <c r="F1142" s="2" t="s">
        <v>84</v>
      </c>
      <c r="H1142" s="2">
        <v>0.8</v>
      </c>
      <c r="J1142" s="2">
        <v>0.8</v>
      </c>
      <c r="K1142" s="2">
        <v>0</v>
      </c>
      <c r="L1142" s="2"/>
      <c r="M1142" s="2">
        <v>0</v>
      </c>
      <c r="N1142" s="2">
        <v>13.25</v>
      </c>
      <c r="O1142" s="2">
        <v>0</v>
      </c>
      <c r="P1142" s="2">
        <v>11.5</v>
      </c>
      <c r="Q1142" s="2">
        <v>0</v>
      </c>
      <c r="R1142" s="2">
        <v>0</v>
      </c>
      <c r="S1142" s="2">
        <v>0</v>
      </c>
      <c r="T1142" s="2">
        <v>41.25</v>
      </c>
      <c r="U1142" s="2">
        <v>0</v>
      </c>
      <c r="V1142" s="2">
        <v>1.5</v>
      </c>
      <c r="W1142" s="2">
        <v>0</v>
      </c>
      <c r="X1142" s="2">
        <v>12.25</v>
      </c>
      <c r="Y1142" s="2">
        <v>0</v>
      </c>
      <c r="Z1142" s="7">
        <v>5.5910449510636999</v>
      </c>
      <c r="AA1142" s="2">
        <v>0</v>
      </c>
      <c r="AB1142" s="7">
        <v>0</v>
      </c>
      <c r="AC1142" s="2">
        <v>0</v>
      </c>
      <c r="AD1142" s="2">
        <v>517.42160278745598</v>
      </c>
      <c r="AE1142" s="2">
        <v>0</v>
      </c>
      <c r="AF1142" s="2">
        <v>82.8</v>
      </c>
      <c r="AG1142" s="2">
        <v>0</v>
      </c>
      <c r="AH1142" s="2">
        <v>0</v>
      </c>
      <c r="AI1142" s="2">
        <v>0</v>
      </c>
      <c r="AJ1142" s="2">
        <v>229.787234042553</v>
      </c>
      <c r="AK1142" s="2">
        <v>0</v>
      </c>
      <c r="AL1142" s="2">
        <v>320.72727272727201</v>
      </c>
      <c r="AM1142" s="2">
        <v>0</v>
      </c>
      <c r="AN1142"/>
      <c r="AO1142"/>
    </row>
    <row r="1143" spans="1:41" ht="15.75" hidden="1" customHeight="1" x14ac:dyDescent="0.45">
      <c r="A1143" s="2" t="s">
        <v>201</v>
      </c>
      <c r="B1143" s="2" t="s">
        <v>108</v>
      </c>
      <c r="C1143" s="2">
        <v>3.0000000000000001E-3</v>
      </c>
      <c r="D1143" s="2"/>
      <c r="E1143" s="2" t="s">
        <v>83</v>
      </c>
      <c r="F1143" s="2" t="s">
        <v>84</v>
      </c>
      <c r="H1143" s="2">
        <v>0.1</v>
      </c>
      <c r="J1143" s="2">
        <v>0.129722903</v>
      </c>
      <c r="K1143" s="2">
        <v>37.737269103333297</v>
      </c>
      <c r="L1143" s="2"/>
      <c r="M1143" s="2">
        <v>0.226086335046668</v>
      </c>
      <c r="N1143" s="2">
        <v>295.11111111111097</v>
      </c>
      <c r="O1143" s="2">
        <v>11.285848234420801</v>
      </c>
      <c r="P1143" s="2">
        <v>32.757720671111102</v>
      </c>
      <c r="Q1143" s="2">
        <v>2.5382806189833</v>
      </c>
      <c r="R1143" s="2">
        <v>2.7248735929444399</v>
      </c>
      <c r="S1143" s="2">
        <v>0.48700595856692303</v>
      </c>
      <c r="T1143" s="2">
        <v>4.1814935714444399</v>
      </c>
      <c r="U1143" s="2">
        <v>1.3353970971324201</v>
      </c>
      <c r="V1143" s="2">
        <v>0.62286676933333296</v>
      </c>
      <c r="W1143" s="2">
        <v>0.12422066970109499</v>
      </c>
      <c r="X1143" s="2">
        <v>3.23356236944444</v>
      </c>
      <c r="Y1143" s="2">
        <v>0.35051867705519801</v>
      </c>
      <c r="Z1143" s="7">
        <v>105.816733067729</v>
      </c>
      <c r="AA1143" s="2">
        <v>4.0467184904297699</v>
      </c>
      <c r="AB1143" s="7">
        <v>94.531722258576195</v>
      </c>
      <c r="AC1143" s="2">
        <v>0.56634544944332699</v>
      </c>
      <c r="AD1143" s="2">
        <v>94.445567912705002</v>
      </c>
      <c r="AE1143" s="2">
        <v>30.162030641142898</v>
      </c>
      <c r="AF1143" s="2">
        <v>96.870661818430094</v>
      </c>
      <c r="AG1143" s="2">
        <v>7.5061670471673496</v>
      </c>
      <c r="AH1143" s="2">
        <v>72.949141822742902</v>
      </c>
      <c r="AI1143" s="2">
        <v>13.0379136969909</v>
      </c>
      <c r="AJ1143" s="2">
        <v>132.440669197641</v>
      </c>
      <c r="AK1143" s="2">
        <v>26.4131423177401</v>
      </c>
      <c r="AL1143" s="2">
        <v>96.038183719354194</v>
      </c>
      <c r="AM1143" s="2">
        <v>10.4105544467589</v>
      </c>
      <c r="AN1143"/>
      <c r="AO1143"/>
    </row>
    <row r="1144" spans="1:41" ht="15.75" hidden="1" customHeight="1" x14ac:dyDescent="0.45">
      <c r="A1144" s="2" t="s">
        <v>201</v>
      </c>
      <c r="B1144" s="2" t="s">
        <v>108</v>
      </c>
      <c r="C1144" s="2">
        <v>0.01</v>
      </c>
      <c r="D1144" s="2"/>
      <c r="E1144" s="2" t="s">
        <v>83</v>
      </c>
      <c r="F1144" s="2" t="s">
        <v>84</v>
      </c>
      <c r="H1144" s="2">
        <v>0.1</v>
      </c>
      <c r="J1144" s="2">
        <v>0.129722903</v>
      </c>
      <c r="K1144" s="2">
        <v>37.303368891111099</v>
      </c>
      <c r="L1144" s="2"/>
      <c r="M1144" s="2">
        <v>0.596953664297034</v>
      </c>
      <c r="N1144" s="2">
        <v>281.666666666666</v>
      </c>
      <c r="O1144" s="2">
        <v>11.0037872268291</v>
      </c>
      <c r="P1144" s="2">
        <v>35.246750909999903</v>
      </c>
      <c r="Q1144" s="2">
        <v>2.5876583276362699</v>
      </c>
      <c r="R1144" s="2">
        <v>3.1057132089999899</v>
      </c>
      <c r="S1144" s="2">
        <v>0.43452157149486098</v>
      </c>
      <c r="T1144" s="2">
        <v>4.0790655271666596</v>
      </c>
      <c r="U1144" s="2">
        <v>0.43821804711592099</v>
      </c>
      <c r="V1144" s="2">
        <v>0.289411517611111</v>
      </c>
      <c r="W1144" s="2">
        <v>0.116552661441581</v>
      </c>
      <c r="X1144" s="2">
        <v>3.1336707033333302</v>
      </c>
      <c r="Y1144" s="2">
        <v>0.24089447488589999</v>
      </c>
      <c r="Z1144" s="7">
        <v>100.99601593625501</v>
      </c>
      <c r="AA1144" s="2">
        <v>3.9455810773490998</v>
      </c>
      <c r="AB1144" s="7">
        <v>93.444803800396002</v>
      </c>
      <c r="AC1144" s="2">
        <v>1.49536676435291</v>
      </c>
      <c r="AD1144" s="2">
        <v>92.132070439441904</v>
      </c>
      <c r="AE1144" s="2">
        <v>9.8978395212892494</v>
      </c>
      <c r="AF1144" s="2">
        <v>104.231186347839</v>
      </c>
      <c r="AG1144" s="2">
        <v>7.6521860991128596</v>
      </c>
      <c r="AH1144" s="2">
        <v>83.144815939623697</v>
      </c>
      <c r="AI1144" s="2">
        <v>11.6328242991145</v>
      </c>
      <c r="AJ1144" s="2">
        <v>61.537807044909101</v>
      </c>
      <c r="AK1144" s="2">
        <v>24.782687467194702</v>
      </c>
      <c r="AL1144" s="2">
        <v>93.071358563091806</v>
      </c>
      <c r="AM1144" s="2">
        <v>7.1546688119222104</v>
      </c>
      <c r="AN1144"/>
      <c r="AO1144"/>
    </row>
    <row r="1145" spans="1:41" ht="15.75" hidden="1" customHeight="1" x14ac:dyDescent="0.45">
      <c r="A1145" s="2" t="s">
        <v>201</v>
      </c>
      <c r="B1145" s="2" t="s">
        <v>108</v>
      </c>
      <c r="C1145" s="2">
        <v>0.03</v>
      </c>
      <c r="D1145" s="2"/>
      <c r="E1145" s="2" t="s">
        <v>83</v>
      </c>
      <c r="F1145" s="2" t="s">
        <v>84</v>
      </c>
      <c r="H1145" s="2">
        <v>0.1</v>
      </c>
      <c r="J1145" s="2">
        <v>0.129722903</v>
      </c>
      <c r="K1145" s="2">
        <v>29.376724246666601</v>
      </c>
      <c r="L1145" s="2"/>
      <c r="M1145" s="2">
        <v>0.514705998233288</v>
      </c>
      <c r="N1145" s="2">
        <v>236.055555555555</v>
      </c>
      <c r="O1145" s="2">
        <v>23.5433013198457</v>
      </c>
      <c r="P1145" s="2">
        <v>41.970726932777701</v>
      </c>
      <c r="Q1145" s="2">
        <v>2.6685168218117798</v>
      </c>
      <c r="R1145" s="2">
        <v>2.7427889897222202</v>
      </c>
      <c r="S1145" s="2">
        <v>0.37480971694350901</v>
      </c>
      <c r="T1145" s="2">
        <v>4.6800499183333297</v>
      </c>
      <c r="U1145" s="2">
        <v>1.0845135237772401</v>
      </c>
      <c r="V1145" s="2">
        <v>0.68127568949999995</v>
      </c>
      <c r="W1145" s="2">
        <v>0.166149815039843</v>
      </c>
      <c r="X1145" s="2">
        <v>2.46198011788888</v>
      </c>
      <c r="Y1145" s="2">
        <v>0.34445538483830102</v>
      </c>
      <c r="Z1145" s="7">
        <v>84.641434262948195</v>
      </c>
      <c r="AA1145" s="2">
        <v>8.4418211903829405</v>
      </c>
      <c r="AB1145" s="7">
        <v>73.588587710163196</v>
      </c>
      <c r="AC1145" s="2">
        <v>1.28933665911491</v>
      </c>
      <c r="AD1145" s="2">
        <v>105.70624224207801</v>
      </c>
      <c r="AE1145" s="2">
        <v>24.495433010260001</v>
      </c>
      <c r="AF1145" s="2">
        <v>124.115231819665</v>
      </c>
      <c r="AG1145" s="2">
        <v>7.8912996785668401</v>
      </c>
      <c r="AH1145" s="2">
        <v>73.428765106456595</v>
      </c>
      <c r="AI1145" s="2">
        <v>10.034244255825699</v>
      </c>
      <c r="AJ1145" s="2">
        <v>144.86020553326</v>
      </c>
      <c r="AK1145" s="2">
        <v>35.328570690155097</v>
      </c>
      <c r="AL1145" s="2">
        <v>73.121861235611107</v>
      </c>
      <c r="AM1145" s="2">
        <v>10.2304720777367</v>
      </c>
      <c r="AN1145"/>
      <c r="AO1145"/>
    </row>
    <row r="1146" spans="1:41" ht="15.75" hidden="1" customHeight="1" x14ac:dyDescent="0.45">
      <c r="A1146" s="2" t="s">
        <v>201</v>
      </c>
      <c r="B1146" s="2" t="s">
        <v>108</v>
      </c>
      <c r="C1146" s="2">
        <v>0.1</v>
      </c>
      <c r="D1146" s="2"/>
      <c r="E1146" s="2" t="s">
        <v>83</v>
      </c>
      <c r="F1146" s="2" t="s">
        <v>84</v>
      </c>
      <c r="H1146" s="2">
        <v>0.1</v>
      </c>
      <c r="J1146" s="2">
        <v>0.129722903</v>
      </c>
      <c r="K1146" s="2">
        <v>18.6182785794444</v>
      </c>
      <c r="L1146" s="2"/>
      <c r="M1146" s="2">
        <v>1.01544085795234</v>
      </c>
      <c r="N1146" s="2">
        <v>163.888888888888</v>
      </c>
      <c r="O1146" s="2">
        <v>27.859435531757502</v>
      </c>
      <c r="P1146" s="2">
        <v>56.017228907222197</v>
      </c>
      <c r="Q1146" s="2">
        <v>2.5351679046061499</v>
      </c>
      <c r="R1146" s="2">
        <v>2.2241961228333298</v>
      </c>
      <c r="S1146" s="2">
        <v>0.856108795512867</v>
      </c>
      <c r="T1146" s="2">
        <v>4.7804385291111098</v>
      </c>
      <c r="U1146" s="2">
        <v>1.50614719823403</v>
      </c>
      <c r="V1146" s="2">
        <v>0.89260575988888802</v>
      </c>
      <c r="W1146" s="2">
        <v>0.58106210944625103</v>
      </c>
      <c r="X1146" s="2">
        <v>3.6519411814444398</v>
      </c>
      <c r="Y1146" s="2">
        <v>1.37033018731889</v>
      </c>
      <c r="Z1146" s="7">
        <v>58.764940239043803</v>
      </c>
      <c r="AA1146" s="2">
        <v>9.9894390352915394</v>
      </c>
      <c r="AB1146" s="7">
        <v>46.638720326728098</v>
      </c>
      <c r="AC1146" s="2">
        <v>2.5436756669147198</v>
      </c>
      <c r="AD1146" s="2">
        <v>107.97367592214501</v>
      </c>
      <c r="AE1146" s="2">
        <v>34.018688553957098</v>
      </c>
      <c r="AF1146" s="2">
        <v>165.653346029739</v>
      </c>
      <c r="AG1146" s="2">
        <v>7.49696217284799</v>
      </c>
      <c r="AH1146" s="2">
        <v>59.545220309040502</v>
      </c>
      <c r="AI1146" s="2">
        <v>22.919375820322301</v>
      </c>
      <c r="AJ1146" s="2">
        <v>189.79549076905101</v>
      </c>
      <c r="AK1146" s="2">
        <v>123.551710268349</v>
      </c>
      <c r="AL1146" s="2">
        <v>108.464213163173</v>
      </c>
      <c r="AM1146" s="2">
        <v>40.699391955293997</v>
      </c>
      <c r="AN1146"/>
      <c r="AO1146"/>
    </row>
    <row r="1147" spans="1:41" ht="15.75" hidden="1" customHeight="1" x14ac:dyDescent="0.45">
      <c r="A1147" s="2" t="s">
        <v>201</v>
      </c>
      <c r="B1147" s="2" t="s">
        <v>108</v>
      </c>
      <c r="C1147" s="2">
        <v>0.3</v>
      </c>
      <c r="D1147" s="2"/>
      <c r="E1147" s="2" t="s">
        <v>83</v>
      </c>
      <c r="F1147" s="2" t="s">
        <v>84</v>
      </c>
      <c r="H1147" s="2">
        <v>0.1</v>
      </c>
      <c r="J1147" s="2">
        <v>0.129722903</v>
      </c>
      <c r="K1147" s="2">
        <v>0</v>
      </c>
      <c r="L1147" s="2"/>
      <c r="M1147" s="2">
        <v>0</v>
      </c>
      <c r="N1147" s="2">
        <v>67.5555555555555</v>
      </c>
      <c r="O1147" s="2">
        <v>1.3471506281091099</v>
      </c>
      <c r="P1147" s="2">
        <v>68.922386231666593</v>
      </c>
      <c r="Q1147" s="2">
        <v>3.9014710440135398</v>
      </c>
      <c r="R1147" s="2">
        <v>0.178170594833333</v>
      </c>
      <c r="S1147" s="2">
        <v>0.158393115734105</v>
      </c>
      <c r="T1147" s="2">
        <v>2.8096318767222201</v>
      </c>
      <c r="U1147" s="2">
        <v>0.20475518736153001</v>
      </c>
      <c r="V1147" s="2">
        <v>0.50950012166666603</v>
      </c>
      <c r="W1147" s="2">
        <v>0.30318920792350501</v>
      </c>
      <c r="X1147" s="2">
        <v>2.8241178987777702</v>
      </c>
      <c r="Y1147" s="2">
        <v>0.98953737787529505</v>
      </c>
      <c r="Z1147" s="7">
        <v>24.223107569721101</v>
      </c>
      <c r="AA1147" s="2">
        <v>0.48304205788773003</v>
      </c>
      <c r="AB1147" s="7">
        <v>0</v>
      </c>
      <c r="AC1147" s="2">
        <v>0</v>
      </c>
      <c r="AD1147" s="2">
        <v>63.459927341465502</v>
      </c>
      <c r="AE1147" s="2">
        <v>4.6247159353522402</v>
      </c>
      <c r="AF1147" s="2">
        <v>203.81629220787099</v>
      </c>
      <c r="AG1147" s="2">
        <v>11.5373742237302</v>
      </c>
      <c r="AH1147" s="2">
        <v>4.7699064003532596</v>
      </c>
      <c r="AI1147" s="2">
        <v>4.2404322510049504</v>
      </c>
      <c r="AJ1147" s="2">
        <v>108.335426438043</v>
      </c>
      <c r="AK1147" s="2">
        <v>64.467368573652195</v>
      </c>
      <c r="AL1147" s="2">
        <v>83.877508029800396</v>
      </c>
      <c r="AM1147" s="2">
        <v>29.389682843780498</v>
      </c>
      <c r="AN1147"/>
      <c r="AO1147"/>
    </row>
    <row r="1148" spans="1:41" ht="15.75" hidden="1" customHeight="1" x14ac:dyDescent="0.45">
      <c r="A1148" s="2" t="s">
        <v>201</v>
      </c>
      <c r="B1148" s="2" t="s">
        <v>108</v>
      </c>
      <c r="C1148" s="2">
        <v>1</v>
      </c>
      <c r="D1148" s="2"/>
      <c r="E1148" s="2" t="s">
        <v>83</v>
      </c>
      <c r="F1148" s="2" t="s">
        <v>84</v>
      </c>
      <c r="H1148" s="2">
        <v>0.1</v>
      </c>
      <c r="J1148" s="2">
        <v>0.129722903</v>
      </c>
      <c r="K1148" s="2">
        <v>0</v>
      </c>
      <c r="L1148" s="2"/>
      <c r="M1148" s="2">
        <v>0</v>
      </c>
      <c r="N1148" s="2">
        <v>25.1111111111111</v>
      </c>
      <c r="O1148" s="2">
        <v>2.7905263010831498</v>
      </c>
      <c r="P1148" s="2">
        <v>64.325951880555493</v>
      </c>
      <c r="Q1148" s="2">
        <v>7.1575191113243504</v>
      </c>
      <c r="R1148" s="2">
        <v>0.68783068783333301</v>
      </c>
      <c r="S1148" s="2">
        <v>0.60094268210435098</v>
      </c>
      <c r="T1148" s="2">
        <v>1.7103607332777699</v>
      </c>
      <c r="U1148" s="2">
        <v>1.11534701467697</v>
      </c>
      <c r="V1148" s="2">
        <v>1.3797005463888801</v>
      </c>
      <c r="W1148" s="2">
        <v>0.17039195794624901</v>
      </c>
      <c r="X1148" s="2">
        <v>5.9008756105555502</v>
      </c>
      <c r="Y1148" s="2">
        <v>1.25556664328213</v>
      </c>
      <c r="Z1148" s="7">
        <v>9.0039840637450208</v>
      </c>
      <c r="AA1148" s="2">
        <v>1.00058711991029</v>
      </c>
      <c r="AB1148" s="7">
        <v>0</v>
      </c>
      <c r="AC1148" s="2">
        <v>0</v>
      </c>
      <c r="AD1148" s="2">
        <v>38.631170425119102</v>
      </c>
      <c r="AE1148" s="2">
        <v>25.1918555944399</v>
      </c>
      <c r="AF1148" s="2">
        <v>190.22378245825999</v>
      </c>
      <c r="AG1148" s="2">
        <v>21.166112876208601</v>
      </c>
      <c r="AH1148" s="2">
        <v>18.414306823887799</v>
      </c>
      <c r="AI1148" s="2">
        <v>16.088178570074099</v>
      </c>
      <c r="AJ1148" s="2">
        <v>293.36685251594599</v>
      </c>
      <c r="AK1148" s="2">
        <v>36.230580996400597</v>
      </c>
      <c r="AL1148" s="2">
        <v>175.258526431007</v>
      </c>
      <c r="AM1148" s="2">
        <v>37.2908656715163</v>
      </c>
      <c r="AN1148"/>
      <c r="AO1148"/>
    </row>
    <row r="1149" spans="1:41" ht="15.75" hidden="1" customHeight="1" x14ac:dyDescent="0.45">
      <c r="A1149" s="2" t="s">
        <v>201</v>
      </c>
      <c r="B1149" s="2" t="s">
        <v>108</v>
      </c>
      <c r="C1149" s="2">
        <v>3</v>
      </c>
      <c r="D1149" s="2"/>
      <c r="E1149" s="2" t="s">
        <v>83</v>
      </c>
      <c r="F1149" s="2" t="s">
        <v>84</v>
      </c>
      <c r="H1149" s="2">
        <v>0.1</v>
      </c>
      <c r="J1149" s="2">
        <v>0.129722903</v>
      </c>
      <c r="K1149" s="2">
        <v>0</v>
      </c>
      <c r="L1149" s="2"/>
      <c r="M1149" s="2">
        <v>0</v>
      </c>
      <c r="N1149" s="2">
        <v>10.033333333333299</v>
      </c>
      <c r="O1149" s="2">
        <v>1.37961347243832</v>
      </c>
      <c r="P1149" s="2">
        <v>44.527549612111102</v>
      </c>
      <c r="Q1149" s="2">
        <v>8.7447176526061607</v>
      </c>
      <c r="R1149" s="2">
        <v>2.63580246929999</v>
      </c>
      <c r="S1149" s="2">
        <v>2.3914236722352999</v>
      </c>
      <c r="T1149" s="2">
        <v>2.9997594996888801</v>
      </c>
      <c r="U1149" s="2">
        <v>4.0956575719316701</v>
      </c>
      <c r="V1149" s="2">
        <v>0</v>
      </c>
      <c r="W1149" s="2">
        <v>0</v>
      </c>
      <c r="X1149" s="2">
        <v>7.6890146892000004</v>
      </c>
      <c r="Y1149" s="2">
        <v>4.56492912238574</v>
      </c>
      <c r="Z1149" s="7">
        <v>3.59760956175298</v>
      </c>
      <c r="AA1149" s="2">
        <v>0.49468212159143099</v>
      </c>
      <c r="AB1149" s="7">
        <v>0</v>
      </c>
      <c r="AC1149" s="2">
        <v>0</v>
      </c>
      <c r="AD1149" s="2">
        <v>67.754256872331297</v>
      </c>
      <c r="AE1149" s="2">
        <v>92.506827703536601</v>
      </c>
      <c r="AF1149" s="2">
        <v>131.67623118180299</v>
      </c>
      <c r="AG1149" s="2">
        <v>25.859753641843799</v>
      </c>
      <c r="AH1149" s="2">
        <v>70.564568076689397</v>
      </c>
      <c r="AI1149" s="2">
        <v>64.022164211899494</v>
      </c>
      <c r="AJ1149" s="2">
        <v>0</v>
      </c>
      <c r="AK1149" s="2">
        <v>0</v>
      </c>
      <c r="AL1149" s="2">
        <v>228.36702094262401</v>
      </c>
      <c r="AM1149" s="2">
        <v>135.58034502882799</v>
      </c>
      <c r="AN1149"/>
      <c r="AO1149"/>
    </row>
    <row r="1150" spans="1:41" ht="15.75" hidden="1" customHeight="1" x14ac:dyDescent="0.45">
      <c r="A1150" s="2" t="s">
        <v>201</v>
      </c>
      <c r="B1150" s="2" t="s">
        <v>108</v>
      </c>
      <c r="C1150" s="2">
        <v>10</v>
      </c>
      <c r="D1150" s="2"/>
      <c r="E1150" s="2" t="s">
        <v>83</v>
      </c>
      <c r="F1150" s="2" t="s">
        <v>84</v>
      </c>
      <c r="H1150" s="2">
        <v>0.1</v>
      </c>
      <c r="J1150" s="2">
        <v>0.129722903</v>
      </c>
      <c r="K1150" s="2">
        <v>0</v>
      </c>
      <c r="L1150" s="2"/>
      <c r="M1150" s="2">
        <v>0</v>
      </c>
      <c r="N1150" s="2">
        <v>5.5</v>
      </c>
      <c r="O1150" s="2">
        <v>1.32287565553229</v>
      </c>
      <c r="P1150" s="2">
        <v>22.0833333333333</v>
      </c>
      <c r="Q1150" s="2">
        <v>25.5053099046714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7">
        <v>1.9721115537848599</v>
      </c>
      <c r="AA1150" s="2">
        <v>0.47433788445381098</v>
      </c>
      <c r="AB1150" s="7">
        <v>0</v>
      </c>
      <c r="AC1150" s="2">
        <v>0</v>
      </c>
      <c r="AD1150" s="2">
        <v>0</v>
      </c>
      <c r="AE1150" s="2">
        <v>0</v>
      </c>
      <c r="AF1150" s="2">
        <v>65.304516655323098</v>
      </c>
      <c r="AG1150" s="2">
        <v>75.423936700473803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/>
      <c r="AO1150"/>
    </row>
    <row r="1151" spans="1:41" ht="15.75" hidden="1" customHeight="1" x14ac:dyDescent="0.45">
      <c r="A1151" s="2" t="s">
        <v>202</v>
      </c>
      <c r="B1151" s="2" t="s">
        <v>203</v>
      </c>
      <c r="C1151" s="2">
        <v>3.0000000000000001E-3</v>
      </c>
      <c r="D1151" s="2"/>
      <c r="E1151" s="2" t="s">
        <v>83</v>
      </c>
      <c r="F1151" s="2" t="s">
        <v>84</v>
      </c>
      <c r="H1151" s="2">
        <v>6.2</v>
      </c>
      <c r="J1151" s="2">
        <v>6.2054525299999996</v>
      </c>
      <c r="K1151" s="2">
        <v>37.550119087777702</v>
      </c>
      <c r="L1151" s="2"/>
      <c r="M1151" s="2">
        <v>2.1429462453517498</v>
      </c>
      <c r="N1151" s="2">
        <v>328.222222222222</v>
      </c>
      <c r="O1151" s="2">
        <v>36.788560017322503</v>
      </c>
      <c r="P1151" s="2">
        <v>30.846059551666599</v>
      </c>
      <c r="Q1151" s="2">
        <v>4.2738097020261598</v>
      </c>
      <c r="R1151" s="2">
        <v>3.2586488841111101</v>
      </c>
      <c r="S1151" s="2">
        <v>0.31341358388228402</v>
      </c>
      <c r="T1151" s="2">
        <v>4.6850408343888796</v>
      </c>
      <c r="U1151" s="2">
        <v>0.94717374732769</v>
      </c>
      <c r="V1151" s="2">
        <v>0.39646750911111101</v>
      </c>
      <c r="W1151" s="2">
        <v>9.5631877711520694E-2</v>
      </c>
      <c r="X1151" s="2">
        <v>3.1504955327222199</v>
      </c>
      <c r="Y1151" s="2">
        <v>0.244841813693668</v>
      </c>
      <c r="Z1151" s="7">
        <v>117.689243027888</v>
      </c>
      <c r="AA1151" s="2">
        <v>13.1911171376853</v>
      </c>
      <c r="AB1151" s="7">
        <v>94.0629121482648</v>
      </c>
      <c r="AC1151" s="2">
        <v>5.3680725737188304</v>
      </c>
      <c r="AD1151" s="2">
        <v>105.818969881908</v>
      </c>
      <c r="AE1151" s="2">
        <v>21.393399499468099</v>
      </c>
      <c r="AF1151" s="2">
        <v>91.21752496949</v>
      </c>
      <c r="AG1151" s="2">
        <v>12.638448763817999</v>
      </c>
      <c r="AH1151" s="2">
        <v>87.239143941599707</v>
      </c>
      <c r="AI1151" s="2">
        <v>8.3905734339394797</v>
      </c>
      <c r="AJ1151" s="2">
        <v>84.301209836572895</v>
      </c>
      <c r="AK1151" s="2">
        <v>20.334284158869199</v>
      </c>
      <c r="AL1151" s="2">
        <v>93.571063183347604</v>
      </c>
      <c r="AM1151" s="2">
        <v>7.2719064607782196</v>
      </c>
      <c r="AN1151"/>
      <c r="AO1151"/>
    </row>
    <row r="1152" spans="1:41" ht="15.75" hidden="1" customHeight="1" x14ac:dyDescent="0.45">
      <c r="A1152" s="2" t="s">
        <v>202</v>
      </c>
      <c r="B1152" s="2" t="s">
        <v>203</v>
      </c>
      <c r="C1152" s="2">
        <v>0.01</v>
      </c>
      <c r="D1152" s="2"/>
      <c r="E1152" s="2" t="s">
        <v>83</v>
      </c>
      <c r="F1152" s="2" t="s">
        <v>84</v>
      </c>
      <c r="H1152" s="2">
        <v>6.2</v>
      </c>
      <c r="J1152" s="2">
        <v>6.2054525299999996</v>
      </c>
      <c r="K1152" s="2">
        <v>41.104811736111103</v>
      </c>
      <c r="L1152" s="2"/>
      <c r="M1152" s="2">
        <v>2.3264764973653</v>
      </c>
      <c r="N1152" s="2">
        <v>297.83333333333297</v>
      </c>
      <c r="O1152" s="2">
        <v>50.440559076996401</v>
      </c>
      <c r="P1152" s="2">
        <v>32.7527099294444</v>
      </c>
      <c r="Q1152" s="2">
        <v>6.3616672857079504</v>
      </c>
      <c r="R1152" s="2">
        <v>3.3416215749999898</v>
      </c>
      <c r="S1152" s="2">
        <v>0.368662410210575</v>
      </c>
      <c r="T1152" s="2">
        <v>3.5164456697777702</v>
      </c>
      <c r="U1152" s="2">
        <v>1.12724877317282</v>
      </c>
      <c r="V1152" s="2">
        <v>0.390284790777777</v>
      </c>
      <c r="W1152" s="2">
        <v>0.103342597773895</v>
      </c>
      <c r="X1152" s="2">
        <v>2.9015264919999999</v>
      </c>
      <c r="Y1152" s="2">
        <v>0.37832415100904698</v>
      </c>
      <c r="Z1152" s="7">
        <v>106.792828685259</v>
      </c>
      <c r="AA1152" s="2">
        <v>18.086256242747702</v>
      </c>
      <c r="AB1152" s="7">
        <v>102.967404342088</v>
      </c>
      <c r="AC1152" s="2">
        <v>5.8278151894837498</v>
      </c>
      <c r="AD1152" s="2">
        <v>79.424421595274694</v>
      </c>
      <c r="AE1152" s="2">
        <v>25.460675412309801</v>
      </c>
      <c r="AF1152" s="2">
        <v>96.855844125028199</v>
      </c>
      <c r="AG1152" s="2">
        <v>18.8126312701195</v>
      </c>
      <c r="AH1152" s="2">
        <v>89.460453073421704</v>
      </c>
      <c r="AI1152" s="2">
        <v>9.8696712085292795</v>
      </c>
      <c r="AJ1152" s="2">
        <v>82.986573394491401</v>
      </c>
      <c r="AK1152" s="2">
        <v>21.9738208548942</v>
      </c>
      <c r="AL1152" s="2">
        <v>86.1765763167095</v>
      </c>
      <c r="AM1152" s="2">
        <v>11.236388901420201</v>
      </c>
      <c r="AN1152"/>
      <c r="AO1152"/>
    </row>
    <row r="1153" spans="1:41" ht="15.75" hidden="1" customHeight="1" x14ac:dyDescent="0.45">
      <c r="A1153" s="2" t="s">
        <v>202</v>
      </c>
      <c r="B1153" s="2" t="s">
        <v>203</v>
      </c>
      <c r="C1153" s="2">
        <v>0.03</v>
      </c>
      <c r="D1153" s="2"/>
      <c r="E1153" s="2" t="s">
        <v>83</v>
      </c>
      <c r="F1153" s="2" t="s">
        <v>84</v>
      </c>
      <c r="H1153" s="2">
        <v>6.2</v>
      </c>
      <c r="J1153" s="2">
        <v>6.2054525299999996</v>
      </c>
      <c r="K1153" s="2">
        <v>41.343719690555503</v>
      </c>
      <c r="L1153" s="2"/>
      <c r="M1153" s="2">
        <v>0.63884027385169795</v>
      </c>
      <c r="N1153" s="2">
        <v>294.222222222222</v>
      </c>
      <c r="O1153" s="2">
        <v>37.004629340024202</v>
      </c>
      <c r="P1153" s="2">
        <v>35.498972745555498</v>
      </c>
      <c r="Q1153" s="2">
        <v>2.1024155969188398</v>
      </c>
      <c r="R1153" s="2">
        <v>4.2486462322777703</v>
      </c>
      <c r="S1153" s="2">
        <v>0.64445252460757496</v>
      </c>
      <c r="T1153" s="2">
        <v>3.3871699606111099</v>
      </c>
      <c r="U1153" s="2">
        <v>0.179306552875697</v>
      </c>
      <c r="V1153" s="2">
        <v>0.39275641094444402</v>
      </c>
      <c r="W1153" s="2">
        <v>0.12491780192131099</v>
      </c>
      <c r="X1153" s="2">
        <v>3.5998084636666601</v>
      </c>
      <c r="Y1153" s="2">
        <v>0.46469921843996198</v>
      </c>
      <c r="Z1153" s="7">
        <v>105.498007968127</v>
      </c>
      <c r="AA1153" s="2">
        <v>13.2685921936342</v>
      </c>
      <c r="AB1153" s="7">
        <v>103.565867901628</v>
      </c>
      <c r="AC1153" s="2">
        <v>1.6002925693954699</v>
      </c>
      <c r="AD1153" s="2">
        <v>76.504527648063402</v>
      </c>
      <c r="AE1153" s="2">
        <v>4.0499187497171896</v>
      </c>
      <c r="AF1153" s="2">
        <v>104.977053143048</v>
      </c>
      <c r="AG1153" s="2">
        <v>6.2172332542821698</v>
      </c>
      <c r="AH1153" s="2">
        <v>113.742926407894</v>
      </c>
      <c r="AI1153" s="2">
        <v>17.253005327422201</v>
      </c>
      <c r="AJ1153" s="2">
        <v>83.512116006479005</v>
      </c>
      <c r="AK1153" s="2">
        <v>26.561374110332501</v>
      </c>
      <c r="AL1153" s="2">
        <v>106.915849174575</v>
      </c>
      <c r="AM1153" s="2">
        <v>13.8017653027193</v>
      </c>
      <c r="AN1153"/>
      <c r="AO1153"/>
    </row>
    <row r="1154" spans="1:41" ht="15.75" hidden="1" customHeight="1" x14ac:dyDescent="0.45">
      <c r="A1154" s="2" t="s">
        <v>202</v>
      </c>
      <c r="B1154" s="2" t="s">
        <v>203</v>
      </c>
      <c r="C1154" s="2">
        <v>0.1</v>
      </c>
      <c r="D1154" s="2"/>
      <c r="E1154" s="2" t="s">
        <v>83</v>
      </c>
      <c r="F1154" s="2" t="s">
        <v>84</v>
      </c>
      <c r="H1154" s="2">
        <v>6.2</v>
      </c>
      <c r="J1154" s="2">
        <v>6.2054525299999996</v>
      </c>
      <c r="K1154" s="2">
        <v>41.201455213888799</v>
      </c>
      <c r="L1154" s="2"/>
      <c r="M1154" s="2">
        <v>2.9894633512275601</v>
      </c>
      <c r="N1154" s="2">
        <v>313.222222222222</v>
      </c>
      <c r="O1154" s="2">
        <v>37.0065059345172</v>
      </c>
      <c r="P1154" s="2">
        <v>31.180063929444401</v>
      </c>
      <c r="Q1154" s="2">
        <v>3.2276328899516602</v>
      </c>
      <c r="R1154" s="2">
        <v>2.6750415373888798</v>
      </c>
      <c r="S1154" s="2">
        <v>0.51776135577040105</v>
      </c>
      <c r="T1154" s="2">
        <v>3.2669668784999999</v>
      </c>
      <c r="U1154" s="2">
        <v>0.94861194817704197</v>
      </c>
      <c r="V1154" s="2">
        <v>0.23481339038888799</v>
      </c>
      <c r="W1154" s="2">
        <v>0.20353871696070699</v>
      </c>
      <c r="X1154" s="2">
        <v>3.14207092916666</v>
      </c>
      <c r="Y1154" s="2">
        <v>0.20506772375874699</v>
      </c>
      <c r="Z1154" s="7">
        <v>112.31075697211099</v>
      </c>
      <c r="AA1154" s="2">
        <v>13.2692650761217</v>
      </c>
      <c r="AB1154" s="7">
        <v>103.209495903467</v>
      </c>
      <c r="AC1154" s="2">
        <v>7.4885948542438197</v>
      </c>
      <c r="AD1154" s="2">
        <v>73.789553163259896</v>
      </c>
      <c r="AE1154" s="2">
        <v>21.425883513533599</v>
      </c>
      <c r="AF1154" s="2">
        <v>92.205237925786193</v>
      </c>
      <c r="AG1154" s="2">
        <v>9.5447096974694592</v>
      </c>
      <c r="AH1154" s="2">
        <v>71.615059501473397</v>
      </c>
      <c r="AI1154" s="2">
        <v>13.861283940007199</v>
      </c>
      <c r="AJ1154" s="2">
        <v>49.928562721297801</v>
      </c>
      <c r="AK1154" s="2">
        <v>43.278603401427098</v>
      </c>
      <c r="AL1154" s="2">
        <v>93.320848858837806</v>
      </c>
      <c r="AM1154" s="2">
        <v>6.0905989986010303</v>
      </c>
      <c r="AN1154"/>
      <c r="AO1154"/>
    </row>
    <row r="1155" spans="1:41" ht="15.75" hidden="1" customHeight="1" x14ac:dyDescent="0.45">
      <c r="A1155" s="2" t="s">
        <v>202</v>
      </c>
      <c r="B1155" s="2" t="s">
        <v>203</v>
      </c>
      <c r="C1155" s="2">
        <v>0.3</v>
      </c>
      <c r="D1155" s="2"/>
      <c r="E1155" s="2" t="s">
        <v>83</v>
      </c>
      <c r="F1155" s="2" t="s">
        <v>84</v>
      </c>
      <c r="H1155" s="2">
        <v>6.2</v>
      </c>
      <c r="J1155" s="2">
        <v>6.2054525299999996</v>
      </c>
      <c r="K1155" s="2">
        <v>42.677003888333303</v>
      </c>
      <c r="L1155" s="2"/>
      <c r="M1155" s="2">
        <v>3.15062953307566</v>
      </c>
      <c r="N1155" s="2">
        <v>293.27777777777698</v>
      </c>
      <c r="O1155" s="2">
        <v>30.656852294268301</v>
      </c>
      <c r="P1155" s="2">
        <v>29.871169805000001</v>
      </c>
      <c r="Q1155" s="2">
        <v>1.08114722490227</v>
      </c>
      <c r="R1155" s="2">
        <v>2.9913518204999998</v>
      </c>
      <c r="S1155" s="2">
        <v>0.44548310327377499</v>
      </c>
      <c r="T1155" s="2">
        <v>4.3794010992222203</v>
      </c>
      <c r="U1155" s="2">
        <v>1.63117330236494</v>
      </c>
      <c r="V1155" s="2">
        <v>0.33596377511111097</v>
      </c>
      <c r="W1155" s="2">
        <v>0.128490527856191</v>
      </c>
      <c r="X1155" s="2">
        <v>3.1619947222222198</v>
      </c>
      <c r="Y1155" s="2">
        <v>6.6361353313887199E-3</v>
      </c>
      <c r="Z1155" s="7">
        <v>105.15936254979999</v>
      </c>
      <c r="AA1155" s="2">
        <v>10.9924968385822</v>
      </c>
      <c r="AB1155" s="7">
        <v>106.905739982222</v>
      </c>
      <c r="AC1155" s="2">
        <v>7.8923155553423099</v>
      </c>
      <c r="AD1155" s="2">
        <v>98.915618753585505</v>
      </c>
      <c r="AE1155" s="2">
        <v>36.842598529377298</v>
      </c>
      <c r="AF1155" s="2">
        <v>88.334594990699202</v>
      </c>
      <c r="AG1155" s="2">
        <v>3.1971530696824302</v>
      </c>
      <c r="AH1155" s="2">
        <v>80.083182119128693</v>
      </c>
      <c r="AI1155" s="2">
        <v>11.9262817051406</v>
      </c>
      <c r="AJ1155" s="2">
        <v>71.436251526960802</v>
      </c>
      <c r="AK1155" s="2">
        <v>27.321045739919899</v>
      </c>
      <c r="AL1155" s="2">
        <v>93.912594023841194</v>
      </c>
      <c r="AM1155" s="2">
        <v>0.19709605423565801</v>
      </c>
      <c r="AN1155"/>
      <c r="AO1155"/>
    </row>
    <row r="1156" spans="1:41" ht="15.75" hidden="1" customHeight="1" x14ac:dyDescent="0.45">
      <c r="A1156" s="2" t="s">
        <v>202</v>
      </c>
      <c r="B1156" s="2" t="s">
        <v>203</v>
      </c>
      <c r="C1156" s="2">
        <v>1</v>
      </c>
      <c r="D1156" s="2"/>
      <c r="E1156" s="2" t="s">
        <v>83</v>
      </c>
      <c r="F1156" s="2" t="s">
        <v>84</v>
      </c>
      <c r="H1156" s="2">
        <v>6.2</v>
      </c>
      <c r="J1156" s="2">
        <v>6.2054525299999996</v>
      </c>
      <c r="K1156" s="2">
        <v>38.585851458333302</v>
      </c>
      <c r="L1156" s="2"/>
      <c r="M1156" s="2">
        <v>3.4817268185675299</v>
      </c>
      <c r="N1156" s="2">
        <v>279.05555555555497</v>
      </c>
      <c r="O1156" s="2">
        <v>34.775603410905703</v>
      </c>
      <c r="P1156" s="2">
        <v>31.7164241494444</v>
      </c>
      <c r="Q1156" s="2">
        <v>2.4671544048108802</v>
      </c>
      <c r="R1156" s="2">
        <v>3.4190213444444399</v>
      </c>
      <c r="S1156" s="2">
        <v>0.30345189903673397</v>
      </c>
      <c r="T1156" s="2">
        <v>3.4756517736666601</v>
      </c>
      <c r="U1156" s="2">
        <v>1.03500780675263</v>
      </c>
      <c r="V1156" s="2">
        <v>0.40292710211111099</v>
      </c>
      <c r="W1156" s="2">
        <v>9.1582671412884606E-2</v>
      </c>
      <c r="X1156" s="2">
        <v>3.5314696726111099</v>
      </c>
      <c r="Y1156" s="2">
        <v>0.46173976612048101</v>
      </c>
      <c r="Z1156" s="7">
        <v>100.059760956175</v>
      </c>
      <c r="AA1156" s="2">
        <v>12.469339868452201</v>
      </c>
      <c r="AB1156" s="7">
        <v>96.6574179806682</v>
      </c>
      <c r="AC1156" s="2">
        <v>8.7217130548535202</v>
      </c>
      <c r="AD1156" s="2">
        <v>78.503027691455998</v>
      </c>
      <c r="AE1156" s="2">
        <v>23.377269014685702</v>
      </c>
      <c r="AF1156" s="2">
        <v>93.791354676891501</v>
      </c>
      <c r="AG1156" s="2">
        <v>7.2958336265762798</v>
      </c>
      <c r="AH1156" s="2">
        <v>91.532566353417593</v>
      </c>
      <c r="AI1156" s="2">
        <v>8.1238834992309101</v>
      </c>
      <c r="AJ1156" s="2">
        <v>85.674718364857497</v>
      </c>
      <c r="AK1156" s="2">
        <v>19.473298120900399</v>
      </c>
      <c r="AL1156" s="2">
        <v>104.886157886549</v>
      </c>
      <c r="AM1156" s="2">
        <v>13.7138683045811</v>
      </c>
      <c r="AN1156"/>
      <c r="AO1156"/>
    </row>
    <row r="1157" spans="1:41" ht="15.75" hidden="1" customHeight="1" x14ac:dyDescent="0.45">
      <c r="A1157" s="2" t="s">
        <v>202</v>
      </c>
      <c r="B1157" s="2" t="s">
        <v>203</v>
      </c>
      <c r="C1157" s="2">
        <v>3</v>
      </c>
      <c r="D1157" s="2"/>
      <c r="E1157" s="2" t="s">
        <v>83</v>
      </c>
      <c r="F1157" s="2" t="s">
        <v>84</v>
      </c>
      <c r="H1157" s="2">
        <v>6.2</v>
      </c>
      <c r="J1157" s="2">
        <v>6.2054525299999996</v>
      </c>
      <c r="K1157" s="2">
        <v>31.7111492983333</v>
      </c>
      <c r="L1157" s="2"/>
      <c r="M1157" s="2">
        <v>7.1949110112107197</v>
      </c>
      <c r="N1157" s="2">
        <v>237.833333333333</v>
      </c>
      <c r="O1157" s="2">
        <v>45.341604637585398</v>
      </c>
      <c r="P1157" s="2">
        <v>22.669167370555499</v>
      </c>
      <c r="Q1157" s="2">
        <v>0.89714179511914705</v>
      </c>
      <c r="R1157" s="2">
        <v>1.83517888294444</v>
      </c>
      <c r="S1157" s="2">
        <v>0.36626955956045498</v>
      </c>
      <c r="T1157" s="2">
        <v>4.2737643060555497</v>
      </c>
      <c r="U1157" s="2">
        <v>2.3639637647462899</v>
      </c>
      <c r="V1157" s="2">
        <v>0.101434703277777</v>
      </c>
      <c r="W1157" s="2">
        <v>9.4441699671280299E-2</v>
      </c>
      <c r="X1157" s="2">
        <v>2.4886069895555498</v>
      </c>
      <c r="Y1157" s="2">
        <v>0.32202435534976498</v>
      </c>
      <c r="Z1157" s="7">
        <v>85.278884462151396</v>
      </c>
      <c r="AA1157" s="2">
        <v>16.2579458859868</v>
      </c>
      <c r="AB1157" s="7">
        <v>79.4363139993483</v>
      </c>
      <c r="AC1157" s="2">
        <v>18.023225992441098</v>
      </c>
      <c r="AD1157" s="2">
        <v>96.529646671448205</v>
      </c>
      <c r="AE1157" s="2">
        <v>53.393816460991403</v>
      </c>
      <c r="AF1157" s="2">
        <v>67.036936669256704</v>
      </c>
      <c r="AG1157" s="2">
        <v>2.6530148513907101</v>
      </c>
      <c r="AH1157" s="2">
        <v>49.1306183702102</v>
      </c>
      <c r="AI1157" s="2">
        <v>9.8056108418802506</v>
      </c>
      <c r="AJ1157" s="2">
        <v>21.568143692031999</v>
      </c>
      <c r="AK1157" s="2">
        <v>20.0812156314175</v>
      </c>
      <c r="AL1157" s="2">
        <v>73.912690698855499</v>
      </c>
      <c r="AM1157" s="2">
        <v>9.5642609196064008</v>
      </c>
      <c r="AN1157"/>
      <c r="AO1157"/>
    </row>
    <row r="1158" spans="1:41" ht="15.75" hidden="1" customHeight="1" x14ac:dyDescent="0.45">
      <c r="A1158" s="2" t="s">
        <v>202</v>
      </c>
      <c r="B1158" s="2" t="s">
        <v>203</v>
      </c>
      <c r="C1158" s="2">
        <v>10</v>
      </c>
      <c r="D1158" s="2"/>
      <c r="E1158" s="2" t="s">
        <v>83</v>
      </c>
      <c r="F1158" s="2" t="s">
        <v>84</v>
      </c>
      <c r="H1158" s="2">
        <v>6.2</v>
      </c>
      <c r="J1158" s="2">
        <v>6.2054525299999996</v>
      </c>
      <c r="K1158" s="2">
        <v>4.3485168847777702</v>
      </c>
      <c r="L1158" s="2"/>
      <c r="M1158" s="2">
        <v>1.5191183320147299</v>
      </c>
      <c r="N1158" s="2">
        <v>66.6666666666666</v>
      </c>
      <c r="O1158" s="2">
        <v>13.311440359496901</v>
      </c>
      <c r="P1158" s="2">
        <v>7.5419481555555503</v>
      </c>
      <c r="Q1158" s="2">
        <v>1.4692285668667699</v>
      </c>
      <c r="R1158" s="2">
        <v>14.168606697833299</v>
      </c>
      <c r="S1158" s="2">
        <v>2.2391826258008098</v>
      </c>
      <c r="T1158" s="2">
        <v>13.3449532158333</v>
      </c>
      <c r="U1158" s="2">
        <v>4.12792390363383</v>
      </c>
      <c r="V1158" s="2">
        <v>6.9444444444444406E-2</v>
      </c>
      <c r="W1158" s="2">
        <v>0.120281306081172</v>
      </c>
      <c r="X1158" s="2">
        <v>5.3690955248333303</v>
      </c>
      <c r="Y1158" s="2">
        <v>1.57955081789909</v>
      </c>
      <c r="Z1158" s="7">
        <v>23.904382470119501</v>
      </c>
      <c r="AA1158" s="2">
        <v>4.7730264237240201</v>
      </c>
      <c r="AB1158" s="7">
        <v>10.893019027501101</v>
      </c>
      <c r="AC1158" s="2">
        <v>3.8053859129738701</v>
      </c>
      <c r="AD1158" s="2">
        <v>301.416626309072</v>
      </c>
      <c r="AE1158" s="2">
        <v>93.235613236744399</v>
      </c>
      <c r="AF1158" s="2">
        <v>22.302940933044201</v>
      </c>
      <c r="AG1158" s="2">
        <v>4.3447816490005096</v>
      </c>
      <c r="AH1158" s="2">
        <v>379.31583399214998</v>
      </c>
      <c r="AI1158" s="2">
        <v>59.946432509574201</v>
      </c>
      <c r="AJ1158" s="2">
        <v>14.7660288638045</v>
      </c>
      <c r="AK1158" s="2">
        <v>25.575512218137899</v>
      </c>
      <c r="AL1158" s="2">
        <v>159.46443071370101</v>
      </c>
      <c r="AM1158" s="2">
        <v>46.9133340605743</v>
      </c>
      <c r="AN1158"/>
      <c r="AO1158"/>
    </row>
    <row r="1159" spans="1:41" ht="15.75" hidden="1" customHeight="1" x14ac:dyDescent="0.45">
      <c r="A1159" s="2" t="s">
        <v>204</v>
      </c>
      <c r="B1159" s="2" t="s">
        <v>108</v>
      </c>
      <c r="C1159" s="2">
        <v>3.0000000000000001E-3</v>
      </c>
      <c r="D1159" s="2"/>
      <c r="E1159" s="2" t="s">
        <v>83</v>
      </c>
      <c r="F1159" s="2" t="s">
        <v>84</v>
      </c>
      <c r="H1159" s="2">
        <v>3</v>
      </c>
      <c r="J1159" s="2">
        <v>2.9710053439999999</v>
      </c>
      <c r="K1159" s="2">
        <v>39.852169176111097</v>
      </c>
      <c r="L1159" s="2"/>
      <c r="M1159" s="2">
        <v>4.82670696051545</v>
      </c>
      <c r="N1159" s="2">
        <v>260.11111111111097</v>
      </c>
      <c r="O1159" s="2">
        <v>13.926726237839301</v>
      </c>
      <c r="P1159" s="2">
        <v>36.374147906111098</v>
      </c>
      <c r="Q1159" s="2">
        <v>1.8915259715124999</v>
      </c>
      <c r="R1159" s="2">
        <v>3.3479382767777701</v>
      </c>
      <c r="S1159" s="2">
        <v>0.159099322406065</v>
      </c>
      <c r="T1159" s="2">
        <v>4.7486437424999997</v>
      </c>
      <c r="U1159" s="2">
        <v>0.61351286189345899</v>
      </c>
      <c r="V1159" s="2">
        <v>0.37740387422222199</v>
      </c>
      <c r="W1159" s="2">
        <v>0.23204679770966799</v>
      </c>
      <c r="X1159" s="2">
        <v>3.7226835228333299</v>
      </c>
      <c r="Y1159" s="2">
        <v>0.52631639714800205</v>
      </c>
      <c r="Z1159" s="7">
        <v>93.2669322709163</v>
      </c>
      <c r="AA1159" s="2">
        <v>4.9936468581893996</v>
      </c>
      <c r="AB1159" s="7">
        <v>99.8295392717</v>
      </c>
      <c r="AC1159" s="2">
        <v>12.090883433180901</v>
      </c>
      <c r="AD1159" s="2">
        <v>107.255540971835</v>
      </c>
      <c r="AE1159" s="2">
        <v>13.8571468957827</v>
      </c>
      <c r="AF1159" s="2">
        <v>107.565108577712</v>
      </c>
      <c r="AG1159" s="2">
        <v>5.5935934782165102</v>
      </c>
      <c r="AH1159" s="2">
        <v>89.629561091875203</v>
      </c>
      <c r="AI1159" s="2">
        <v>4.25933851175862</v>
      </c>
      <c r="AJ1159" s="2">
        <v>80.247693601108494</v>
      </c>
      <c r="AK1159" s="2">
        <v>49.340299863374902</v>
      </c>
      <c r="AL1159" s="2">
        <v>110.565290922873</v>
      </c>
      <c r="AM1159" s="2">
        <v>15.631821832616399</v>
      </c>
      <c r="AN1159"/>
      <c r="AO1159"/>
    </row>
    <row r="1160" spans="1:41" ht="15.75" hidden="1" customHeight="1" x14ac:dyDescent="0.45">
      <c r="A1160" s="2" t="s">
        <v>204</v>
      </c>
      <c r="B1160" s="2" t="s">
        <v>108</v>
      </c>
      <c r="C1160" s="2">
        <v>0.01</v>
      </c>
      <c r="D1160" s="2"/>
      <c r="E1160" s="2" t="s">
        <v>83</v>
      </c>
      <c r="F1160" s="2" t="s">
        <v>84</v>
      </c>
      <c r="H1160" s="2">
        <v>3</v>
      </c>
      <c r="J1160" s="2">
        <v>2.9710053439999999</v>
      </c>
      <c r="K1160" s="2">
        <v>37.628604899999999</v>
      </c>
      <c r="L1160" s="2"/>
      <c r="M1160" s="2">
        <v>5.3386923017859003</v>
      </c>
      <c r="N1160" s="2">
        <v>232.666666666666</v>
      </c>
      <c r="O1160" s="2">
        <v>11.292819744322699</v>
      </c>
      <c r="P1160" s="2">
        <v>35.639828828888803</v>
      </c>
      <c r="Q1160" s="2">
        <v>1.3220913658336</v>
      </c>
      <c r="R1160" s="2">
        <v>4.4676063437777698</v>
      </c>
      <c r="S1160" s="2">
        <v>1.0656580393941999</v>
      </c>
      <c r="T1160" s="2">
        <v>3.7590572189999998</v>
      </c>
      <c r="U1160" s="2">
        <v>2.2690711328778601</v>
      </c>
      <c r="V1160" s="2">
        <v>0.39966221533333302</v>
      </c>
      <c r="W1160" s="2">
        <v>1.9482210449570901E-2</v>
      </c>
      <c r="X1160" s="2">
        <v>3.10491583333333</v>
      </c>
      <c r="Y1160" s="2">
        <v>0.29208818626203198</v>
      </c>
      <c r="Z1160" s="7">
        <v>83.426294820717104</v>
      </c>
      <c r="AA1160" s="2">
        <v>4.0492182350161299</v>
      </c>
      <c r="AB1160" s="7">
        <v>94.259518823271193</v>
      </c>
      <c r="AC1160" s="2">
        <v>13.373404856469699</v>
      </c>
      <c r="AD1160" s="2">
        <v>84.904182632084996</v>
      </c>
      <c r="AE1160" s="2">
        <v>51.250518054711698</v>
      </c>
      <c r="AF1160" s="2">
        <v>105.393590732786</v>
      </c>
      <c r="AG1160" s="2">
        <v>3.9096696280727401</v>
      </c>
      <c r="AH1160" s="2">
        <v>119.604832174347</v>
      </c>
      <c r="AI1160" s="2">
        <v>28.529337893546401</v>
      </c>
      <c r="AJ1160" s="2">
        <v>84.980502826330394</v>
      </c>
      <c r="AK1160" s="2">
        <v>4.1425182983387403</v>
      </c>
      <c r="AL1160" s="2">
        <v>92.217326640286899</v>
      </c>
      <c r="AM1160" s="2">
        <v>8.6751439092562102</v>
      </c>
      <c r="AN1160"/>
      <c r="AO1160"/>
    </row>
    <row r="1161" spans="1:41" ht="15.75" hidden="1" customHeight="1" x14ac:dyDescent="0.45">
      <c r="A1161" s="2" t="s">
        <v>204</v>
      </c>
      <c r="B1161" s="2" t="s">
        <v>108</v>
      </c>
      <c r="C1161" s="2">
        <v>0.03</v>
      </c>
      <c r="D1161" s="2"/>
      <c r="E1161" s="2" t="s">
        <v>83</v>
      </c>
      <c r="F1161" s="2" t="s">
        <v>84</v>
      </c>
      <c r="H1161" s="2">
        <v>3</v>
      </c>
      <c r="J1161" s="2">
        <v>2.9710053439999999</v>
      </c>
      <c r="K1161" s="2">
        <v>36.962843149444403</v>
      </c>
      <c r="L1161" s="2"/>
      <c r="M1161" s="2">
        <v>7.6802589968341604</v>
      </c>
      <c r="N1161" s="2">
        <v>252.722222222222</v>
      </c>
      <c r="O1161" s="2">
        <v>37.507900402349797</v>
      </c>
      <c r="P1161" s="2">
        <v>37.074020095000002</v>
      </c>
      <c r="Q1161" s="2">
        <v>3.6255101916558501</v>
      </c>
      <c r="R1161" s="2">
        <v>3.3002119780555499</v>
      </c>
      <c r="S1161" s="2">
        <v>0.80839397789338197</v>
      </c>
      <c r="T1161" s="2">
        <v>3.2812627631111102</v>
      </c>
      <c r="U1161" s="2">
        <v>0.53299570744730096</v>
      </c>
      <c r="V1161" s="2">
        <v>0.53039093027777695</v>
      </c>
      <c r="W1161" s="2">
        <v>0.12745661524736801</v>
      </c>
      <c r="X1161" s="2">
        <v>3.8606194581111102</v>
      </c>
      <c r="Y1161" s="2">
        <v>0.96304742006442101</v>
      </c>
      <c r="Z1161" s="7">
        <v>90.617529880478102</v>
      </c>
      <c r="AA1161" s="2">
        <v>13.4490479530338</v>
      </c>
      <c r="AB1161" s="7">
        <v>92.591788052356904</v>
      </c>
      <c r="AC1161" s="2">
        <v>19.239020936428201</v>
      </c>
      <c r="AD1161" s="2">
        <v>74.112448061420594</v>
      </c>
      <c r="AE1161" s="2">
        <v>12.038541115706</v>
      </c>
      <c r="AF1161" s="2">
        <v>109.63476057843199</v>
      </c>
      <c r="AG1161" s="2">
        <v>10.7213067484543</v>
      </c>
      <c r="AH1161" s="2">
        <v>88.351853185285705</v>
      </c>
      <c r="AI1161" s="2">
        <v>21.641975280868699</v>
      </c>
      <c r="AJ1161" s="2">
        <v>112.777456112377</v>
      </c>
      <c r="AK1161" s="2">
        <v>27.101204058606701</v>
      </c>
      <c r="AL1161" s="2">
        <v>114.662047125532</v>
      </c>
      <c r="AM1161" s="2">
        <v>28.602919780541399</v>
      </c>
      <c r="AN1161"/>
      <c r="AO1161"/>
    </row>
    <row r="1162" spans="1:41" ht="15.75" hidden="1" customHeight="1" x14ac:dyDescent="0.45">
      <c r="A1162" s="2" t="s">
        <v>204</v>
      </c>
      <c r="B1162" s="2" t="s">
        <v>108</v>
      </c>
      <c r="C1162" s="2">
        <v>0.1</v>
      </c>
      <c r="D1162" s="2"/>
      <c r="E1162" s="2" t="s">
        <v>83</v>
      </c>
      <c r="F1162" s="2" t="s">
        <v>84</v>
      </c>
      <c r="H1162" s="2">
        <v>3</v>
      </c>
      <c r="J1162" s="2">
        <v>2.9710053439999999</v>
      </c>
      <c r="K1162" s="2">
        <v>44.258660133888803</v>
      </c>
      <c r="L1162" s="2"/>
      <c r="M1162" s="2">
        <v>0.85703842118790796</v>
      </c>
      <c r="N1162" s="2">
        <v>268.388888888888</v>
      </c>
      <c r="O1162" s="2">
        <v>38.527166942206001</v>
      </c>
      <c r="P1162" s="2">
        <v>36.606240484444399</v>
      </c>
      <c r="Q1162" s="2">
        <v>3.8326342631791501</v>
      </c>
      <c r="R1162" s="2">
        <v>3.8306332087222201</v>
      </c>
      <c r="S1162" s="2">
        <v>0.41441252631338299</v>
      </c>
      <c r="T1162" s="2">
        <v>4.8011512284444402</v>
      </c>
      <c r="U1162" s="2">
        <v>1.68890585874901</v>
      </c>
      <c r="V1162" s="2">
        <v>0.45164773416666598</v>
      </c>
      <c r="W1162" s="2">
        <v>4.43428555344531E-2</v>
      </c>
      <c r="X1162" s="2">
        <v>3.5000281577777699</v>
      </c>
      <c r="Y1162" s="2">
        <v>0.34102196977371402</v>
      </c>
      <c r="Z1162" s="7">
        <v>96.235059760956204</v>
      </c>
      <c r="AA1162" s="2">
        <v>13.814522011149499</v>
      </c>
      <c r="AB1162" s="7">
        <v>110.86778314183699</v>
      </c>
      <c r="AC1162" s="2">
        <v>2.14687813722874</v>
      </c>
      <c r="AD1162" s="2">
        <v>108.441504610176</v>
      </c>
      <c r="AE1162" s="2">
        <v>38.1465785502917</v>
      </c>
      <c r="AF1162" s="2">
        <v>108.25144942212</v>
      </c>
      <c r="AG1162" s="2">
        <v>11.3338110825756</v>
      </c>
      <c r="AH1162" s="2">
        <v>102.552061841528</v>
      </c>
      <c r="AI1162" s="2">
        <v>11.0944736054669</v>
      </c>
      <c r="AJ1162" s="2">
        <v>96.034226097267407</v>
      </c>
      <c r="AK1162" s="2">
        <v>9.4286575400435808</v>
      </c>
      <c r="AL1162" s="2">
        <v>103.952331464485</v>
      </c>
      <c r="AM1162" s="2">
        <v>10.1284981835965</v>
      </c>
      <c r="AN1162"/>
      <c r="AO1162"/>
    </row>
    <row r="1163" spans="1:41" ht="15.75" hidden="1" customHeight="1" x14ac:dyDescent="0.45">
      <c r="A1163" s="2" t="s">
        <v>204</v>
      </c>
      <c r="B1163" s="2" t="s">
        <v>108</v>
      </c>
      <c r="C1163" s="2">
        <v>0.3</v>
      </c>
      <c r="D1163" s="2"/>
      <c r="E1163" s="2" t="s">
        <v>83</v>
      </c>
      <c r="F1163" s="2" t="s">
        <v>84</v>
      </c>
      <c r="H1163" s="2">
        <v>3</v>
      </c>
      <c r="J1163" s="2">
        <v>2.9710053439999999</v>
      </c>
      <c r="K1163" s="2">
        <v>43.198277081666603</v>
      </c>
      <c r="L1163" s="2"/>
      <c r="M1163" s="2">
        <v>4.2223934288943301</v>
      </c>
      <c r="N1163" s="2">
        <v>254.055555555555</v>
      </c>
      <c r="O1163" s="2">
        <v>29.685543307837101</v>
      </c>
      <c r="P1163" s="2">
        <v>36.829561396666598</v>
      </c>
      <c r="Q1163" s="2">
        <v>0.47755089150789298</v>
      </c>
      <c r="R1163" s="2">
        <v>5.4019694093333301</v>
      </c>
      <c r="S1163" s="2">
        <v>1.44687523092877</v>
      </c>
      <c r="T1163" s="2">
        <v>6.8722957121666601</v>
      </c>
      <c r="U1163" s="2">
        <v>1.24674808191985</v>
      </c>
      <c r="V1163" s="2">
        <v>0.96228097344444397</v>
      </c>
      <c r="W1163" s="2">
        <v>0.71161514405899995</v>
      </c>
      <c r="X1163" s="2">
        <v>3.1891587845</v>
      </c>
      <c r="Y1163" s="2">
        <v>0.34874007464880702</v>
      </c>
      <c r="Z1163" s="7">
        <v>91.095617529880499</v>
      </c>
      <c r="AA1163" s="2">
        <v>10.6442187159575</v>
      </c>
      <c r="AB1163" s="7">
        <v>108.21152744124799</v>
      </c>
      <c r="AC1163" s="2">
        <v>10.577080227870001</v>
      </c>
      <c r="AD1163" s="2">
        <v>155.22153993780199</v>
      </c>
      <c r="AE1163" s="2">
        <v>28.1597540757</v>
      </c>
      <c r="AF1163" s="2">
        <v>108.91185082129201</v>
      </c>
      <c r="AG1163" s="2">
        <v>1.4122066482222599</v>
      </c>
      <c r="AH1163" s="2">
        <v>144.61919759652099</v>
      </c>
      <c r="AI1163" s="2">
        <v>38.735120298473603</v>
      </c>
      <c r="AJ1163" s="2">
        <v>204.610588257176</v>
      </c>
      <c r="AK1163" s="2">
        <v>151.31130850217599</v>
      </c>
      <c r="AL1163" s="2">
        <v>94.719378277718306</v>
      </c>
      <c r="AM1163" s="2">
        <v>10.357729195487201</v>
      </c>
      <c r="AN1163"/>
      <c r="AO1163"/>
    </row>
    <row r="1164" spans="1:41" ht="15.75" hidden="1" customHeight="1" x14ac:dyDescent="0.45">
      <c r="A1164" s="2" t="s">
        <v>204</v>
      </c>
      <c r="B1164" s="2" t="s">
        <v>108</v>
      </c>
      <c r="C1164" s="2">
        <v>1</v>
      </c>
      <c r="D1164" s="2"/>
      <c r="E1164" s="2" t="s">
        <v>83</v>
      </c>
      <c r="F1164" s="2" t="s">
        <v>84</v>
      </c>
      <c r="H1164" s="2">
        <v>3</v>
      </c>
      <c r="J1164" s="2">
        <v>2.9710053439999999</v>
      </c>
      <c r="K1164" s="2">
        <v>41.890059600555503</v>
      </c>
      <c r="L1164" s="2"/>
      <c r="M1164" s="2">
        <v>2.5599154270558602</v>
      </c>
      <c r="N1164" s="2">
        <v>250.777777777777</v>
      </c>
      <c r="O1164" s="2">
        <v>11.9214248464839</v>
      </c>
      <c r="P1164" s="2">
        <v>33.493253568888797</v>
      </c>
      <c r="Q1164" s="2">
        <v>1.90362976707137</v>
      </c>
      <c r="R1164" s="2">
        <v>5.8881223739999999</v>
      </c>
      <c r="S1164" s="2">
        <v>2.1936009649743302</v>
      </c>
      <c r="T1164" s="2">
        <v>4.3729252292777696</v>
      </c>
      <c r="U1164" s="2">
        <v>1.0237546022470601</v>
      </c>
      <c r="V1164" s="2">
        <v>0.56698558905555496</v>
      </c>
      <c r="W1164" s="2">
        <v>0.115962086695406</v>
      </c>
      <c r="X1164" s="2">
        <v>3.3757106277222202</v>
      </c>
      <c r="Y1164" s="2">
        <v>0.41449440049742398</v>
      </c>
      <c r="Z1164" s="7">
        <v>89.920318725099605</v>
      </c>
      <c r="AA1164" s="2">
        <v>4.2746144867870699</v>
      </c>
      <c r="AB1164" s="7">
        <v>104.934447395006</v>
      </c>
      <c r="AC1164" s="2">
        <v>6.4125788618475799</v>
      </c>
      <c r="AD1164" s="2">
        <v>98.769351109218306</v>
      </c>
      <c r="AE1164" s="2">
        <v>23.1230978023648</v>
      </c>
      <c r="AF1164" s="2">
        <v>99.045769156096597</v>
      </c>
      <c r="AG1164" s="2">
        <v>5.6293866488731199</v>
      </c>
      <c r="AH1164" s="2">
        <v>157.63427530832499</v>
      </c>
      <c r="AI1164" s="2">
        <v>58.726139924715802</v>
      </c>
      <c r="AJ1164" s="2">
        <v>120.558608256319</v>
      </c>
      <c r="AK1164" s="2">
        <v>24.657113077219801</v>
      </c>
      <c r="AL1164" s="2">
        <v>100.260047714577</v>
      </c>
      <c r="AM1164" s="2">
        <v>12.310660762808901</v>
      </c>
      <c r="AN1164"/>
      <c r="AO1164"/>
    </row>
    <row r="1165" spans="1:41" ht="15.75" hidden="1" customHeight="1" x14ac:dyDescent="0.45">
      <c r="A1165" s="2" t="s">
        <v>204</v>
      </c>
      <c r="B1165" s="2" t="s">
        <v>108</v>
      </c>
      <c r="C1165" s="2">
        <v>3</v>
      </c>
      <c r="D1165" s="2"/>
      <c r="E1165" s="2" t="s">
        <v>83</v>
      </c>
      <c r="F1165" s="2" t="s">
        <v>84</v>
      </c>
      <c r="H1165" s="2">
        <v>3</v>
      </c>
      <c r="J1165" s="2">
        <v>2.9710053439999999</v>
      </c>
      <c r="K1165" s="2">
        <v>32.324350193888797</v>
      </c>
      <c r="L1165" s="2"/>
      <c r="M1165" s="2">
        <v>3.4340246472563498</v>
      </c>
      <c r="N1165" s="2">
        <v>130.055555555555</v>
      </c>
      <c r="O1165" s="2">
        <v>6.6339474869240798</v>
      </c>
      <c r="P1165" s="2">
        <v>42.7910281472222</v>
      </c>
      <c r="Q1165" s="2">
        <v>3.1928090575594998</v>
      </c>
      <c r="R1165" s="2">
        <v>4.418518529</v>
      </c>
      <c r="S1165" s="2">
        <v>2.1007250709066798</v>
      </c>
      <c r="T1165" s="2">
        <v>4.4715828563888804</v>
      </c>
      <c r="U1165" s="2">
        <v>1.8345399048664901</v>
      </c>
      <c r="V1165" s="2">
        <v>1.21264623216666</v>
      </c>
      <c r="W1165" s="2">
        <v>0.30086459480120098</v>
      </c>
      <c r="X1165" s="2">
        <v>3.8790951337222199</v>
      </c>
      <c r="Y1165" s="2">
        <v>0.25401888636605002</v>
      </c>
      <c r="Z1165" s="7">
        <v>46.6334661354581</v>
      </c>
      <c r="AA1165" s="2">
        <v>2.3787062702118198</v>
      </c>
      <c r="AB1165" s="7">
        <v>80.972380019086998</v>
      </c>
      <c r="AC1165" s="2">
        <v>8.6022192886996507</v>
      </c>
      <c r="AD1165" s="2">
        <v>100.997687817675</v>
      </c>
      <c r="AE1165" s="2">
        <v>41.435951105332897</v>
      </c>
      <c r="AF1165" s="2">
        <v>126.541014807789</v>
      </c>
      <c r="AG1165" s="2">
        <v>9.4417291596978501</v>
      </c>
      <c r="AH1165" s="2">
        <v>118.29067434652499</v>
      </c>
      <c r="AI1165" s="2">
        <v>56.2397065041717</v>
      </c>
      <c r="AJ1165" s="2">
        <v>257.84595742689697</v>
      </c>
      <c r="AK1165" s="2">
        <v>63.973084189411999</v>
      </c>
      <c r="AL1165" s="2">
        <v>115.21078258381399</v>
      </c>
      <c r="AM1165" s="2">
        <v>7.5444694395054697</v>
      </c>
      <c r="AN1165"/>
      <c r="AO1165"/>
    </row>
    <row r="1166" spans="1:41" ht="15.75" hidden="1" customHeight="1" x14ac:dyDescent="0.45">
      <c r="A1166" s="2" t="s">
        <v>204</v>
      </c>
      <c r="B1166" s="2" t="s">
        <v>108</v>
      </c>
      <c r="C1166" s="2">
        <v>10</v>
      </c>
      <c r="D1166" s="2"/>
      <c r="E1166" s="2" t="s">
        <v>83</v>
      </c>
      <c r="F1166" s="2" t="s">
        <v>84</v>
      </c>
      <c r="H1166" s="2">
        <v>3</v>
      </c>
      <c r="J1166" s="2">
        <v>2.9710053439999999</v>
      </c>
      <c r="K1166" s="2">
        <v>0</v>
      </c>
      <c r="L1166" s="2"/>
      <c r="M1166" s="2">
        <v>0</v>
      </c>
      <c r="N1166" s="2">
        <v>42.7777777777777</v>
      </c>
      <c r="O1166" s="2">
        <v>5.5636052792864703</v>
      </c>
      <c r="P1166" s="2">
        <v>30.2981732672222</v>
      </c>
      <c r="Q1166" s="2">
        <v>0.27869933770135502</v>
      </c>
      <c r="R1166" s="2">
        <v>16.172271150277702</v>
      </c>
      <c r="S1166" s="2">
        <v>12.887941715184301</v>
      </c>
      <c r="T1166" s="2">
        <v>7.3936411263888804</v>
      </c>
      <c r="U1166" s="2">
        <v>3.9776235472780299</v>
      </c>
      <c r="V1166" s="2">
        <v>0.63454347727777705</v>
      </c>
      <c r="W1166" s="2">
        <v>0.62947558751014099</v>
      </c>
      <c r="X1166" s="2">
        <v>7.5729578520555503</v>
      </c>
      <c r="Y1166" s="2">
        <v>1.38649152747417</v>
      </c>
      <c r="Z1166" s="7">
        <v>15.338645418326699</v>
      </c>
      <c r="AA1166" s="2">
        <v>1.9949182276326001</v>
      </c>
      <c r="AB1166" s="7">
        <v>0</v>
      </c>
      <c r="AC1166" s="2">
        <v>0</v>
      </c>
      <c r="AD1166" s="2">
        <v>166.99694097181401</v>
      </c>
      <c r="AE1166" s="2">
        <v>89.840844771609198</v>
      </c>
      <c r="AF1166" s="2">
        <v>89.597323505894906</v>
      </c>
      <c r="AG1166" s="2">
        <v>0.82416568486395603</v>
      </c>
      <c r="AH1166" s="2">
        <v>432.95707543726701</v>
      </c>
      <c r="AI1166" s="2">
        <v>345.030422849194</v>
      </c>
      <c r="AJ1166" s="2">
        <v>134.92349713184399</v>
      </c>
      <c r="AK1166" s="2">
        <v>133.84590759698401</v>
      </c>
      <c r="AL1166" s="2">
        <v>224.920083301066</v>
      </c>
      <c r="AM1166" s="2">
        <v>41.179390661875601</v>
      </c>
      <c r="AN1166"/>
      <c r="AO1166"/>
    </row>
    <row r="1167" spans="1:41" ht="15.75" hidden="1" customHeight="1" x14ac:dyDescent="0.45">
      <c r="A1167" s="2" t="s">
        <v>205</v>
      </c>
      <c r="B1167" s="2" t="s">
        <v>206</v>
      </c>
      <c r="C1167" s="2">
        <v>3.0000000000000001E-3</v>
      </c>
      <c r="D1167" s="2"/>
      <c r="E1167" s="2" t="s">
        <v>109</v>
      </c>
      <c r="F1167" s="2" t="s">
        <v>84</v>
      </c>
      <c r="H1167" s="2">
        <v>0.1</v>
      </c>
      <c r="J1167" s="2">
        <v>0.1</v>
      </c>
      <c r="K1167" s="2">
        <v>24.9444444444444</v>
      </c>
      <c r="L1167" s="2"/>
      <c r="M1167" s="2">
        <v>8.7580650661949093</v>
      </c>
      <c r="N1167" s="2">
        <v>100.055555555555</v>
      </c>
      <c r="O1167" s="2">
        <v>20.003703360831601</v>
      </c>
      <c r="P1167" s="2">
        <v>27.3333333333333</v>
      </c>
      <c r="Q1167" s="2">
        <v>3.1797973380564799</v>
      </c>
      <c r="R1167" s="2">
        <v>1.6111111111111101</v>
      </c>
      <c r="S1167" s="2">
        <v>0.63098981620003003</v>
      </c>
      <c r="T1167" s="2">
        <v>5.05555555555555</v>
      </c>
      <c r="U1167" s="2">
        <v>0.63098981620003303</v>
      </c>
      <c r="V1167" s="2">
        <v>0.66666666666666596</v>
      </c>
      <c r="W1167" s="2">
        <v>0.28867513459481198</v>
      </c>
      <c r="X1167" s="2">
        <v>1.94444444444444</v>
      </c>
      <c r="Y1167" s="2">
        <v>1.0844011831079501</v>
      </c>
      <c r="Z1167" s="7">
        <v>69.691399825868203</v>
      </c>
      <c r="AA1167" s="2">
        <v>13.9331202668073</v>
      </c>
      <c r="AB1167" s="7">
        <v>70.15625</v>
      </c>
      <c r="AC1167" s="2">
        <v>24.632057998673201</v>
      </c>
      <c r="AD1167" s="2">
        <v>103.40909090909</v>
      </c>
      <c r="AE1167" s="2">
        <v>12.9066098768188</v>
      </c>
      <c r="AF1167" s="2">
        <v>162.91390728476799</v>
      </c>
      <c r="AG1167" s="2">
        <v>18.9524344652373</v>
      </c>
      <c r="AH1167" s="2">
        <v>69.047619047618994</v>
      </c>
      <c r="AI1167" s="2">
        <v>27.042420694286999</v>
      </c>
      <c r="AJ1167" s="2">
        <v>109.09090909090899</v>
      </c>
      <c r="AK1167" s="2">
        <v>47.237749297333004</v>
      </c>
      <c r="AL1167" s="2">
        <v>86.419753086419703</v>
      </c>
      <c r="AM1167" s="2">
        <v>48.195608138131099</v>
      </c>
      <c r="AN1167"/>
      <c r="AO1167"/>
    </row>
    <row r="1168" spans="1:41" ht="15.75" hidden="1" customHeight="1" x14ac:dyDescent="0.45">
      <c r="A1168" s="2" t="s">
        <v>205</v>
      </c>
      <c r="B1168" s="2" t="s">
        <v>206</v>
      </c>
      <c r="C1168" s="2">
        <v>0.01</v>
      </c>
      <c r="D1168" s="2"/>
      <c r="E1168" s="2" t="s">
        <v>109</v>
      </c>
      <c r="F1168" s="2" t="s">
        <v>84</v>
      </c>
      <c r="H1168" s="2">
        <v>0.1</v>
      </c>
      <c r="J1168" s="2">
        <v>0.1</v>
      </c>
      <c r="K1168" s="2">
        <v>22.6666666666666</v>
      </c>
      <c r="L1168" s="2"/>
      <c r="M1168" s="2">
        <v>10.7509689485801</v>
      </c>
      <c r="N1168" s="2">
        <v>93.2222222222222</v>
      </c>
      <c r="O1168" s="2">
        <v>16.988830753479402</v>
      </c>
      <c r="P1168" s="2">
        <v>27.0555555555555</v>
      </c>
      <c r="Q1168" s="2">
        <v>7.2078917655375196</v>
      </c>
      <c r="R1168" s="2">
        <v>0.72222222222222199</v>
      </c>
      <c r="S1168" s="2">
        <v>0.34694433324435497</v>
      </c>
      <c r="T1168" s="2">
        <v>2.55555555555555</v>
      </c>
      <c r="U1168" s="2">
        <v>1.1097213530798899</v>
      </c>
      <c r="V1168" s="2">
        <v>0.55555555555555503</v>
      </c>
      <c r="W1168" s="2">
        <v>0.25458753860865702</v>
      </c>
      <c r="X1168" s="2">
        <v>1.8333333333333299</v>
      </c>
      <c r="Y1168" s="2">
        <v>0.44095855184409899</v>
      </c>
      <c r="Z1168" s="7">
        <v>64.931798394118204</v>
      </c>
      <c r="AA1168" s="2">
        <v>11.833179977271101</v>
      </c>
      <c r="AB1168" s="7">
        <v>63.75</v>
      </c>
      <c r="AC1168" s="2">
        <v>30.237100167881501</v>
      </c>
      <c r="AD1168" s="2">
        <v>52.272727272727202</v>
      </c>
      <c r="AE1168" s="2">
        <v>22.698845858452401</v>
      </c>
      <c r="AF1168" s="2">
        <v>161.25827814569499</v>
      </c>
      <c r="AG1168" s="2">
        <v>42.960944297905698</v>
      </c>
      <c r="AH1168" s="2">
        <v>30.952380952380899</v>
      </c>
      <c r="AI1168" s="2">
        <v>14.8690428533295</v>
      </c>
      <c r="AJ1168" s="2">
        <v>90.909090909090907</v>
      </c>
      <c r="AK1168" s="2">
        <v>41.659779045053099</v>
      </c>
      <c r="AL1168" s="2">
        <v>81.481481481481396</v>
      </c>
      <c r="AM1168" s="2">
        <v>19.5981578597377</v>
      </c>
      <c r="AN1168"/>
      <c r="AO1168"/>
    </row>
    <row r="1169" spans="1:41" ht="15.75" hidden="1" customHeight="1" x14ac:dyDescent="0.45">
      <c r="A1169" s="2" t="s">
        <v>205</v>
      </c>
      <c r="B1169" s="2" t="s">
        <v>206</v>
      </c>
      <c r="C1169" s="2">
        <v>0.03</v>
      </c>
      <c r="D1169" s="2"/>
      <c r="E1169" s="2" t="s">
        <v>109</v>
      </c>
      <c r="F1169" s="2" t="s">
        <v>84</v>
      </c>
      <c r="H1169" s="2">
        <v>0.1</v>
      </c>
      <c r="J1169" s="2">
        <v>0.1</v>
      </c>
      <c r="K1169" s="2">
        <v>12.8333333333333</v>
      </c>
      <c r="L1169" s="2"/>
      <c r="M1169" s="2">
        <v>3.0550504633039002</v>
      </c>
      <c r="N1169" s="2">
        <v>81.8888888888888</v>
      </c>
      <c r="O1169" s="2">
        <v>31.765343332585498</v>
      </c>
      <c r="P1169" s="2">
        <v>20.9444444444444</v>
      </c>
      <c r="Q1169" s="2">
        <v>2.8496263562738</v>
      </c>
      <c r="R1169" s="2">
        <v>0.22222222222222199</v>
      </c>
      <c r="S1169" s="2">
        <v>0.25458753860865702</v>
      </c>
      <c r="T1169" s="2">
        <v>11.5555555555555</v>
      </c>
      <c r="U1169" s="2">
        <v>11.168324918333999</v>
      </c>
      <c r="V1169" s="2">
        <v>0.77777777777777701</v>
      </c>
      <c r="W1169" s="2">
        <v>0.50917507721731503</v>
      </c>
      <c r="X1169" s="2">
        <v>0.94444444444444398</v>
      </c>
      <c r="Y1169" s="2">
        <v>0.25458753860865801</v>
      </c>
      <c r="Z1169" s="7">
        <v>57.037825287800999</v>
      </c>
      <c r="AA1169" s="2">
        <v>22.125420527678799</v>
      </c>
      <c r="AB1169" s="7">
        <v>36.09375</v>
      </c>
      <c r="AC1169" s="2">
        <v>8.5923294280422304</v>
      </c>
      <c r="AD1169" s="2">
        <v>236.363636363636</v>
      </c>
      <c r="AE1169" s="2">
        <v>228.44300969319599</v>
      </c>
      <c r="AF1169" s="2">
        <v>124.834437086092</v>
      </c>
      <c r="AG1169" s="2">
        <v>16.984527951300802</v>
      </c>
      <c r="AH1169" s="2">
        <v>9.5238095238095202</v>
      </c>
      <c r="AI1169" s="2">
        <v>10.910894511799601</v>
      </c>
      <c r="AJ1169" s="2">
        <v>127.272727272727</v>
      </c>
      <c r="AK1169" s="2">
        <v>83.319558090106199</v>
      </c>
      <c r="AL1169" s="2">
        <v>41.975308641975303</v>
      </c>
      <c r="AM1169" s="2">
        <v>11.3150017159403</v>
      </c>
      <c r="AN1169"/>
      <c r="AO1169"/>
    </row>
    <row r="1170" spans="1:41" ht="15.75" hidden="1" customHeight="1" x14ac:dyDescent="0.45">
      <c r="A1170" s="2" t="s">
        <v>205</v>
      </c>
      <c r="B1170" s="2" t="s">
        <v>206</v>
      </c>
      <c r="C1170" s="2">
        <v>0.1</v>
      </c>
      <c r="D1170" s="2"/>
      <c r="E1170" s="2" t="s">
        <v>109</v>
      </c>
      <c r="F1170" s="2" t="s">
        <v>84</v>
      </c>
      <c r="H1170" s="2">
        <v>0.1</v>
      </c>
      <c r="J1170" s="2">
        <v>0.1</v>
      </c>
      <c r="K1170" s="2">
        <v>9.8333333333333304</v>
      </c>
      <c r="L1170" s="2"/>
      <c r="M1170" s="2">
        <v>4.6398036356916803</v>
      </c>
      <c r="N1170" s="2">
        <v>76.7222222222222</v>
      </c>
      <c r="O1170" s="2">
        <v>3.0971910810592602</v>
      </c>
      <c r="P1170" s="2">
        <v>23.3333333333333</v>
      </c>
      <c r="Q1170" s="2">
        <v>5.1666666666666696</v>
      </c>
      <c r="R1170" s="2">
        <v>0.66666666666666596</v>
      </c>
      <c r="S1170" s="2">
        <v>0.5</v>
      </c>
      <c r="T1170" s="2">
        <v>4.2777777777777697</v>
      </c>
      <c r="U1170" s="2">
        <v>4.3503937667670796</v>
      </c>
      <c r="V1170" s="2">
        <v>0.38888888888888801</v>
      </c>
      <c r="W1170" s="2">
        <v>0.67357531405456295</v>
      </c>
      <c r="X1170" s="2">
        <v>2.3333333333333299</v>
      </c>
      <c r="Y1170" s="2">
        <v>1.6072751268321499</v>
      </c>
      <c r="Z1170" s="7">
        <v>53.439102254038801</v>
      </c>
      <c r="AA1170" s="2">
        <v>2.1572773322653198</v>
      </c>
      <c r="AB1170" s="7">
        <v>27.65625</v>
      </c>
      <c r="AC1170" s="2">
        <v>13.0494477253828</v>
      </c>
      <c r="AD1170" s="2">
        <v>87.5</v>
      </c>
      <c r="AE1170" s="2">
        <v>88.985327047508605</v>
      </c>
      <c r="AF1170" s="2">
        <v>139.072847682119</v>
      </c>
      <c r="AG1170" s="2">
        <v>30.794701986755001</v>
      </c>
      <c r="AH1170" s="2">
        <v>28.571428571428498</v>
      </c>
      <c r="AI1170" s="2">
        <v>21.428571428571399</v>
      </c>
      <c r="AJ1170" s="2">
        <v>63.636363636363598</v>
      </c>
      <c r="AK1170" s="2">
        <v>110.22141502711</v>
      </c>
      <c r="AL1170" s="2">
        <v>103.703703703703</v>
      </c>
      <c r="AM1170" s="2">
        <v>71.434450081429205</v>
      </c>
      <c r="AN1170"/>
      <c r="AO1170"/>
    </row>
    <row r="1171" spans="1:41" ht="15.75" hidden="1" customHeight="1" x14ac:dyDescent="0.45">
      <c r="A1171" s="2" t="s">
        <v>205</v>
      </c>
      <c r="B1171" s="2" t="s">
        <v>206</v>
      </c>
      <c r="C1171" s="2">
        <v>0.3</v>
      </c>
      <c r="D1171" s="2"/>
      <c r="E1171" s="2" t="s">
        <v>109</v>
      </c>
      <c r="F1171" s="2" t="s">
        <v>84</v>
      </c>
      <c r="H1171" s="2">
        <v>0.1</v>
      </c>
      <c r="J1171" s="2">
        <v>0.1</v>
      </c>
      <c r="K1171" s="2">
        <v>6.4444444444444402</v>
      </c>
      <c r="L1171" s="2"/>
      <c r="M1171" s="2">
        <v>2.0838888148345598</v>
      </c>
      <c r="N1171" s="2">
        <v>61.3888888888888</v>
      </c>
      <c r="O1171" s="2">
        <v>8.4890997646873405</v>
      </c>
      <c r="P1171" s="2">
        <v>22.7222222222222</v>
      </c>
      <c r="Q1171" s="2">
        <v>4.5164309081561198</v>
      </c>
      <c r="R1171" s="2">
        <v>0.44444444444444398</v>
      </c>
      <c r="S1171" s="2">
        <v>0.38490017945975002</v>
      </c>
      <c r="T1171" s="2">
        <v>3.1666666666666599</v>
      </c>
      <c r="U1171" s="2">
        <v>0.44095855184409999</v>
      </c>
      <c r="V1171" s="2">
        <v>0.88888888888888795</v>
      </c>
      <c r="W1171" s="2">
        <v>0.19245008972987501</v>
      </c>
      <c r="X1171" s="2">
        <v>1.88888888888888</v>
      </c>
      <c r="Y1171" s="2">
        <v>0.85526690657448001</v>
      </c>
      <c r="Z1171" s="7">
        <v>42.759020992551001</v>
      </c>
      <c r="AA1171" s="2">
        <v>5.91288752111336</v>
      </c>
      <c r="AB1171" s="7">
        <v>18.125</v>
      </c>
      <c r="AC1171" s="2">
        <v>5.8609372917222</v>
      </c>
      <c r="AD1171" s="2">
        <v>64.772727272727195</v>
      </c>
      <c r="AE1171" s="2">
        <v>9.0196067422656903</v>
      </c>
      <c r="AF1171" s="2">
        <v>135.43046357615799</v>
      </c>
      <c r="AG1171" s="2">
        <v>26.919124618148999</v>
      </c>
      <c r="AH1171" s="2">
        <v>19.047619047619001</v>
      </c>
      <c r="AI1171" s="2">
        <v>16.495721976846401</v>
      </c>
      <c r="AJ1171" s="2">
        <v>145.45454545454501</v>
      </c>
      <c r="AK1171" s="2">
        <v>31.4918328648886</v>
      </c>
      <c r="AL1171" s="2">
        <v>83.950617283950606</v>
      </c>
      <c r="AM1171" s="2">
        <v>38.011862514421303</v>
      </c>
      <c r="AN1171"/>
      <c r="AO1171"/>
    </row>
    <row r="1172" spans="1:41" ht="15.75" hidden="1" customHeight="1" x14ac:dyDescent="0.45">
      <c r="A1172" s="2" t="s">
        <v>205</v>
      </c>
      <c r="B1172" s="2" t="s">
        <v>206</v>
      </c>
      <c r="C1172" s="2">
        <v>1</v>
      </c>
      <c r="D1172" s="2"/>
      <c r="E1172" s="2" t="s">
        <v>109</v>
      </c>
      <c r="F1172" s="2" t="s">
        <v>84</v>
      </c>
      <c r="H1172" s="2">
        <v>0.1</v>
      </c>
      <c r="J1172" s="2">
        <v>0.1</v>
      </c>
      <c r="K1172" s="2">
        <v>4.05555555555555</v>
      </c>
      <c r="L1172" s="2"/>
      <c r="M1172" s="2">
        <v>2.2005891467042602</v>
      </c>
      <c r="N1172" s="2">
        <v>57.5555555555555</v>
      </c>
      <c r="O1172" s="2">
        <v>7.7286144606572797</v>
      </c>
      <c r="P1172" s="2">
        <v>25.0555555555555</v>
      </c>
      <c r="Q1172" s="2">
        <v>4.9925870974802304</v>
      </c>
      <c r="R1172" s="2">
        <v>0.11111111111111099</v>
      </c>
      <c r="S1172" s="2">
        <v>0.19245008972987501</v>
      </c>
      <c r="T1172" s="2">
        <v>5.2222222222222197</v>
      </c>
      <c r="U1172" s="2">
        <v>1.29457557752567</v>
      </c>
      <c r="V1172" s="2">
        <v>1.05555555555555</v>
      </c>
      <c r="W1172" s="2">
        <v>0.78763593770876705</v>
      </c>
      <c r="X1172" s="2">
        <v>2.55555555555555</v>
      </c>
      <c r="Y1172" s="2">
        <v>1.2509255832441799</v>
      </c>
      <c r="Z1172" s="7">
        <v>40.089000677179001</v>
      </c>
      <c r="AA1172" s="2">
        <v>5.38318894425195</v>
      </c>
      <c r="AB1172" s="7">
        <v>11.40625</v>
      </c>
      <c r="AC1172" s="2">
        <v>6.1891569751057398</v>
      </c>
      <c r="AD1172" s="2">
        <v>106.818181818181</v>
      </c>
      <c r="AE1172" s="2">
        <v>26.4799549948433</v>
      </c>
      <c r="AF1172" s="2">
        <v>149.33774834437</v>
      </c>
      <c r="AG1172" s="2">
        <v>29.757141640610602</v>
      </c>
      <c r="AH1172" s="2">
        <v>4.7619047619047601</v>
      </c>
      <c r="AI1172" s="2">
        <v>8.2478609884232199</v>
      </c>
      <c r="AJ1172" s="2">
        <v>172.72727272727201</v>
      </c>
      <c r="AK1172" s="2">
        <v>128.88588071597999</v>
      </c>
      <c r="AL1172" s="2">
        <v>113.58024691358</v>
      </c>
      <c r="AM1172" s="2">
        <v>55.596692588630603</v>
      </c>
      <c r="AN1172"/>
      <c r="AO1172"/>
    </row>
    <row r="1173" spans="1:41" ht="15.75" hidden="1" customHeight="1" x14ac:dyDescent="0.45">
      <c r="A1173" s="2" t="s">
        <v>205</v>
      </c>
      <c r="B1173" s="2" t="s">
        <v>206</v>
      </c>
      <c r="C1173" s="2">
        <v>3</v>
      </c>
      <c r="D1173" s="2"/>
      <c r="E1173" s="2" t="s">
        <v>109</v>
      </c>
      <c r="F1173" s="2" t="s">
        <v>84</v>
      </c>
      <c r="H1173" s="2">
        <v>0.1</v>
      </c>
      <c r="J1173" s="2">
        <v>0.1</v>
      </c>
      <c r="K1173" s="2">
        <v>0.22222222222222199</v>
      </c>
      <c r="L1173" s="2"/>
      <c r="M1173" s="2">
        <v>0.38490017945975002</v>
      </c>
      <c r="N1173" s="2">
        <v>30.5</v>
      </c>
      <c r="O1173" s="2">
        <v>18.305281569354001</v>
      </c>
      <c r="P1173" s="2">
        <v>23.3888888888888</v>
      </c>
      <c r="Q1173" s="2">
        <v>1.26197963240011</v>
      </c>
      <c r="R1173" s="2">
        <v>0</v>
      </c>
      <c r="S1173" s="2">
        <v>0</v>
      </c>
      <c r="T1173" s="2">
        <v>23.1666666666666</v>
      </c>
      <c r="U1173" s="2">
        <v>11.6201453423689</v>
      </c>
      <c r="V1173" s="2">
        <v>0.72222222222222199</v>
      </c>
      <c r="W1173" s="2">
        <v>0.75154162547048198</v>
      </c>
      <c r="X1173" s="2">
        <v>8.6111111111111107</v>
      </c>
      <c r="Y1173" s="2">
        <v>4.4294887256172499</v>
      </c>
      <c r="Z1173" s="7">
        <v>21.244074683176901</v>
      </c>
      <c r="AA1173" s="2">
        <v>12.750123565768501</v>
      </c>
      <c r="AB1173" s="7">
        <v>0.625</v>
      </c>
      <c r="AC1173" s="2">
        <v>1.08253175473054</v>
      </c>
      <c r="AD1173" s="2">
        <v>473.86363636363598</v>
      </c>
      <c r="AE1173" s="2">
        <v>237.68479109390901</v>
      </c>
      <c r="AF1173" s="2">
        <v>139.403973509933</v>
      </c>
      <c r="AG1173" s="2">
        <v>7.5217329083450402</v>
      </c>
      <c r="AH1173" s="2">
        <v>0</v>
      </c>
      <c r="AI1173" s="2">
        <v>0</v>
      </c>
      <c r="AJ1173" s="2">
        <v>118.181818181818</v>
      </c>
      <c r="AK1173" s="2">
        <v>122.979538713351</v>
      </c>
      <c r="AL1173" s="2">
        <v>382.71604938271599</v>
      </c>
      <c r="AM1173" s="2">
        <v>196.866165582989</v>
      </c>
      <c r="AN1173"/>
      <c r="AO1173"/>
    </row>
    <row r="1174" spans="1:41" ht="15.75" hidden="1" customHeight="1" x14ac:dyDescent="0.45">
      <c r="A1174" s="2" t="s">
        <v>205</v>
      </c>
      <c r="B1174" s="2" t="s">
        <v>206</v>
      </c>
      <c r="C1174" s="2">
        <v>10</v>
      </c>
      <c r="D1174" s="2"/>
      <c r="E1174" s="2" t="s">
        <v>109</v>
      </c>
      <c r="F1174" s="2" t="s">
        <v>84</v>
      </c>
      <c r="H1174" s="2">
        <v>0.1</v>
      </c>
      <c r="J1174" s="2">
        <v>0.1</v>
      </c>
      <c r="K1174" s="2">
        <v>0</v>
      </c>
      <c r="L1174" s="2"/>
      <c r="M1174" s="2">
        <v>0</v>
      </c>
      <c r="N1174" s="2">
        <v>11.3888888888888</v>
      </c>
      <c r="O1174" s="2">
        <v>0.75154162547047798</v>
      </c>
      <c r="P1174" s="2">
        <v>0.38888888888888801</v>
      </c>
      <c r="Q1174" s="2">
        <v>0.67357531405456295</v>
      </c>
      <c r="R1174" s="2">
        <v>0</v>
      </c>
      <c r="S1174" s="2">
        <v>0</v>
      </c>
      <c r="T1174" s="2">
        <v>87.1666666666666</v>
      </c>
      <c r="U1174" s="2">
        <v>1.9220937657791399</v>
      </c>
      <c r="V1174" s="2">
        <v>0</v>
      </c>
      <c r="W1174" s="2">
        <v>0</v>
      </c>
      <c r="X1174" s="2">
        <v>2.7222222222222201</v>
      </c>
      <c r="Y1174" s="2">
        <v>0.58531409738070805</v>
      </c>
      <c r="Z1174" s="7">
        <v>7.9326690529167001</v>
      </c>
      <c r="AA1174" s="2">
        <v>0.52346906291839401</v>
      </c>
      <c r="AB1174" s="7">
        <v>0</v>
      </c>
      <c r="AC1174" s="2">
        <v>0</v>
      </c>
      <c r="AD1174" s="2">
        <v>1782.95454545454</v>
      </c>
      <c r="AE1174" s="2">
        <v>39.315554300027998</v>
      </c>
      <c r="AF1174" s="2">
        <v>2.3178807947019799</v>
      </c>
      <c r="AG1174" s="2">
        <v>4.0146873023119598</v>
      </c>
      <c r="AH1174" s="2">
        <v>0</v>
      </c>
      <c r="AI1174" s="2">
        <v>0</v>
      </c>
      <c r="AJ1174" s="2">
        <v>0</v>
      </c>
      <c r="AK1174" s="2">
        <v>0</v>
      </c>
      <c r="AL1174" s="2">
        <v>120.98765432098701</v>
      </c>
      <c r="AM1174" s="2">
        <v>26.013959883586999</v>
      </c>
      <c r="AN1174"/>
      <c r="AO1174"/>
    </row>
    <row r="1175" spans="1:41" ht="15.75" hidden="1" customHeight="1" x14ac:dyDescent="0.45">
      <c r="A1175" s="2" t="s">
        <v>205</v>
      </c>
      <c r="B1175" s="2" t="s">
        <v>206</v>
      </c>
      <c r="C1175" s="2">
        <v>3.0000000000000001E-3</v>
      </c>
      <c r="D1175" s="2"/>
      <c r="E1175" s="2" t="s">
        <v>109</v>
      </c>
      <c r="F1175" s="2" t="s">
        <v>84</v>
      </c>
      <c r="H1175" s="2">
        <v>0.2</v>
      </c>
      <c r="J1175" s="2">
        <v>0.2</v>
      </c>
      <c r="K1175" s="2">
        <v>30.6111111111111</v>
      </c>
      <c r="L1175" s="2"/>
      <c r="M1175" s="2">
        <v>2.52945609729611</v>
      </c>
      <c r="N1175" s="2">
        <v>213.055555555555</v>
      </c>
      <c r="O1175" s="2">
        <v>38.511301852448099</v>
      </c>
      <c r="P1175" s="2">
        <v>15.8333333333333</v>
      </c>
      <c r="Q1175" s="2">
        <v>0.92796072713835398</v>
      </c>
      <c r="R1175" s="2">
        <v>2.2222222222222201</v>
      </c>
      <c r="S1175" s="2">
        <v>0.38490017945975002</v>
      </c>
      <c r="T1175" s="2">
        <v>9.3333333333333304</v>
      </c>
      <c r="U1175" s="2">
        <v>1.4529663145135701</v>
      </c>
      <c r="V1175" s="2">
        <v>0.77777777777777701</v>
      </c>
      <c r="W1175" s="2">
        <v>0.48112522432468802</v>
      </c>
      <c r="X1175" s="2">
        <v>3.7222222222222201</v>
      </c>
      <c r="Y1175" s="2">
        <v>0.19245008972986799</v>
      </c>
      <c r="Z1175" s="7">
        <v>89.902127410185699</v>
      </c>
      <c r="AA1175" s="2">
        <v>16.250446775926001</v>
      </c>
      <c r="AB1175" s="7">
        <v>87.390959555907997</v>
      </c>
      <c r="AC1175" s="2">
        <v>7.2212862412894596</v>
      </c>
      <c r="AD1175" s="2">
        <v>117.07317073170699</v>
      </c>
      <c r="AE1175" s="2">
        <v>18.225361436407201</v>
      </c>
      <c r="AF1175" s="2">
        <v>113.99999999999901</v>
      </c>
      <c r="AG1175" s="2">
        <v>6.6813172353961399</v>
      </c>
      <c r="AH1175" s="2">
        <v>122.13740458015199</v>
      </c>
      <c r="AI1175" s="2">
        <v>21.154819023742</v>
      </c>
      <c r="AJ1175" s="2">
        <v>119.148936170212</v>
      </c>
      <c r="AK1175" s="2">
        <v>73.704289683781994</v>
      </c>
      <c r="AL1175" s="2">
        <v>97.454545454545396</v>
      </c>
      <c r="AM1175" s="2">
        <v>5.0386932583820103</v>
      </c>
      <c r="AN1175"/>
      <c r="AO1175"/>
    </row>
    <row r="1176" spans="1:41" ht="15.75" hidden="1" customHeight="1" x14ac:dyDescent="0.45">
      <c r="A1176" s="2" t="s">
        <v>205</v>
      </c>
      <c r="B1176" s="2" t="s">
        <v>206</v>
      </c>
      <c r="C1176" s="2">
        <v>0.01</v>
      </c>
      <c r="D1176" s="2"/>
      <c r="E1176" s="2" t="s">
        <v>109</v>
      </c>
      <c r="F1176" s="2" t="s">
        <v>84</v>
      </c>
      <c r="H1176" s="2">
        <v>0.2</v>
      </c>
      <c r="J1176" s="2">
        <v>0.2</v>
      </c>
      <c r="K1176" s="2">
        <v>25.1111111111111</v>
      </c>
      <c r="L1176" s="2"/>
      <c r="M1176" s="2">
        <v>4.8199047170542402</v>
      </c>
      <c r="N1176" s="2">
        <v>174.944444444444</v>
      </c>
      <c r="O1176" s="2">
        <v>21.395958427633602</v>
      </c>
      <c r="P1176" s="2">
        <v>15.8333333333333</v>
      </c>
      <c r="Q1176" s="2">
        <v>1.3017082793177801</v>
      </c>
      <c r="R1176" s="2">
        <v>1.94444444444444</v>
      </c>
      <c r="S1176" s="2">
        <v>0.78763593770876705</v>
      </c>
      <c r="T1176" s="2">
        <v>8.2222222222222197</v>
      </c>
      <c r="U1176" s="2">
        <v>2.42861033271048</v>
      </c>
      <c r="V1176" s="2">
        <v>0.72222222222222199</v>
      </c>
      <c r="W1176" s="2">
        <v>0.19245008972987501</v>
      </c>
      <c r="X1176" s="2">
        <v>3.6111111111111098</v>
      </c>
      <c r="Y1176" s="2">
        <v>0.38490017945974597</v>
      </c>
      <c r="Z1176" s="7">
        <v>73.820547383226796</v>
      </c>
      <c r="AA1176" s="2">
        <v>9.0283596483011497</v>
      </c>
      <c r="AB1176" s="7">
        <v>71.689135606661296</v>
      </c>
      <c r="AC1176" s="2">
        <v>13.760235512605201</v>
      </c>
      <c r="AD1176" s="2">
        <v>103.135888501742</v>
      </c>
      <c r="AE1176" s="2">
        <v>30.463404870236001</v>
      </c>
      <c r="AF1176" s="2">
        <v>113.99999999999901</v>
      </c>
      <c r="AG1176" s="2">
        <v>9.3722996110880192</v>
      </c>
      <c r="AH1176" s="2">
        <v>106.870229007633</v>
      </c>
      <c r="AI1176" s="2">
        <v>43.289914133611603</v>
      </c>
      <c r="AJ1176" s="2">
        <v>110.63829787234</v>
      </c>
      <c r="AK1176" s="2">
        <v>29.481715873512801</v>
      </c>
      <c r="AL1176" s="2">
        <v>94.545454545454504</v>
      </c>
      <c r="AM1176" s="2">
        <v>10.0773865167642</v>
      </c>
      <c r="AN1176"/>
      <c r="AO1176"/>
    </row>
    <row r="1177" spans="1:41" ht="15.75" hidden="1" customHeight="1" x14ac:dyDescent="0.45">
      <c r="A1177" s="2" t="s">
        <v>205</v>
      </c>
      <c r="B1177" s="2" t="s">
        <v>206</v>
      </c>
      <c r="C1177" s="2">
        <v>0.03</v>
      </c>
      <c r="D1177" s="2"/>
      <c r="E1177" s="2" t="s">
        <v>109</v>
      </c>
      <c r="F1177" s="2" t="s">
        <v>84</v>
      </c>
      <c r="H1177" s="2">
        <v>0.2</v>
      </c>
      <c r="J1177" s="2">
        <v>0.2</v>
      </c>
      <c r="K1177" s="2">
        <v>21.9444444444444</v>
      </c>
      <c r="L1177" s="2"/>
      <c r="M1177" s="2">
        <v>3.10167218937953</v>
      </c>
      <c r="N1177" s="2">
        <v>173.444444444444</v>
      </c>
      <c r="O1177" s="2">
        <v>17.386403798285201</v>
      </c>
      <c r="P1177" s="2">
        <v>18.6111111111111</v>
      </c>
      <c r="Q1177" s="2">
        <v>1.0584754935143399</v>
      </c>
      <c r="R1177" s="2">
        <v>2</v>
      </c>
      <c r="S1177" s="2">
        <v>1.4529663145135501</v>
      </c>
      <c r="T1177" s="2">
        <v>11.2777777777777</v>
      </c>
      <c r="U1177" s="2">
        <v>2.5018511664883798</v>
      </c>
      <c r="V1177" s="2">
        <v>0.77777777777777701</v>
      </c>
      <c r="W1177" s="2">
        <v>0.50917507721731503</v>
      </c>
      <c r="X1177" s="2">
        <v>4.2222222222222197</v>
      </c>
      <c r="Y1177" s="2">
        <v>1.0584754935143099</v>
      </c>
      <c r="Z1177" s="7">
        <v>73.187598898200804</v>
      </c>
      <c r="AA1177" s="2">
        <v>7.33646529611757</v>
      </c>
      <c r="AB1177" s="7">
        <v>62.648691514670901</v>
      </c>
      <c r="AC1177" s="2">
        <v>8.8548928483475997</v>
      </c>
      <c r="AD1177" s="2">
        <v>141.46341463414601</v>
      </c>
      <c r="AE1177" s="2">
        <v>31.382105224244398</v>
      </c>
      <c r="AF1177" s="2">
        <v>134</v>
      </c>
      <c r="AG1177" s="2">
        <v>7.6210235533032797</v>
      </c>
      <c r="AH1177" s="2">
        <v>109.923664122137</v>
      </c>
      <c r="AI1177" s="2">
        <v>79.857690568684106</v>
      </c>
      <c r="AJ1177" s="2">
        <v>119.148936170212</v>
      </c>
      <c r="AK1177" s="2">
        <v>78.001288424780199</v>
      </c>
      <c r="AL1177" s="2">
        <v>110.54545454545401</v>
      </c>
      <c r="AM1177" s="2">
        <v>27.712812921102</v>
      </c>
      <c r="AN1177"/>
      <c r="AO1177"/>
    </row>
    <row r="1178" spans="1:41" ht="15.75" hidden="1" customHeight="1" x14ac:dyDescent="0.45">
      <c r="A1178" s="2" t="s">
        <v>205</v>
      </c>
      <c r="B1178" s="2" t="s">
        <v>206</v>
      </c>
      <c r="C1178" s="2">
        <v>0.1</v>
      </c>
      <c r="D1178" s="2"/>
      <c r="E1178" s="2" t="s">
        <v>109</v>
      </c>
      <c r="F1178" s="2" t="s">
        <v>84</v>
      </c>
      <c r="H1178" s="2">
        <v>0.2</v>
      </c>
      <c r="J1178" s="2">
        <v>0.2</v>
      </c>
      <c r="K1178" s="2">
        <v>13.9444444444444</v>
      </c>
      <c r="L1178" s="2"/>
      <c r="M1178" s="2">
        <v>6.7522287129948797</v>
      </c>
      <c r="N1178" s="2">
        <v>135.5</v>
      </c>
      <c r="O1178" s="2">
        <v>14.7318626716984</v>
      </c>
      <c r="P1178" s="2">
        <v>22.2222222222222</v>
      </c>
      <c r="Q1178" s="2">
        <v>1.54859554052955</v>
      </c>
      <c r="R1178" s="2">
        <v>1.2777777777777699</v>
      </c>
      <c r="S1178" s="2">
        <v>0.58531409738070705</v>
      </c>
      <c r="T1178" s="2">
        <v>9.3333333333333304</v>
      </c>
      <c r="U1178" s="2">
        <v>1.8929694486000901</v>
      </c>
      <c r="V1178" s="2">
        <v>0.72222222222222199</v>
      </c>
      <c r="W1178" s="2">
        <v>0.41943524640392998</v>
      </c>
      <c r="X1178" s="2">
        <v>4.1666666666666599</v>
      </c>
      <c r="Y1178" s="2">
        <v>1.1547005383792499</v>
      </c>
      <c r="Z1178" s="7">
        <v>57.176346480689197</v>
      </c>
      <c r="AA1178" s="2">
        <v>6.2163401064425097</v>
      </c>
      <c r="AB1178" s="7">
        <v>39.809674861221197</v>
      </c>
      <c r="AC1178" s="2">
        <v>19.276783002998801</v>
      </c>
      <c r="AD1178" s="2">
        <v>117.07317073170699</v>
      </c>
      <c r="AE1178" s="2">
        <v>23.7445645120569</v>
      </c>
      <c r="AF1178" s="2">
        <v>160</v>
      </c>
      <c r="AG1178" s="2">
        <v>11.149887891812799</v>
      </c>
      <c r="AH1178" s="2">
        <v>70.229007633587798</v>
      </c>
      <c r="AI1178" s="2">
        <v>32.169935123214401</v>
      </c>
      <c r="AJ1178" s="2">
        <v>110.63829787234</v>
      </c>
      <c r="AK1178" s="2">
        <v>64.253910087410603</v>
      </c>
      <c r="AL1178" s="2">
        <v>109.09090909090899</v>
      </c>
      <c r="AM1178" s="2">
        <v>30.232159550293101</v>
      </c>
      <c r="AN1178"/>
      <c r="AO1178"/>
    </row>
    <row r="1179" spans="1:41" ht="15.75" hidden="1" customHeight="1" x14ac:dyDescent="0.45">
      <c r="A1179" s="2" t="s">
        <v>205</v>
      </c>
      <c r="B1179" s="2" t="s">
        <v>206</v>
      </c>
      <c r="C1179" s="2">
        <v>0.3</v>
      </c>
      <c r="D1179" s="2"/>
      <c r="E1179" s="2" t="s">
        <v>109</v>
      </c>
      <c r="F1179" s="2" t="s">
        <v>84</v>
      </c>
      <c r="H1179" s="2">
        <v>0.2</v>
      </c>
      <c r="J1179" s="2">
        <v>0.2</v>
      </c>
      <c r="K1179" s="2">
        <v>8.2777777777777697</v>
      </c>
      <c r="L1179" s="2"/>
      <c r="M1179" s="2">
        <v>1.7821127702605899</v>
      </c>
      <c r="N1179" s="2">
        <v>120.888888888888</v>
      </c>
      <c r="O1179" s="2">
        <v>6.3120989054820402</v>
      </c>
      <c r="P1179" s="2">
        <v>24.3888888888888</v>
      </c>
      <c r="Q1179" s="2">
        <v>1.0584754935142899</v>
      </c>
      <c r="R1179" s="2">
        <v>1.05555555555555</v>
      </c>
      <c r="S1179" s="2">
        <v>0.38490017945975002</v>
      </c>
      <c r="T1179" s="2">
        <v>11.5555555555555</v>
      </c>
      <c r="U1179" s="2">
        <v>0.83887049280787296</v>
      </c>
      <c r="V1179" s="2">
        <v>0.61111111111111105</v>
      </c>
      <c r="W1179" s="2">
        <v>0.41943524640392998</v>
      </c>
      <c r="X1179" s="2">
        <v>3.7222222222222201</v>
      </c>
      <c r="Y1179" s="2">
        <v>0.91792842454768298</v>
      </c>
      <c r="Z1179" s="7">
        <v>51.010959385805499</v>
      </c>
      <c r="AA1179" s="2">
        <v>2.6634889597064202</v>
      </c>
      <c r="AB1179" s="7">
        <v>23.6320380650277</v>
      </c>
      <c r="AC1179" s="2">
        <v>5.0877129047883898</v>
      </c>
      <c r="AD1179" s="2">
        <v>144.94773519163701</v>
      </c>
      <c r="AE1179" s="2">
        <v>10.522417331387899</v>
      </c>
      <c r="AF1179" s="2">
        <v>175.599999999999</v>
      </c>
      <c r="AG1179" s="2">
        <v>7.6210235533028996</v>
      </c>
      <c r="AH1179" s="2">
        <v>58.015267175572497</v>
      </c>
      <c r="AI1179" s="2">
        <v>21.154819023742</v>
      </c>
      <c r="AJ1179" s="2">
        <v>93.617021276595693</v>
      </c>
      <c r="AK1179" s="2">
        <v>64.253910087410603</v>
      </c>
      <c r="AL1179" s="2">
        <v>97.454545454545396</v>
      </c>
      <c r="AM1179" s="2">
        <v>24.033035115430199</v>
      </c>
      <c r="AN1179"/>
      <c r="AO1179"/>
    </row>
    <row r="1180" spans="1:41" ht="15.75" hidden="1" customHeight="1" x14ac:dyDescent="0.45">
      <c r="A1180" s="2" t="s">
        <v>205</v>
      </c>
      <c r="B1180" s="2" t="s">
        <v>206</v>
      </c>
      <c r="C1180" s="2">
        <v>1</v>
      </c>
      <c r="D1180" s="2"/>
      <c r="E1180" s="2" t="s">
        <v>109</v>
      </c>
      <c r="F1180" s="2" t="s">
        <v>84</v>
      </c>
      <c r="H1180" s="2">
        <v>0.2</v>
      </c>
      <c r="J1180" s="2">
        <v>0.2</v>
      </c>
      <c r="K1180" s="2">
        <v>3.05555555555555</v>
      </c>
      <c r="L1180" s="2"/>
      <c r="M1180" s="2">
        <v>1.5485955405295899</v>
      </c>
      <c r="N1180" s="2">
        <v>94.3888888888888</v>
      </c>
      <c r="O1180" s="2">
        <v>4.9618918136505403</v>
      </c>
      <c r="P1180" s="2">
        <v>22.6666666666666</v>
      </c>
      <c r="Q1180" s="2">
        <v>1.5000000000000699</v>
      </c>
      <c r="R1180" s="2">
        <v>0.66666666666666596</v>
      </c>
      <c r="S1180" s="2">
        <v>0.5</v>
      </c>
      <c r="T1180" s="2">
        <v>11.7777777777777</v>
      </c>
      <c r="U1180" s="2">
        <v>4.2470033008036401</v>
      </c>
      <c r="V1180" s="2">
        <v>0.88888888888888895</v>
      </c>
      <c r="W1180" s="2">
        <v>0.41943524640392998</v>
      </c>
      <c r="X1180" s="2">
        <v>3.2222222222222201</v>
      </c>
      <c r="Y1180" s="2">
        <v>0.25458753860865002</v>
      </c>
      <c r="Z1180" s="7">
        <v>39.828869483678098</v>
      </c>
      <c r="AA1180" s="2">
        <v>2.0937479375422701</v>
      </c>
      <c r="AB1180" s="7">
        <v>8.7232355273592397</v>
      </c>
      <c r="AC1180" s="2">
        <v>4.4210499174516498</v>
      </c>
      <c r="AD1180" s="2">
        <v>147.73519163763001</v>
      </c>
      <c r="AE1180" s="2">
        <v>53.272515271404501</v>
      </c>
      <c r="AF1180" s="2">
        <v>163.19999999999999</v>
      </c>
      <c r="AG1180" s="2">
        <v>10.8000000000005</v>
      </c>
      <c r="AH1180" s="2">
        <v>36.641221374045799</v>
      </c>
      <c r="AI1180" s="2">
        <v>27.480916030534299</v>
      </c>
      <c r="AJ1180" s="2">
        <v>136.17021276595699</v>
      </c>
      <c r="AK1180" s="2">
        <v>64.253910087410603</v>
      </c>
      <c r="AL1180" s="2">
        <v>84.363636363636303</v>
      </c>
      <c r="AM1180" s="2">
        <v>6.6655646472083099</v>
      </c>
      <c r="AN1180"/>
      <c r="AO1180"/>
    </row>
    <row r="1181" spans="1:41" ht="15.75" hidden="1" customHeight="1" x14ac:dyDescent="0.45">
      <c r="A1181" s="2" t="s">
        <v>205</v>
      </c>
      <c r="B1181" s="2" t="s">
        <v>206</v>
      </c>
      <c r="C1181" s="2">
        <v>3</v>
      </c>
      <c r="D1181" s="2"/>
      <c r="E1181" s="2" t="s">
        <v>109</v>
      </c>
      <c r="F1181" s="2" t="s">
        <v>84</v>
      </c>
      <c r="H1181" s="2">
        <v>0.2</v>
      </c>
      <c r="J1181" s="2">
        <v>0.2</v>
      </c>
      <c r="K1181" s="2">
        <v>0.5</v>
      </c>
      <c r="L1181" s="2"/>
      <c r="M1181" s="2">
        <v>0.72648315725677803</v>
      </c>
      <c r="N1181" s="2">
        <v>74.6666666666666</v>
      </c>
      <c r="O1181" s="2">
        <v>20.810654322565899</v>
      </c>
      <c r="P1181" s="2">
        <v>19.7222222222222</v>
      </c>
      <c r="Q1181" s="2">
        <v>4.2828253049351197</v>
      </c>
      <c r="R1181" s="2">
        <v>0.22222222222222199</v>
      </c>
      <c r="S1181" s="2">
        <v>0.19245008972987501</v>
      </c>
      <c r="T1181" s="2">
        <v>21.3888888888888</v>
      </c>
      <c r="U1181" s="2">
        <v>5.00092584020791</v>
      </c>
      <c r="V1181" s="2">
        <v>0.55555555555555503</v>
      </c>
      <c r="W1181" s="2">
        <v>0.41943524640392998</v>
      </c>
      <c r="X1181" s="2">
        <v>3.3333333333333299</v>
      </c>
      <c r="Y1181" s="2">
        <v>0.88191710368819698</v>
      </c>
      <c r="Z1181" s="7">
        <v>31.506769032409299</v>
      </c>
      <c r="AA1181" s="2">
        <v>8.7813814172463793</v>
      </c>
      <c r="AB1181" s="7">
        <v>1.4274385408406001</v>
      </c>
      <c r="AC1181" s="2">
        <v>2.07402011587978</v>
      </c>
      <c r="AD1181" s="2">
        <v>268.292682926829</v>
      </c>
      <c r="AE1181" s="2">
        <v>62.729383361492999</v>
      </c>
      <c r="AF1181" s="2">
        <v>142</v>
      </c>
      <c r="AG1181" s="2">
        <v>30.836342195532801</v>
      </c>
      <c r="AH1181" s="2">
        <v>12.2137404580152</v>
      </c>
      <c r="AI1181" s="2">
        <v>10.577409511871</v>
      </c>
      <c r="AJ1181" s="2">
        <v>85.106382978723303</v>
      </c>
      <c r="AK1181" s="2">
        <v>64.253910087410603</v>
      </c>
      <c r="AL1181" s="2">
        <v>87.272727272727295</v>
      </c>
      <c r="AM1181" s="2">
        <v>23.0901932602</v>
      </c>
      <c r="AN1181"/>
      <c r="AO1181"/>
    </row>
    <row r="1182" spans="1:41" ht="15.75" hidden="1" customHeight="1" x14ac:dyDescent="0.45">
      <c r="A1182" s="2" t="s">
        <v>205</v>
      </c>
      <c r="B1182" s="2" t="s">
        <v>206</v>
      </c>
      <c r="C1182" s="2">
        <v>10</v>
      </c>
      <c r="D1182" s="2"/>
      <c r="E1182" s="2" t="s">
        <v>109</v>
      </c>
      <c r="F1182" s="2" t="s">
        <v>84</v>
      </c>
      <c r="H1182" s="2">
        <v>0.2</v>
      </c>
      <c r="J1182" s="2">
        <v>0.2</v>
      </c>
      <c r="K1182" s="2">
        <v>0</v>
      </c>
      <c r="L1182" s="2"/>
      <c r="M1182" s="2">
        <v>0</v>
      </c>
      <c r="N1182" s="2">
        <v>10.466666666666599</v>
      </c>
      <c r="O1182" s="2">
        <v>3.4428670223134201</v>
      </c>
      <c r="P1182" s="2">
        <v>14.2666666666666</v>
      </c>
      <c r="Q1182" s="2">
        <v>1.5011106998930399</v>
      </c>
      <c r="R1182" s="2">
        <v>0</v>
      </c>
      <c r="S1182" s="2">
        <v>0</v>
      </c>
      <c r="T1182" s="2">
        <v>45.033333333333303</v>
      </c>
      <c r="U1182" s="2">
        <v>7.6107380281634702</v>
      </c>
      <c r="V1182" s="2">
        <v>0.73333333333333295</v>
      </c>
      <c r="W1182" s="2">
        <v>0.702376916856849</v>
      </c>
      <c r="X1182" s="2">
        <v>6.43333333333333</v>
      </c>
      <c r="Y1182" s="2">
        <v>1.05039675043924</v>
      </c>
      <c r="Z1182" s="7">
        <v>4.4165738732930899</v>
      </c>
      <c r="AA1182" s="2">
        <v>1.4527716439463501</v>
      </c>
      <c r="AB1182" s="7">
        <v>0</v>
      </c>
      <c r="AC1182" s="2">
        <v>0</v>
      </c>
      <c r="AD1182" s="2">
        <v>564.87804878048701</v>
      </c>
      <c r="AE1182" s="2">
        <v>95.4657034891585</v>
      </c>
      <c r="AF1182" s="2">
        <v>102.719999999999</v>
      </c>
      <c r="AG1182" s="2">
        <v>10.8079970392299</v>
      </c>
      <c r="AH1182" s="2">
        <v>0</v>
      </c>
      <c r="AI1182" s="2">
        <v>0</v>
      </c>
      <c r="AJ1182" s="2">
        <v>112.34042553191399</v>
      </c>
      <c r="AK1182" s="2">
        <v>107.59816598658099</v>
      </c>
      <c r="AL1182" s="2">
        <v>168.43636363636301</v>
      </c>
      <c r="AM1182" s="2">
        <v>27.501296738773</v>
      </c>
      <c r="AN1182"/>
      <c r="AO1182"/>
    </row>
    <row r="1183" spans="1:41" ht="15.75" hidden="1" customHeight="1" x14ac:dyDescent="0.45">
      <c r="A1183" s="2" t="s">
        <v>207</v>
      </c>
      <c r="B1183" s="2" t="s">
        <v>96</v>
      </c>
      <c r="C1183" s="2">
        <v>3.0000000000000001E-3</v>
      </c>
      <c r="D1183" s="2"/>
      <c r="E1183" s="2" t="s">
        <v>83</v>
      </c>
      <c r="F1183" s="2" t="s">
        <v>84</v>
      </c>
      <c r="H1183" s="2">
        <v>0.1</v>
      </c>
      <c r="J1183" s="2">
        <v>8.6039520999999994E-2</v>
      </c>
      <c r="K1183" s="2">
        <v>41.790366425000002</v>
      </c>
      <c r="L1183" s="2"/>
      <c r="M1183" s="2">
        <v>1.11647801620206</v>
      </c>
      <c r="N1183" s="2">
        <v>271.27777777777698</v>
      </c>
      <c r="O1183" s="2">
        <v>38.450665842137099</v>
      </c>
      <c r="P1183" s="2">
        <v>32.935839203888797</v>
      </c>
      <c r="Q1183" s="2">
        <v>3.4695519069975198</v>
      </c>
      <c r="R1183" s="2">
        <v>4.2958824092777697</v>
      </c>
      <c r="S1183" s="2">
        <v>0.419273012396294</v>
      </c>
      <c r="T1183" s="2">
        <v>5.4117226576111097</v>
      </c>
      <c r="U1183" s="2">
        <v>3.0352331029094901</v>
      </c>
      <c r="V1183" s="2">
        <v>0.31424304466666603</v>
      </c>
      <c r="W1183" s="2">
        <v>6.8336143499008795E-2</v>
      </c>
      <c r="X1183" s="2">
        <v>3.9143482221111099</v>
      </c>
      <c r="Y1183" s="2">
        <v>0.56564081803462396</v>
      </c>
      <c r="Z1183" s="7">
        <v>97.270916334661294</v>
      </c>
      <c r="AA1183" s="2">
        <v>13.787091337818101</v>
      </c>
      <c r="AB1183" s="7">
        <v>104.684716351753</v>
      </c>
      <c r="AC1183" s="2">
        <v>2.7967733819429101</v>
      </c>
      <c r="AD1183" s="2">
        <v>122.232214650416</v>
      </c>
      <c r="AE1183" s="2">
        <v>68.555483645692803</v>
      </c>
      <c r="AF1183" s="2">
        <v>97.397391389316496</v>
      </c>
      <c r="AG1183" s="2">
        <v>10.260109145525799</v>
      </c>
      <c r="AH1183" s="2">
        <v>115.007512986904</v>
      </c>
      <c r="AI1183" s="2">
        <v>11.224596444745799</v>
      </c>
      <c r="AJ1183" s="2">
        <v>66.817754896288406</v>
      </c>
      <c r="AK1183" s="2">
        <v>14.5303699298033</v>
      </c>
      <c r="AL1183" s="2">
        <v>116.257814368745</v>
      </c>
      <c r="AM1183" s="2">
        <v>16.799773931964701</v>
      </c>
      <c r="AN1183"/>
      <c r="AO1183"/>
    </row>
    <row r="1184" spans="1:41" ht="15.75" hidden="1" customHeight="1" x14ac:dyDescent="0.45">
      <c r="A1184" s="2" t="s">
        <v>207</v>
      </c>
      <c r="B1184" s="2" t="s">
        <v>96</v>
      </c>
      <c r="C1184" s="2">
        <v>0.01</v>
      </c>
      <c r="D1184" s="2"/>
      <c r="E1184" s="2" t="s">
        <v>83</v>
      </c>
      <c r="F1184" s="2" t="s">
        <v>84</v>
      </c>
      <c r="H1184" s="2">
        <v>0.1</v>
      </c>
      <c r="J1184" s="2">
        <v>8.6039520999999994E-2</v>
      </c>
      <c r="K1184" s="2">
        <v>40.001770318888802</v>
      </c>
      <c r="L1184" s="2"/>
      <c r="M1184" s="2">
        <v>1.1798151509225401</v>
      </c>
      <c r="N1184" s="2">
        <v>255.388888888888</v>
      </c>
      <c r="O1184" s="2">
        <v>26.477104015300601</v>
      </c>
      <c r="P1184" s="2">
        <v>34.991644925555498</v>
      </c>
      <c r="Q1184" s="2">
        <v>5.0830720980908097</v>
      </c>
      <c r="R1184" s="2">
        <v>3.87684008177777</v>
      </c>
      <c r="S1184" s="2">
        <v>0.48871425388255602</v>
      </c>
      <c r="T1184" s="2">
        <v>4.3768180387777704</v>
      </c>
      <c r="U1184" s="2">
        <v>1.97673849813972</v>
      </c>
      <c r="V1184" s="2">
        <v>0.47410266766666598</v>
      </c>
      <c r="W1184" s="2">
        <v>0.131351664705086</v>
      </c>
      <c r="X1184" s="2">
        <v>3.4329922823888799</v>
      </c>
      <c r="Y1184" s="2">
        <v>0.450926523358682</v>
      </c>
      <c r="Z1184" s="7">
        <v>91.573705179282896</v>
      </c>
      <c r="AA1184" s="2">
        <v>9.4937823162432693</v>
      </c>
      <c r="AB1184" s="7">
        <v>100.20428959186501</v>
      </c>
      <c r="AC1184" s="2">
        <v>2.9554326747405901</v>
      </c>
      <c r="AD1184" s="2">
        <v>98.857276296169204</v>
      </c>
      <c r="AE1184" s="2">
        <v>44.647728588333798</v>
      </c>
      <c r="AF1184" s="2">
        <v>103.476790588894</v>
      </c>
      <c r="AG1184" s="2">
        <v>15.0315879165273</v>
      </c>
      <c r="AH1184" s="2">
        <v>103.789092338811</v>
      </c>
      <c r="AI1184" s="2">
        <v>13.083647443164599</v>
      </c>
      <c r="AJ1184" s="2">
        <v>100.808836922487</v>
      </c>
      <c r="AK1184" s="2">
        <v>27.929411601754801</v>
      </c>
      <c r="AL1184" s="2">
        <v>101.96133732835099</v>
      </c>
      <c r="AM1184" s="2">
        <v>13.392710375242</v>
      </c>
      <c r="AN1184"/>
      <c r="AO1184"/>
    </row>
    <row r="1185" spans="1:41" ht="15.75" hidden="1" customHeight="1" x14ac:dyDescent="0.45">
      <c r="A1185" s="2" t="s">
        <v>207</v>
      </c>
      <c r="B1185" s="2" t="s">
        <v>96</v>
      </c>
      <c r="C1185" s="2">
        <v>0.03</v>
      </c>
      <c r="D1185" s="2"/>
      <c r="E1185" s="2" t="s">
        <v>83</v>
      </c>
      <c r="F1185" s="2" t="s">
        <v>84</v>
      </c>
      <c r="H1185" s="2">
        <v>0.1</v>
      </c>
      <c r="J1185" s="2">
        <v>8.6039520999999994E-2</v>
      </c>
      <c r="K1185" s="2">
        <v>36.670322124888898</v>
      </c>
      <c r="L1185" s="2"/>
      <c r="M1185" s="2">
        <v>6.9952605752001098</v>
      </c>
      <c r="N1185" s="2">
        <v>254.07777777777699</v>
      </c>
      <c r="O1185" s="2">
        <v>80.641913098265107</v>
      </c>
      <c r="P1185" s="2">
        <v>34.666953423333297</v>
      </c>
      <c r="Q1185" s="2">
        <v>4.2128730513708303</v>
      </c>
      <c r="R1185" s="2">
        <v>3.72732142245555</v>
      </c>
      <c r="S1185" s="2">
        <v>7.4754981943206303E-2</v>
      </c>
      <c r="T1185" s="2">
        <v>3.5852155695333301</v>
      </c>
      <c r="U1185" s="2">
        <v>1.6935909103510201</v>
      </c>
      <c r="V1185" s="2">
        <v>0.484467837511111</v>
      </c>
      <c r="W1185" s="2">
        <v>0.166654031896839</v>
      </c>
      <c r="X1185" s="2">
        <v>4.0118674598333302</v>
      </c>
      <c r="Y1185" s="2">
        <v>0.65320303673473401</v>
      </c>
      <c r="Z1185" s="7">
        <v>91.103585657370502</v>
      </c>
      <c r="AA1185" s="2">
        <v>28.915427007346</v>
      </c>
      <c r="AB1185" s="7">
        <v>91.8590239466036</v>
      </c>
      <c r="AC1185" s="2">
        <v>17.523102374219601</v>
      </c>
      <c r="AD1185" s="2">
        <v>80.977697267409596</v>
      </c>
      <c r="AE1185" s="2">
        <v>38.252397763377203</v>
      </c>
      <c r="AF1185" s="2">
        <v>102.516617534643</v>
      </c>
      <c r="AG1185" s="2">
        <v>12.45824777434</v>
      </c>
      <c r="AH1185" s="2">
        <v>99.786243211320098</v>
      </c>
      <c r="AI1185" s="2">
        <v>2.00130816851537</v>
      </c>
      <c r="AJ1185" s="2">
        <v>103.012791440745</v>
      </c>
      <c r="AK1185" s="2">
        <v>35.435782731716998</v>
      </c>
      <c r="AL1185" s="2">
        <v>119.154177388379</v>
      </c>
      <c r="AM1185" s="2">
        <v>19.400409233098699</v>
      </c>
      <c r="AN1185"/>
      <c r="AO1185"/>
    </row>
    <row r="1186" spans="1:41" ht="15.75" hidden="1" customHeight="1" x14ac:dyDescent="0.45">
      <c r="A1186" s="2" t="s">
        <v>207</v>
      </c>
      <c r="B1186" s="2" t="s">
        <v>96</v>
      </c>
      <c r="C1186" s="2">
        <v>0.1</v>
      </c>
      <c r="D1186" s="2"/>
      <c r="E1186" s="2" t="s">
        <v>83</v>
      </c>
      <c r="F1186" s="2" t="s">
        <v>84</v>
      </c>
      <c r="H1186" s="2">
        <v>0.1</v>
      </c>
      <c r="J1186" s="2">
        <v>8.6039520999999994E-2</v>
      </c>
      <c r="K1186" s="2">
        <v>18.587855938388799</v>
      </c>
      <c r="L1186" s="2"/>
      <c r="M1186" s="2">
        <v>10.792862347751299</v>
      </c>
      <c r="N1186" s="2">
        <v>115.111111111111</v>
      </c>
      <c r="O1186" s="2">
        <v>57.727889786993302</v>
      </c>
      <c r="P1186" s="2">
        <v>38.746655488333303</v>
      </c>
      <c r="Q1186" s="2">
        <v>6.2348338588104104</v>
      </c>
      <c r="R1186" s="2">
        <v>3.3292110723888801</v>
      </c>
      <c r="S1186" s="2">
        <v>2.9614501590601998</v>
      </c>
      <c r="T1186" s="2">
        <v>12.8489164009444</v>
      </c>
      <c r="U1186" s="2">
        <v>1.9711923159745901</v>
      </c>
      <c r="V1186" s="2">
        <v>1.4981474527777701</v>
      </c>
      <c r="W1186" s="2">
        <v>0.63867105835286297</v>
      </c>
      <c r="X1186" s="2">
        <v>6.2504487185555497</v>
      </c>
      <c r="Y1186" s="2">
        <v>1.59164330456525</v>
      </c>
      <c r="Z1186" s="7">
        <v>41.274900398406302</v>
      </c>
      <c r="AA1186" s="2">
        <v>20.6992433499179</v>
      </c>
      <c r="AB1186" s="7">
        <v>46.562511721204402</v>
      </c>
      <c r="AC1186" s="2">
        <v>27.0360810433564</v>
      </c>
      <c r="AD1186" s="2">
        <v>290.21285954790301</v>
      </c>
      <c r="AE1186" s="2">
        <v>44.522459395547997</v>
      </c>
      <c r="AF1186" s="2">
        <v>114.581053977778</v>
      </c>
      <c r="AG1186" s="2">
        <v>18.437561278906699</v>
      </c>
      <c r="AH1186" s="2">
        <v>89.128204444562797</v>
      </c>
      <c r="AI1186" s="2">
        <v>79.282667722147096</v>
      </c>
      <c r="AJ1186" s="2">
        <v>318.552314831307</v>
      </c>
      <c r="AK1186" s="2">
        <v>135.80114806245501</v>
      </c>
      <c r="AL1186" s="2">
        <v>185.64099707288901</v>
      </c>
      <c r="AM1186" s="2">
        <v>47.272486080353701</v>
      </c>
      <c r="AN1186"/>
      <c r="AO1186"/>
    </row>
    <row r="1187" spans="1:41" ht="15.75" hidden="1" customHeight="1" x14ac:dyDescent="0.45">
      <c r="A1187" s="2" t="s">
        <v>207</v>
      </c>
      <c r="B1187" s="2" t="s">
        <v>96</v>
      </c>
      <c r="C1187" s="2">
        <v>0.3</v>
      </c>
      <c r="D1187" s="2"/>
      <c r="E1187" s="2" t="s">
        <v>83</v>
      </c>
      <c r="F1187" s="2" t="s">
        <v>84</v>
      </c>
      <c r="H1187" s="2">
        <v>0.1</v>
      </c>
      <c r="J1187" s="2">
        <v>8.6039520999999994E-2</v>
      </c>
      <c r="K1187" s="2">
        <v>0</v>
      </c>
      <c r="L1187" s="2"/>
      <c r="M1187" s="2">
        <v>0</v>
      </c>
      <c r="N1187" s="2">
        <v>25.1111111111111</v>
      </c>
      <c r="O1187" s="2">
        <v>3.5836563161933501</v>
      </c>
      <c r="P1187" s="2">
        <v>29.156982194444399</v>
      </c>
      <c r="Q1187" s="2">
        <v>4.36742673904787</v>
      </c>
      <c r="R1187" s="2">
        <v>2.5192720929444401</v>
      </c>
      <c r="S1187" s="2">
        <v>0.96794530905564702</v>
      </c>
      <c r="T1187" s="2">
        <v>13.252880461222199</v>
      </c>
      <c r="U1187" s="2">
        <v>2.9629740850044799</v>
      </c>
      <c r="V1187" s="2">
        <v>1.11220729816666</v>
      </c>
      <c r="W1187" s="2">
        <v>1.01313396675593</v>
      </c>
      <c r="X1187" s="2">
        <v>6.5135157217777699</v>
      </c>
      <c r="Y1187" s="2">
        <v>0.97654737921496004</v>
      </c>
      <c r="Z1187" s="7">
        <v>9.0039840637450208</v>
      </c>
      <c r="AA1187" s="2">
        <v>1.2849763683561799</v>
      </c>
      <c r="AB1187" s="7">
        <v>0</v>
      </c>
      <c r="AC1187" s="2">
        <v>0</v>
      </c>
      <c r="AD1187" s="2">
        <v>299.33701923806802</v>
      </c>
      <c r="AE1187" s="2">
        <v>66.923400786721501</v>
      </c>
      <c r="AF1187" s="2">
        <v>86.222609630311993</v>
      </c>
      <c r="AG1187" s="2">
        <v>12.915291723217599</v>
      </c>
      <c r="AH1187" s="2">
        <v>67.444867047830598</v>
      </c>
      <c r="AI1187" s="2">
        <v>25.913414776301</v>
      </c>
      <c r="AJ1187" s="2">
        <v>236.48954496858701</v>
      </c>
      <c r="AK1187" s="2">
        <v>215.42350170267201</v>
      </c>
      <c r="AL1187" s="2">
        <v>193.45419944829101</v>
      </c>
      <c r="AM1187" s="2">
        <v>29.003874334365602</v>
      </c>
      <c r="AN1187"/>
      <c r="AO1187"/>
    </row>
    <row r="1188" spans="1:41" ht="15.75" hidden="1" customHeight="1" x14ac:dyDescent="0.45">
      <c r="A1188" s="2" t="s">
        <v>207</v>
      </c>
      <c r="B1188" s="2" t="s">
        <v>96</v>
      </c>
      <c r="C1188" s="2">
        <v>1</v>
      </c>
      <c r="D1188" s="2"/>
      <c r="E1188" s="2" t="s">
        <v>83</v>
      </c>
      <c r="F1188" s="2" t="s">
        <v>84</v>
      </c>
      <c r="H1188" s="2">
        <v>0.1</v>
      </c>
      <c r="J1188" s="2">
        <v>8.6039520999999994E-2</v>
      </c>
      <c r="K1188" s="2">
        <v>0</v>
      </c>
      <c r="L1188" s="2"/>
      <c r="M1188" s="2">
        <v>0</v>
      </c>
      <c r="N1188" s="2">
        <v>19.2222222222222</v>
      </c>
      <c r="O1188" s="2">
        <v>2.2381374531648701</v>
      </c>
      <c r="P1188" s="2">
        <v>23.101172138666598</v>
      </c>
      <c r="Q1188" s="2">
        <v>4.7721543724958302</v>
      </c>
      <c r="R1188" s="2">
        <v>1.5162667921666599</v>
      </c>
      <c r="S1188" s="2">
        <v>0.81925489692740505</v>
      </c>
      <c r="T1188" s="2">
        <v>12.115517999166601</v>
      </c>
      <c r="U1188" s="2">
        <v>4.8946170850640396</v>
      </c>
      <c r="V1188" s="2">
        <v>0.611916264111111</v>
      </c>
      <c r="W1188" s="2">
        <v>1.05987005941818</v>
      </c>
      <c r="X1188" s="2">
        <v>8.8573655759999994</v>
      </c>
      <c r="Y1188" s="2">
        <v>0.98776140419372105</v>
      </c>
      <c r="Z1188" s="7">
        <v>6.8924302788844596</v>
      </c>
      <c r="AA1188" s="2">
        <v>0.80251940551728596</v>
      </c>
      <c r="AB1188" s="7">
        <v>0</v>
      </c>
      <c r="AC1188" s="2">
        <v>0</v>
      </c>
      <c r="AD1188" s="2">
        <v>273.64791035482199</v>
      </c>
      <c r="AE1188" s="2">
        <v>110.552577067436</v>
      </c>
      <c r="AF1188" s="2">
        <v>68.314454974507697</v>
      </c>
      <c r="AG1188" s="2">
        <v>14.112146477000399</v>
      </c>
      <c r="AH1188" s="2">
        <v>40.5928412786878</v>
      </c>
      <c r="AI1188" s="2">
        <v>21.932739125837401</v>
      </c>
      <c r="AJ1188" s="2">
        <v>130.11225434058301</v>
      </c>
      <c r="AK1188" s="2">
        <v>225.36103520521499</v>
      </c>
      <c r="AL1188" s="2">
        <v>263.06754138888601</v>
      </c>
      <c r="AM1188" s="2">
        <v>29.336935666758801</v>
      </c>
      <c r="AN1188"/>
      <c r="AO1188"/>
    </row>
    <row r="1189" spans="1:41" ht="15.75" hidden="1" customHeight="1" x14ac:dyDescent="0.45">
      <c r="A1189" s="2" t="s">
        <v>207</v>
      </c>
      <c r="B1189" s="2" t="s">
        <v>96</v>
      </c>
      <c r="C1189" s="2">
        <v>3</v>
      </c>
      <c r="D1189" s="2"/>
      <c r="E1189" s="2" t="s">
        <v>83</v>
      </c>
      <c r="F1189" s="2" t="s">
        <v>84</v>
      </c>
      <c r="H1189" s="2">
        <v>0.1</v>
      </c>
      <c r="J1189" s="2">
        <v>8.6039520999999994E-2</v>
      </c>
      <c r="K1189" s="2">
        <v>0</v>
      </c>
      <c r="L1189" s="2"/>
      <c r="M1189" s="2">
        <v>0</v>
      </c>
      <c r="N1189" s="2">
        <v>18.7777777777777</v>
      </c>
      <c r="O1189" s="2">
        <v>5.3028643552678503</v>
      </c>
      <c r="P1189" s="2">
        <v>26.0986168160555</v>
      </c>
      <c r="Q1189" s="2">
        <v>5.3306108497753302</v>
      </c>
      <c r="R1189" s="2">
        <v>5.0593078650555503</v>
      </c>
      <c r="S1189" s="2">
        <v>4.5361810064711303</v>
      </c>
      <c r="T1189" s="2">
        <v>17.110553590833302</v>
      </c>
      <c r="U1189" s="2">
        <v>4.8861115969102702</v>
      </c>
      <c r="V1189" s="2">
        <v>0.56167278388888797</v>
      </c>
      <c r="W1189" s="2">
        <v>0.62475377648407904</v>
      </c>
      <c r="X1189" s="2">
        <v>6.2341766934444403</v>
      </c>
      <c r="Y1189" s="2">
        <v>2.5982206384645199</v>
      </c>
      <c r="Z1189" s="7">
        <v>6.7330677290836602</v>
      </c>
      <c r="AA1189" s="2">
        <v>1.90142546603229</v>
      </c>
      <c r="AB1189" s="7">
        <v>0</v>
      </c>
      <c r="AC1189" s="2">
        <v>0</v>
      </c>
      <c r="AD1189" s="2">
        <v>386.46859634625599</v>
      </c>
      <c r="AE1189" s="2">
        <v>110.360467323553</v>
      </c>
      <c r="AF1189" s="2">
        <v>77.178455390716806</v>
      </c>
      <c r="AG1189" s="2">
        <v>15.7636059632694</v>
      </c>
      <c r="AH1189" s="2">
        <v>135.445610368312</v>
      </c>
      <c r="AI1189" s="2">
        <v>121.440683498686</v>
      </c>
      <c r="AJ1189" s="2">
        <v>119.42894216040099</v>
      </c>
      <c r="AK1189" s="2">
        <v>132.84190506722001</v>
      </c>
      <c r="AL1189" s="2">
        <v>185.15771097583499</v>
      </c>
      <c r="AM1189" s="2">
        <v>77.168262897351994</v>
      </c>
      <c r="AN1189"/>
      <c r="AO1189"/>
    </row>
    <row r="1190" spans="1:41" ht="15.75" hidden="1" customHeight="1" x14ac:dyDescent="0.45">
      <c r="A1190" s="2" t="s">
        <v>207</v>
      </c>
      <c r="B1190" s="2" t="s">
        <v>96</v>
      </c>
      <c r="C1190" s="2">
        <v>10</v>
      </c>
      <c r="D1190" s="2"/>
      <c r="E1190" s="2" t="s">
        <v>83</v>
      </c>
      <c r="F1190" s="2" t="s">
        <v>84</v>
      </c>
      <c r="H1190" s="2">
        <v>0.1</v>
      </c>
      <c r="J1190" s="2">
        <v>8.6039520999999994E-2</v>
      </c>
      <c r="K1190" s="2">
        <v>0</v>
      </c>
      <c r="L1190" s="2"/>
      <c r="M1190" s="2">
        <v>0</v>
      </c>
      <c r="N1190" s="2">
        <v>19.2777777777777</v>
      </c>
      <c r="O1190" s="2">
        <v>5.8269806678676801</v>
      </c>
      <c r="P1190" s="2">
        <v>14.6246379401666</v>
      </c>
      <c r="Q1190" s="2">
        <v>1.9866731764796901</v>
      </c>
      <c r="R1190" s="2">
        <v>6.2836212936111098</v>
      </c>
      <c r="S1190" s="2">
        <v>3.76829387946287</v>
      </c>
      <c r="T1190" s="2">
        <v>18.517718669944401</v>
      </c>
      <c r="U1190" s="2">
        <v>9.1019087750732606</v>
      </c>
      <c r="V1190" s="2">
        <v>0.33950617283333301</v>
      </c>
      <c r="W1190" s="2">
        <v>0.29764354199347298</v>
      </c>
      <c r="X1190" s="2">
        <v>6.4098839198333302</v>
      </c>
      <c r="Y1190" s="2">
        <v>1.3011794797246601</v>
      </c>
      <c r="Z1190" s="7">
        <v>6.9123505976095601</v>
      </c>
      <c r="AA1190" s="2">
        <v>2.0893556179605199</v>
      </c>
      <c r="AB1190" s="7">
        <v>0</v>
      </c>
      <c r="AC1190" s="2">
        <v>0</v>
      </c>
      <c r="AD1190" s="2">
        <v>418.25161903249301</v>
      </c>
      <c r="AE1190" s="2">
        <v>205.58083580993599</v>
      </c>
      <c r="AF1190" s="2">
        <v>43.247769597359301</v>
      </c>
      <c r="AG1190" s="2">
        <v>5.8749614283216101</v>
      </c>
      <c r="AH1190" s="2">
        <v>168.222401984057</v>
      </c>
      <c r="AI1190" s="2">
        <v>100.88314017739999</v>
      </c>
      <c r="AJ1190" s="2">
        <v>72.189474443953898</v>
      </c>
      <c r="AK1190" s="2">
        <v>63.288189103689199</v>
      </c>
      <c r="AL1190" s="2">
        <v>190.37629066002901</v>
      </c>
      <c r="AM1190" s="2">
        <v>38.645586399225998</v>
      </c>
      <c r="AN1190"/>
      <c r="AO1190"/>
    </row>
    <row r="1191" spans="1:41" ht="15.75" hidden="1" customHeight="1" x14ac:dyDescent="0.45">
      <c r="A1191" s="2" t="s">
        <v>208</v>
      </c>
      <c r="B1191" s="2" t="s">
        <v>209</v>
      </c>
      <c r="C1191" s="2">
        <v>3.0000000000000001E-3</v>
      </c>
      <c r="D1191" s="2"/>
      <c r="E1191" s="2" t="s">
        <v>83</v>
      </c>
      <c r="F1191" s="2" t="s">
        <v>84</v>
      </c>
      <c r="H1191" s="2">
        <v>0.7</v>
      </c>
      <c r="J1191" s="2">
        <v>0.71587265899999997</v>
      </c>
      <c r="K1191" s="2">
        <v>47.148261071111101</v>
      </c>
      <c r="L1191" s="2"/>
      <c r="M1191" s="2">
        <v>2.8487697331913302</v>
      </c>
      <c r="N1191" s="2">
        <v>341.944444444444</v>
      </c>
      <c r="O1191" s="2">
        <v>24.224834211869901</v>
      </c>
      <c r="P1191" s="2">
        <v>18.112118150055501</v>
      </c>
      <c r="Q1191" s="2">
        <v>2.3651791708228198</v>
      </c>
      <c r="R1191" s="2">
        <v>4.6690133466555501</v>
      </c>
      <c r="S1191" s="2">
        <v>0.70367369273849301</v>
      </c>
      <c r="T1191" s="2">
        <v>3.4900790208083299</v>
      </c>
      <c r="U1191" s="2">
        <v>0.70171036045789204</v>
      </c>
      <c r="V1191" s="2">
        <v>0.31286834905055499</v>
      </c>
      <c r="W1191" s="2">
        <v>6.8445306295865996E-2</v>
      </c>
      <c r="X1191" s="2">
        <v>3.6648203891</v>
      </c>
      <c r="Y1191" s="2">
        <v>9.7213893679945096E-2</v>
      </c>
      <c r="Z1191" s="7">
        <v>95.418959770560406</v>
      </c>
      <c r="AA1191" s="2">
        <v>6.7598948269693597</v>
      </c>
      <c r="AB1191" s="7">
        <v>102.634275470996</v>
      </c>
      <c r="AC1191" s="2">
        <v>6.2013192195744997</v>
      </c>
      <c r="AD1191" s="2">
        <v>79.102614798605103</v>
      </c>
      <c r="AE1191" s="2">
        <v>15.9042600504314</v>
      </c>
      <c r="AF1191" s="2">
        <v>94.002286169799305</v>
      </c>
      <c r="AG1191" s="2">
        <v>12.2753312128683</v>
      </c>
      <c r="AH1191" s="2">
        <v>83.248375409337896</v>
      </c>
      <c r="AI1191" s="2">
        <v>12.546481962989001</v>
      </c>
      <c r="AJ1191" s="2">
        <v>77.525109286429895</v>
      </c>
      <c r="AK1191" s="2">
        <v>16.959944548027</v>
      </c>
      <c r="AL1191" s="2">
        <v>108.964914810363</v>
      </c>
      <c r="AM1191" s="2">
        <v>2.8904291393718999</v>
      </c>
      <c r="AN1191"/>
      <c r="AO1191"/>
    </row>
    <row r="1192" spans="1:41" ht="15.75" hidden="1" customHeight="1" x14ac:dyDescent="0.45">
      <c r="A1192" s="2" t="s">
        <v>208</v>
      </c>
      <c r="B1192" s="2" t="s">
        <v>209</v>
      </c>
      <c r="C1192" s="2">
        <v>0.01</v>
      </c>
      <c r="D1192" s="2"/>
      <c r="E1192" s="2" t="s">
        <v>83</v>
      </c>
      <c r="F1192" s="2" t="s">
        <v>84</v>
      </c>
      <c r="H1192" s="2">
        <v>0.7</v>
      </c>
      <c r="J1192" s="2">
        <v>0.71587265899999997</v>
      </c>
      <c r="K1192" s="2">
        <v>46.056730718333299</v>
      </c>
      <c r="L1192" s="2"/>
      <c r="M1192" s="2">
        <v>0.48011936446185699</v>
      </c>
      <c r="N1192" s="2">
        <v>333.722222222222</v>
      </c>
      <c r="O1192" s="2">
        <v>10.1164515810936</v>
      </c>
      <c r="P1192" s="2">
        <v>17.9177976186111</v>
      </c>
      <c r="Q1192" s="2">
        <v>2.7006785115373302</v>
      </c>
      <c r="R1192" s="2">
        <v>3.7469468456666601</v>
      </c>
      <c r="S1192" s="2">
        <v>0.31929857614520801</v>
      </c>
      <c r="T1192" s="2">
        <v>2.9639550062555502</v>
      </c>
      <c r="U1192" s="2">
        <v>0.14519443849797301</v>
      </c>
      <c r="V1192" s="2">
        <v>0.448666715066666</v>
      </c>
      <c r="W1192" s="2">
        <v>0.19518545693716499</v>
      </c>
      <c r="X1192" s="2">
        <v>3.4122429891277699</v>
      </c>
      <c r="Y1192" s="2">
        <v>0.31048329166239003</v>
      </c>
      <c r="Z1192" s="7">
        <v>93.1245639872878</v>
      </c>
      <c r="AA1192" s="2">
        <v>2.82297695464981</v>
      </c>
      <c r="AB1192" s="7">
        <v>100.258187268231</v>
      </c>
      <c r="AC1192" s="2">
        <v>1.0451435957906601</v>
      </c>
      <c r="AD1192" s="2">
        <v>67.178017959584295</v>
      </c>
      <c r="AE1192" s="2">
        <v>3.2908308582494099</v>
      </c>
      <c r="AF1192" s="2">
        <v>92.993758395511804</v>
      </c>
      <c r="AG1192" s="2">
        <v>14.0165800703647</v>
      </c>
      <c r="AH1192" s="2">
        <v>66.807955875801596</v>
      </c>
      <c r="AI1192" s="2">
        <v>5.6930845472188603</v>
      </c>
      <c r="AJ1192" s="2">
        <v>111.174352484937</v>
      </c>
      <c r="AK1192" s="2">
        <v>48.3646681618484</v>
      </c>
      <c r="AL1192" s="2">
        <v>101.45511297864</v>
      </c>
      <c r="AM1192" s="2">
        <v>9.2314989096482893</v>
      </c>
      <c r="AN1192"/>
      <c r="AO1192"/>
    </row>
    <row r="1193" spans="1:41" ht="15.75" hidden="1" customHeight="1" x14ac:dyDescent="0.45">
      <c r="A1193" s="2" t="s">
        <v>208</v>
      </c>
      <c r="B1193" s="2" t="s">
        <v>209</v>
      </c>
      <c r="C1193" s="2">
        <v>0.03</v>
      </c>
      <c r="D1193" s="2"/>
      <c r="E1193" s="2" t="s">
        <v>83</v>
      </c>
      <c r="F1193" s="2" t="s">
        <v>84</v>
      </c>
      <c r="H1193" s="2">
        <v>0.7</v>
      </c>
      <c r="J1193" s="2">
        <v>0.71587265899999997</v>
      </c>
      <c r="K1193" s="2">
        <v>45.241038821666599</v>
      </c>
      <c r="L1193" s="2"/>
      <c r="M1193" s="2">
        <v>1.88935982533044</v>
      </c>
      <c r="N1193" s="2">
        <v>323</v>
      </c>
      <c r="O1193" s="2">
        <v>24.604087284659101</v>
      </c>
      <c r="P1193" s="2">
        <v>20.442776122888802</v>
      </c>
      <c r="Q1193" s="2">
        <v>1.37621664722932</v>
      </c>
      <c r="R1193" s="2">
        <v>6.3255117676666597</v>
      </c>
      <c r="S1193" s="2">
        <v>0.824787555786336</v>
      </c>
      <c r="T1193" s="2">
        <v>5.0611163886194399</v>
      </c>
      <c r="U1193" s="2">
        <v>1.7958111952595699</v>
      </c>
      <c r="V1193" s="2">
        <v>0.36643967736333299</v>
      </c>
      <c r="W1193" s="2">
        <v>0.112018317795786</v>
      </c>
      <c r="X1193" s="2">
        <v>3.8779276811388801</v>
      </c>
      <c r="Y1193" s="2">
        <v>0.19676311659668899</v>
      </c>
      <c r="Z1193" s="7">
        <v>90.132547864506606</v>
      </c>
      <c r="AA1193" s="2">
        <v>6.8657246899288999</v>
      </c>
      <c r="AB1193" s="7">
        <v>98.482555571112002</v>
      </c>
      <c r="AC1193" s="2">
        <v>4.1128362397996199</v>
      </c>
      <c r="AD1193" s="2">
        <v>114.710164942668</v>
      </c>
      <c r="AE1193" s="2">
        <v>40.702047255290999</v>
      </c>
      <c r="AF1193" s="2">
        <v>106.09845161611</v>
      </c>
      <c r="AG1193" s="2">
        <v>7.1425942583140696</v>
      </c>
      <c r="AH1193" s="2">
        <v>112.78369522505101</v>
      </c>
      <c r="AI1193" s="2">
        <v>14.7059387024957</v>
      </c>
      <c r="AJ1193" s="2">
        <v>90.799456450885998</v>
      </c>
      <c r="AK1193" s="2">
        <v>27.756826011815999</v>
      </c>
      <c r="AL1193" s="2">
        <v>115.301164737249</v>
      </c>
      <c r="AM1193" s="2">
        <v>5.8502938647547396</v>
      </c>
      <c r="AN1193"/>
      <c r="AO1193"/>
    </row>
    <row r="1194" spans="1:41" ht="15.75" hidden="1" customHeight="1" x14ac:dyDescent="0.45">
      <c r="A1194" s="2" t="s">
        <v>208</v>
      </c>
      <c r="B1194" s="2" t="s">
        <v>209</v>
      </c>
      <c r="C1194" s="2">
        <v>0.1</v>
      </c>
      <c r="D1194" s="2"/>
      <c r="E1194" s="2" t="s">
        <v>83</v>
      </c>
      <c r="F1194" s="2" t="s">
        <v>84</v>
      </c>
      <c r="H1194" s="2">
        <v>0.7</v>
      </c>
      <c r="J1194" s="2">
        <v>0.71587265899999997</v>
      </c>
      <c r="K1194" s="2">
        <v>41.739015354333297</v>
      </c>
      <c r="L1194" s="2"/>
      <c r="M1194" s="2">
        <v>2.0115934025155999</v>
      </c>
      <c r="N1194" s="2">
        <v>276.944444444444</v>
      </c>
      <c r="O1194" s="2">
        <v>28.684264624302902</v>
      </c>
      <c r="P1194" s="2">
        <v>20.877038091999999</v>
      </c>
      <c r="Q1194" s="2">
        <v>2.2996077968023201</v>
      </c>
      <c r="R1194" s="2">
        <v>4.1427293802999996</v>
      </c>
      <c r="S1194" s="2">
        <v>0.91066720442402704</v>
      </c>
      <c r="T1194" s="2">
        <v>2.4852573761561101</v>
      </c>
      <c r="U1194" s="2">
        <v>0.92724337758833897</v>
      </c>
      <c r="V1194" s="2">
        <v>0.278376786099999</v>
      </c>
      <c r="W1194" s="2">
        <v>0.14201073976547601</v>
      </c>
      <c r="X1194" s="2">
        <v>3.63141258105555</v>
      </c>
      <c r="Y1194" s="2">
        <v>0.36987741134136698</v>
      </c>
      <c r="Z1194" s="7">
        <v>77.280830943337705</v>
      </c>
      <c r="AA1194" s="2">
        <v>8.0042905703038905</v>
      </c>
      <c r="AB1194" s="7">
        <v>90.859206733069399</v>
      </c>
      <c r="AC1194" s="2">
        <v>4.3789193221365199</v>
      </c>
      <c r="AD1194" s="2">
        <v>56.328339768059699</v>
      </c>
      <c r="AE1194" s="2">
        <v>21.015964190100199</v>
      </c>
      <c r="AF1194" s="2">
        <v>108.352280657796</v>
      </c>
      <c r="AG1194" s="2">
        <v>11.935014359027299</v>
      </c>
      <c r="AH1194" s="2">
        <v>73.864747231349199</v>
      </c>
      <c r="AI1194" s="2">
        <v>16.237170399430902</v>
      </c>
      <c r="AJ1194" s="2">
        <v>68.978504315629394</v>
      </c>
      <c r="AK1194" s="2">
        <v>35.188596588868499</v>
      </c>
      <c r="AL1194" s="2">
        <v>107.971611299939</v>
      </c>
      <c r="AM1194" s="2">
        <v>10.9974449871982</v>
      </c>
      <c r="AN1194"/>
      <c r="AO1194"/>
    </row>
    <row r="1195" spans="1:41" ht="15.75" hidden="1" customHeight="1" x14ac:dyDescent="0.45">
      <c r="A1195" s="2" t="s">
        <v>208</v>
      </c>
      <c r="B1195" s="2" t="s">
        <v>209</v>
      </c>
      <c r="C1195" s="2">
        <v>0.3</v>
      </c>
      <c r="D1195" s="2"/>
      <c r="E1195" s="2" t="s">
        <v>83</v>
      </c>
      <c r="F1195" s="2" t="s">
        <v>84</v>
      </c>
      <c r="H1195" s="2">
        <v>0.7</v>
      </c>
      <c r="J1195" s="2">
        <v>0.71587265899999997</v>
      </c>
      <c r="K1195" s="2">
        <v>40.321321163833296</v>
      </c>
      <c r="L1195" s="2"/>
      <c r="M1195" s="2">
        <v>0.24199340223898699</v>
      </c>
      <c r="N1195" s="2">
        <v>248.722222222222</v>
      </c>
      <c r="O1195" s="2">
        <v>30.392951180849298</v>
      </c>
      <c r="P1195" s="2">
        <v>20.978491936166598</v>
      </c>
      <c r="Q1195" s="2">
        <v>3.51560481176677</v>
      </c>
      <c r="R1195" s="2">
        <v>3.77719448604444</v>
      </c>
      <c r="S1195" s="2">
        <v>1.1868142513189901</v>
      </c>
      <c r="T1195" s="2">
        <v>4.16704250316777</v>
      </c>
      <c r="U1195" s="2">
        <v>1.90796516774083</v>
      </c>
      <c r="V1195" s="2">
        <v>0.47865211007000003</v>
      </c>
      <c r="W1195" s="2">
        <v>0.174115625952631</v>
      </c>
      <c r="X1195" s="2">
        <v>3.4471494254266601</v>
      </c>
      <c r="Y1195" s="2">
        <v>0.21823510733739801</v>
      </c>
      <c r="Z1195" s="7">
        <v>69.405472443996501</v>
      </c>
      <c r="AA1195" s="2">
        <v>8.4810963685805305</v>
      </c>
      <c r="AB1195" s="7">
        <v>87.773111662416596</v>
      </c>
      <c r="AC1195" s="2">
        <v>0.52678119920690203</v>
      </c>
      <c r="AD1195" s="2">
        <v>94.445987042766802</v>
      </c>
      <c r="AE1195" s="2">
        <v>43.244016199382003</v>
      </c>
      <c r="AF1195" s="2">
        <v>108.878828310222</v>
      </c>
      <c r="AG1195" s="2">
        <v>18.2460652496687</v>
      </c>
      <c r="AH1195" s="2">
        <v>67.347270444953494</v>
      </c>
      <c r="AI1195" s="2">
        <v>21.1608644052661</v>
      </c>
      <c r="AJ1195" s="2">
        <v>118.6043818621</v>
      </c>
      <c r="AK1195" s="2">
        <v>43.143811035585898</v>
      </c>
      <c r="AL1195" s="2">
        <v>102.49297471640899</v>
      </c>
      <c r="AM1195" s="2">
        <v>6.4887135943625003</v>
      </c>
      <c r="AN1195"/>
      <c r="AO1195"/>
    </row>
    <row r="1196" spans="1:41" ht="15.75" hidden="1" customHeight="1" x14ac:dyDescent="0.45">
      <c r="A1196" s="2" t="s">
        <v>208</v>
      </c>
      <c r="B1196" s="2" t="s">
        <v>209</v>
      </c>
      <c r="C1196" s="2">
        <v>1</v>
      </c>
      <c r="D1196" s="2"/>
      <c r="E1196" s="2" t="s">
        <v>83</v>
      </c>
      <c r="F1196" s="2" t="s">
        <v>84</v>
      </c>
      <c r="H1196" s="2">
        <v>0.7</v>
      </c>
      <c r="J1196" s="2">
        <v>0.71587265899999997</v>
      </c>
      <c r="K1196" s="2">
        <v>36.199958024333299</v>
      </c>
      <c r="L1196" s="2"/>
      <c r="M1196" s="2">
        <v>2.7565468906561601</v>
      </c>
      <c r="N1196" s="2">
        <v>212.5</v>
      </c>
      <c r="O1196" s="2">
        <v>18.0146545284049</v>
      </c>
      <c r="P1196" s="2">
        <v>19.720665899222201</v>
      </c>
      <c r="Q1196" s="2">
        <v>1.4570949975141301</v>
      </c>
      <c r="R1196" s="2">
        <v>3.7610865548222199</v>
      </c>
      <c r="S1196" s="2">
        <v>0.82541427685257296</v>
      </c>
      <c r="T1196" s="2">
        <v>2.8243536651333301</v>
      </c>
      <c r="U1196" s="2">
        <v>0.89169123807502904</v>
      </c>
      <c r="V1196" s="2">
        <v>0.33248913188499901</v>
      </c>
      <c r="W1196" s="2">
        <v>0.17963895472015001</v>
      </c>
      <c r="X1196" s="2">
        <v>3.5416169440555501</v>
      </c>
      <c r="Y1196" s="2">
        <v>1.0226071586415599</v>
      </c>
      <c r="Z1196" s="7">
        <v>59.297728858227998</v>
      </c>
      <c r="AA1196" s="2">
        <v>5.0269557632941497</v>
      </c>
      <c r="AB1196" s="7">
        <v>78.801558732023693</v>
      </c>
      <c r="AC1196" s="2">
        <v>6.0005647397603399</v>
      </c>
      <c r="AD1196" s="2">
        <v>64.013954611356098</v>
      </c>
      <c r="AE1196" s="2">
        <v>20.210175215002302</v>
      </c>
      <c r="AF1196" s="2">
        <v>102.350683887958</v>
      </c>
      <c r="AG1196" s="2">
        <v>7.5623546510758004</v>
      </c>
      <c r="AH1196" s="2">
        <v>67.060066488593904</v>
      </c>
      <c r="AI1196" s="2">
        <v>14.717113121313</v>
      </c>
      <c r="AJ1196" s="2">
        <v>82.386909267609198</v>
      </c>
      <c r="AK1196" s="2">
        <v>44.512427156795503</v>
      </c>
      <c r="AL1196" s="2">
        <v>105.30174677802501</v>
      </c>
      <c r="AM1196" s="2">
        <v>30.404846648763101</v>
      </c>
      <c r="AN1196"/>
      <c r="AO1196"/>
    </row>
    <row r="1197" spans="1:41" ht="15.75" hidden="1" customHeight="1" x14ac:dyDescent="0.45">
      <c r="A1197" s="2" t="s">
        <v>208</v>
      </c>
      <c r="B1197" s="2" t="s">
        <v>209</v>
      </c>
      <c r="C1197" s="2">
        <v>3</v>
      </c>
      <c r="D1197" s="2"/>
      <c r="E1197" s="2" t="s">
        <v>83</v>
      </c>
      <c r="F1197" s="2" t="s">
        <v>84</v>
      </c>
      <c r="H1197" s="2">
        <v>0.7</v>
      </c>
      <c r="J1197" s="2">
        <v>0.71587265899999997</v>
      </c>
      <c r="K1197" s="2">
        <v>34.448790066999997</v>
      </c>
      <c r="L1197" s="2"/>
      <c r="M1197" s="2">
        <v>1.6340782645404599</v>
      </c>
      <c r="N1197" s="2">
        <v>200.5</v>
      </c>
      <c r="O1197" s="2">
        <v>25.875234835219899</v>
      </c>
      <c r="P1197" s="2">
        <v>23.997891945277701</v>
      </c>
      <c r="Q1197" s="2">
        <v>1.68694068613444</v>
      </c>
      <c r="R1197" s="2">
        <v>4.9637486778777697</v>
      </c>
      <c r="S1197" s="2">
        <v>1.68094474841611</v>
      </c>
      <c r="T1197" s="2">
        <v>2.7537939899761099</v>
      </c>
      <c r="U1197" s="2">
        <v>1.81145512408368</v>
      </c>
      <c r="V1197" s="2">
        <v>0.32380528050222201</v>
      </c>
      <c r="W1197" s="2">
        <v>0.203616273245187</v>
      </c>
      <c r="X1197" s="2">
        <v>3.01889704141111</v>
      </c>
      <c r="Y1197" s="2">
        <v>0.59228844600113895</v>
      </c>
      <c r="Z1197" s="7">
        <v>55.949151228586899</v>
      </c>
      <c r="AA1197" s="2">
        <v>7.2204360442439999</v>
      </c>
      <c r="AB1197" s="7">
        <v>74.989544238894098</v>
      </c>
      <c r="AC1197" s="2">
        <v>3.5571288300763202</v>
      </c>
      <c r="AD1197" s="2">
        <v>62.414720103770698</v>
      </c>
      <c r="AE1197" s="2">
        <v>41.056616784614697</v>
      </c>
      <c r="AF1197" s="2">
        <v>124.549579868161</v>
      </c>
      <c r="AG1197" s="2">
        <v>8.7552587618804392</v>
      </c>
      <c r="AH1197" s="2">
        <v>88.503497996973806</v>
      </c>
      <c r="AI1197" s="2">
        <v>29.9711971392707</v>
      </c>
      <c r="AJ1197" s="2">
        <v>80.235152691656594</v>
      </c>
      <c r="AK1197" s="2">
        <v>50.453725612487602</v>
      </c>
      <c r="AL1197" s="2">
        <v>89.759885618679107</v>
      </c>
      <c r="AM1197" s="2">
        <v>17.610320072882399</v>
      </c>
      <c r="AN1197"/>
      <c r="AO1197"/>
    </row>
    <row r="1198" spans="1:41" ht="15.75" hidden="1" customHeight="1" x14ac:dyDescent="0.45">
      <c r="A1198" s="2" t="s">
        <v>208</v>
      </c>
      <c r="B1198" s="2" t="s">
        <v>209</v>
      </c>
      <c r="C1198" s="2">
        <v>10</v>
      </c>
      <c r="D1198" s="2"/>
      <c r="E1198" s="2" t="s">
        <v>83</v>
      </c>
      <c r="F1198" s="2" t="s">
        <v>84</v>
      </c>
      <c r="H1198" s="2">
        <v>0.7</v>
      </c>
      <c r="J1198" s="2">
        <v>0.71587265899999997</v>
      </c>
      <c r="K1198" s="2">
        <v>32.556175453999998</v>
      </c>
      <c r="L1198" s="2"/>
      <c r="M1198" s="2">
        <v>2.9632456438486598</v>
      </c>
      <c r="N1198" s="2">
        <v>179.5</v>
      </c>
      <c r="O1198" s="2">
        <v>4.7022453265551203</v>
      </c>
      <c r="P1198" s="2">
        <v>22.103397648888802</v>
      </c>
      <c r="Q1198" s="2">
        <v>3.57676978146405</v>
      </c>
      <c r="R1198" s="2">
        <v>4.3430240941388796</v>
      </c>
      <c r="S1198" s="2">
        <v>0.64600383244347404</v>
      </c>
      <c r="T1198" s="2">
        <v>2.62146635070888</v>
      </c>
      <c r="U1198" s="2">
        <v>1.33806973485346</v>
      </c>
      <c r="V1198" s="2">
        <v>0.256284005271666</v>
      </c>
      <c r="W1198" s="2">
        <v>4.5548216500435897E-2</v>
      </c>
      <c r="X1198" s="2">
        <v>3.5176291286944399</v>
      </c>
      <c r="Y1198" s="2">
        <v>0.14541416068007401</v>
      </c>
      <c r="Z1198" s="7">
        <v>50.089140376714901</v>
      </c>
      <c r="AA1198" s="2">
        <v>1.31215279246557</v>
      </c>
      <c r="AB1198" s="7">
        <v>70.869622843318098</v>
      </c>
      <c r="AC1198" s="2">
        <v>6.4505150940835696</v>
      </c>
      <c r="AD1198" s="2">
        <v>59.415515153465698</v>
      </c>
      <c r="AE1198" s="2">
        <v>30.327340492500099</v>
      </c>
      <c r="AF1198" s="2">
        <v>114.717113365857</v>
      </c>
      <c r="AG1198" s="2">
        <v>18.563512769468201</v>
      </c>
      <c r="AH1198" s="2">
        <v>77.435996292376004</v>
      </c>
      <c r="AI1198" s="2">
        <v>11.518229991278</v>
      </c>
      <c r="AJ1198" s="2">
        <v>63.5041722096326</v>
      </c>
      <c r="AK1198" s="2">
        <v>11.286314108518701</v>
      </c>
      <c r="AL1198" s="2">
        <v>104.588524851765</v>
      </c>
      <c r="AM1198" s="2">
        <v>4.32355202941228</v>
      </c>
      <c r="AN1198"/>
      <c r="AO1198"/>
    </row>
    <row r="1199" spans="1:41" ht="15.75" hidden="1" customHeight="1" x14ac:dyDescent="0.45">
      <c r="A1199" s="2" t="s">
        <v>210</v>
      </c>
      <c r="B1199" s="2" t="s">
        <v>211</v>
      </c>
      <c r="C1199" s="2">
        <v>3.0000000000000001E-3</v>
      </c>
      <c r="D1199" s="2"/>
      <c r="E1199" s="2" t="s">
        <v>83</v>
      </c>
      <c r="F1199" s="2" t="s">
        <v>84</v>
      </c>
      <c r="H1199" s="2">
        <v>1.1000000000000001</v>
      </c>
      <c r="J1199" s="2">
        <v>1.1000000000000001</v>
      </c>
      <c r="K1199" s="2">
        <v>21.948672467111098</v>
      </c>
      <c r="L1199" s="2"/>
      <c r="M1199" s="2">
        <v>19.037801111205699</v>
      </c>
      <c r="N1199" s="2">
        <v>284.166666666666</v>
      </c>
      <c r="O1199" s="2">
        <v>66.468664296293198</v>
      </c>
      <c r="P1199" s="2">
        <v>15.0572201540944</v>
      </c>
      <c r="Q1199" s="2">
        <v>4.5203119295444498</v>
      </c>
      <c r="R1199" s="2">
        <v>1.7733876929455501</v>
      </c>
      <c r="S1199" s="2">
        <v>0.53010280241049001</v>
      </c>
      <c r="T1199" s="2">
        <v>4.1640346369061101</v>
      </c>
      <c r="U1199" s="2">
        <v>2.4148238653182301</v>
      </c>
      <c r="V1199" s="2">
        <v>0.83758955610666597</v>
      </c>
      <c r="W1199" s="2">
        <v>0.502905049906608</v>
      </c>
      <c r="X1199" s="2">
        <v>3.5029712237555501</v>
      </c>
      <c r="Y1199" s="2">
        <v>0.46384326946042298</v>
      </c>
      <c r="Z1199" s="7">
        <v>123.04400317040199</v>
      </c>
      <c r="AA1199" s="2">
        <v>30.0983637305557</v>
      </c>
      <c r="AB1199" s="7">
        <v>63.763462032083702</v>
      </c>
      <c r="AC1199" s="2">
        <v>55.566885927062899</v>
      </c>
      <c r="AD1199" s="2">
        <v>86.727073877575805</v>
      </c>
      <c r="AE1199" s="2">
        <v>39.118155345224103</v>
      </c>
      <c r="AF1199" s="2">
        <v>97.252616322147503</v>
      </c>
      <c r="AG1199" s="2">
        <v>21.1298250468862</v>
      </c>
      <c r="AH1199" s="2">
        <v>101.539062283929</v>
      </c>
      <c r="AI1199" s="2">
        <v>20.645719166274901</v>
      </c>
      <c r="AJ1199" s="2">
        <v>110.49624217407199</v>
      </c>
      <c r="AK1199" s="2">
        <v>50.3126558423942</v>
      </c>
      <c r="AL1199" s="2">
        <v>107.085850817748</v>
      </c>
      <c r="AM1199" s="2">
        <v>14.168587693353301</v>
      </c>
      <c r="AN1199"/>
      <c r="AO1199"/>
    </row>
    <row r="1200" spans="1:41" ht="15.75" hidden="1" customHeight="1" x14ac:dyDescent="0.45">
      <c r="A1200" s="2" t="s">
        <v>210</v>
      </c>
      <c r="B1200" s="2" t="s">
        <v>211</v>
      </c>
      <c r="C1200" s="2">
        <v>0.01</v>
      </c>
      <c r="D1200" s="2"/>
      <c r="E1200" s="2" t="s">
        <v>83</v>
      </c>
      <c r="F1200" s="2" t="s">
        <v>84</v>
      </c>
      <c r="H1200" s="2">
        <v>1.1000000000000001</v>
      </c>
      <c r="J1200" s="2">
        <v>1.1000000000000001</v>
      </c>
      <c r="K1200" s="2">
        <v>22.487410236888799</v>
      </c>
      <c r="L1200" s="2"/>
      <c r="M1200" s="2">
        <v>19.962457960029699</v>
      </c>
      <c r="N1200" s="2">
        <v>218.166666666666</v>
      </c>
      <c r="O1200" s="2">
        <v>48.368665247014597</v>
      </c>
      <c r="P1200" s="2">
        <v>14.2079245429666</v>
      </c>
      <c r="Q1200" s="2">
        <v>1.1214189576081799</v>
      </c>
      <c r="R1200" s="2">
        <v>1.7315759773616599</v>
      </c>
      <c r="S1200" s="2">
        <v>0.60402652676744695</v>
      </c>
      <c r="T1200" s="2">
        <v>3.2543100146322201</v>
      </c>
      <c r="U1200" s="2">
        <v>0.35038351515846899</v>
      </c>
      <c r="V1200" s="2">
        <v>0.45544216749999999</v>
      </c>
      <c r="W1200" s="2">
        <v>8.9110009113161207E-2</v>
      </c>
      <c r="X1200" s="2">
        <v>3.2118029799277701</v>
      </c>
      <c r="Y1200" s="2">
        <v>0.31889226114129099</v>
      </c>
      <c r="Z1200" s="7">
        <v>93.974679313159896</v>
      </c>
      <c r="AA1200" s="2">
        <v>18.922166991421399</v>
      </c>
      <c r="AB1200" s="7">
        <v>64.984020062606305</v>
      </c>
      <c r="AC1200" s="2">
        <v>57.0814209589199</v>
      </c>
      <c r="AD1200" s="2">
        <v>71.6703369744139</v>
      </c>
      <c r="AE1200" s="2">
        <v>12.8443713126519</v>
      </c>
      <c r="AF1200" s="2">
        <v>92.785561329698396</v>
      </c>
      <c r="AG1200" s="2">
        <v>2.62244398788796</v>
      </c>
      <c r="AH1200" s="2">
        <v>98.796587681149006</v>
      </c>
      <c r="AI1200" s="2">
        <v>20.910233691172401</v>
      </c>
      <c r="AJ1200" s="2">
        <v>67.375196995250107</v>
      </c>
      <c r="AK1200" s="2">
        <v>39.489806386973399</v>
      </c>
      <c r="AL1200" s="2">
        <v>98.665275744146001</v>
      </c>
      <c r="AM1200" s="2">
        <v>15.558132075086201</v>
      </c>
      <c r="AN1200"/>
      <c r="AO1200"/>
    </row>
    <row r="1201" spans="1:41" ht="15.75" hidden="1" customHeight="1" x14ac:dyDescent="0.45">
      <c r="A1201" s="2" t="s">
        <v>210</v>
      </c>
      <c r="B1201" s="2" t="s">
        <v>211</v>
      </c>
      <c r="C1201" s="2">
        <v>0.03</v>
      </c>
      <c r="D1201" s="2"/>
      <c r="E1201" s="2" t="s">
        <v>83</v>
      </c>
      <c r="F1201" s="2" t="s">
        <v>84</v>
      </c>
      <c r="H1201" s="2">
        <v>1.1000000000000001</v>
      </c>
      <c r="J1201" s="2">
        <v>1.1000000000000001</v>
      </c>
      <c r="K1201" s="2">
        <v>34.685405401611099</v>
      </c>
      <c r="L1201" s="2"/>
      <c r="M1201" s="2">
        <v>5.3316099036323399</v>
      </c>
      <c r="N1201" s="2">
        <v>242.722222222222</v>
      </c>
      <c r="O1201" s="2">
        <v>44.531615901680397</v>
      </c>
      <c r="P1201" s="2">
        <v>16.6820273071888</v>
      </c>
      <c r="Q1201" s="2">
        <v>4.8543970324633703</v>
      </c>
      <c r="R1201" s="2">
        <v>1.94121048674666</v>
      </c>
      <c r="S1201" s="2">
        <v>0.451648747709956</v>
      </c>
      <c r="T1201" s="2">
        <v>3.54929090881555</v>
      </c>
      <c r="U1201" s="2">
        <v>1.20261653751769</v>
      </c>
      <c r="V1201" s="2">
        <v>0.84894620298388801</v>
      </c>
      <c r="W1201" s="2">
        <v>0.52786012527992898</v>
      </c>
      <c r="X1201" s="2">
        <v>3.43068764375111</v>
      </c>
      <c r="Y1201" s="2">
        <v>0.34346316431752599</v>
      </c>
      <c r="Z1201" s="7">
        <v>104.718836887039</v>
      </c>
      <c r="AA1201" s="2">
        <v>17.595493750694999</v>
      </c>
      <c r="AB1201" s="7">
        <v>103.28249194576399</v>
      </c>
      <c r="AC1201" s="2">
        <v>11.286496256435999</v>
      </c>
      <c r="AD1201" s="2">
        <v>78.507144307755794</v>
      </c>
      <c r="AE1201" s="2">
        <v>32.783886621026397</v>
      </c>
      <c r="AF1201" s="2">
        <v>108.79395297097101</v>
      </c>
      <c r="AG1201" s="2">
        <v>31.330821306771799</v>
      </c>
      <c r="AH1201" s="2">
        <v>114.386665360428</v>
      </c>
      <c r="AI1201" s="2">
        <v>33.055709246247503</v>
      </c>
      <c r="AJ1201" s="2">
        <v>111.03889533582699</v>
      </c>
      <c r="AK1201" s="2">
        <v>56.594666104893797</v>
      </c>
      <c r="AL1201" s="2">
        <v>105.93630876336699</v>
      </c>
      <c r="AM1201" s="2">
        <v>20.947125084512901</v>
      </c>
      <c r="AN1201"/>
      <c r="AO1201"/>
    </row>
    <row r="1202" spans="1:41" ht="15.75" hidden="1" customHeight="1" x14ac:dyDescent="0.45">
      <c r="A1202" s="2" t="s">
        <v>210</v>
      </c>
      <c r="B1202" s="2" t="s">
        <v>211</v>
      </c>
      <c r="C1202" s="2">
        <v>0.1</v>
      </c>
      <c r="D1202" s="2"/>
      <c r="E1202" s="2" t="s">
        <v>83</v>
      </c>
      <c r="F1202" s="2" t="s">
        <v>84</v>
      </c>
      <c r="H1202" s="2">
        <v>1.1000000000000001</v>
      </c>
      <c r="J1202" s="2">
        <v>1.1000000000000001</v>
      </c>
      <c r="K1202" s="2">
        <v>30.3610349506666</v>
      </c>
      <c r="L1202" s="2"/>
      <c r="M1202" s="2">
        <v>3.8179975481638802</v>
      </c>
      <c r="N1202" s="2">
        <v>222.055555555555</v>
      </c>
      <c r="O1202" s="2">
        <v>32.5492504322863</v>
      </c>
      <c r="P1202" s="2">
        <v>13.5329272823111</v>
      </c>
      <c r="Q1202" s="2">
        <v>3.56899641514805</v>
      </c>
      <c r="R1202" s="2">
        <v>1.82245818672722</v>
      </c>
      <c r="S1202" s="2">
        <v>0.92348073016013599</v>
      </c>
      <c r="T1202" s="2">
        <v>3.65076802336944</v>
      </c>
      <c r="U1202" s="2">
        <v>1.5438339141616899</v>
      </c>
      <c r="V1202" s="2">
        <v>0.51633234148333296</v>
      </c>
      <c r="W1202" s="2">
        <v>0.139139196155114</v>
      </c>
      <c r="X1202" s="2">
        <v>3.2147320971222202</v>
      </c>
      <c r="Y1202" s="2">
        <v>1.0402717604962</v>
      </c>
      <c r="Z1202" s="7">
        <v>95.7176303538225</v>
      </c>
      <c r="AA1202" s="2">
        <v>11.1589902436745</v>
      </c>
      <c r="AB1202" s="7">
        <v>90.399286150134898</v>
      </c>
      <c r="AC1202" s="2">
        <v>6.0747584344162604</v>
      </c>
      <c r="AD1202" s="2">
        <v>80.718974290793</v>
      </c>
      <c r="AE1202" s="2">
        <v>40.615570892093402</v>
      </c>
      <c r="AF1202" s="2">
        <v>87.517860317525404</v>
      </c>
      <c r="AG1202" s="2">
        <v>15.691125536611599</v>
      </c>
      <c r="AH1202" s="2">
        <v>97.771290383395396</v>
      </c>
      <c r="AI1202" s="2">
        <v>14.912337786472399</v>
      </c>
      <c r="AJ1202" s="2">
        <v>71.275668428212001</v>
      </c>
      <c r="AK1202" s="2">
        <v>26.256495039155698</v>
      </c>
      <c r="AL1202" s="2">
        <v>95.174873830727293</v>
      </c>
      <c r="AM1202" s="2">
        <v>14.355552832541999</v>
      </c>
      <c r="AN1202"/>
      <c r="AO1202"/>
    </row>
    <row r="1203" spans="1:41" ht="15.75" hidden="1" customHeight="1" x14ac:dyDescent="0.45">
      <c r="A1203" s="2" t="s">
        <v>210</v>
      </c>
      <c r="B1203" s="2" t="s">
        <v>211</v>
      </c>
      <c r="C1203" s="2">
        <v>0.3</v>
      </c>
      <c r="D1203" s="2"/>
      <c r="E1203" s="2" t="s">
        <v>83</v>
      </c>
      <c r="F1203" s="2" t="s">
        <v>84</v>
      </c>
      <c r="H1203" s="2">
        <v>1.1000000000000001</v>
      </c>
      <c r="J1203" s="2">
        <v>1.1000000000000001</v>
      </c>
      <c r="K1203" s="2">
        <v>31.581263143388799</v>
      </c>
      <c r="L1203" s="2"/>
      <c r="M1203" s="2">
        <v>2.4293588209333801</v>
      </c>
      <c r="N1203" s="2">
        <v>221.277777777777</v>
      </c>
      <c r="O1203" s="2">
        <v>41.411664128913102</v>
      </c>
      <c r="P1203" s="2">
        <v>15.250823688027699</v>
      </c>
      <c r="Q1203" s="2">
        <v>0.82397512840194198</v>
      </c>
      <c r="R1203" s="2">
        <v>1.8544458151511101</v>
      </c>
      <c r="S1203" s="2">
        <v>4.6972130333270003E-2</v>
      </c>
      <c r="T1203" s="2">
        <v>3.8046036284338798</v>
      </c>
      <c r="U1203" s="2">
        <v>1.19864271411694</v>
      </c>
      <c r="V1203" s="2">
        <v>0.358925950773888</v>
      </c>
      <c r="W1203" s="2">
        <v>0.19717441879690201</v>
      </c>
      <c r="X1203" s="2">
        <v>4.0901519567888798</v>
      </c>
      <c r="Y1203" s="2">
        <v>0.98567236062223695</v>
      </c>
      <c r="Z1203" s="7">
        <v>95.947032738687696</v>
      </c>
      <c r="AA1203" s="2">
        <v>20.4460834848818</v>
      </c>
      <c r="AB1203" s="7">
        <v>94.4692325777783</v>
      </c>
      <c r="AC1203" s="2">
        <v>9.0810634810301707</v>
      </c>
      <c r="AD1203" s="2">
        <v>81.477971277955902</v>
      </c>
      <c r="AE1203" s="2">
        <v>16.587360952115699</v>
      </c>
      <c r="AF1203" s="2">
        <v>100.001309950688</v>
      </c>
      <c r="AG1203" s="2">
        <v>9.9518172437050207</v>
      </c>
      <c r="AH1203" s="2">
        <v>114.029901831448</v>
      </c>
      <c r="AI1203" s="2">
        <v>42.714316303090797</v>
      </c>
      <c r="AJ1203" s="2">
        <v>46.3460602330886</v>
      </c>
      <c r="AK1203" s="2">
        <v>19.692925672862501</v>
      </c>
      <c r="AL1203" s="2">
        <v>122.746869808746</v>
      </c>
      <c r="AM1203" s="2">
        <v>8.2251614267245099</v>
      </c>
      <c r="AN1203"/>
      <c r="AO1203"/>
    </row>
    <row r="1204" spans="1:41" ht="15.75" hidden="1" customHeight="1" x14ac:dyDescent="0.45">
      <c r="A1204" s="2" t="s">
        <v>210</v>
      </c>
      <c r="B1204" s="2" t="s">
        <v>211</v>
      </c>
      <c r="C1204" s="2">
        <v>1</v>
      </c>
      <c r="D1204" s="2"/>
      <c r="E1204" s="2" t="s">
        <v>83</v>
      </c>
      <c r="F1204" s="2" t="s">
        <v>84</v>
      </c>
      <c r="H1204" s="2">
        <v>1.1000000000000001</v>
      </c>
      <c r="J1204" s="2">
        <v>1.1000000000000001</v>
      </c>
      <c r="K1204" s="2">
        <v>24.540174271038801</v>
      </c>
      <c r="L1204" s="2"/>
      <c r="M1204" s="2">
        <v>3.1879520665642902</v>
      </c>
      <c r="N1204" s="2">
        <v>133.555555555555</v>
      </c>
      <c r="O1204" s="2">
        <v>9.1792842454770192</v>
      </c>
      <c r="P1204" s="2">
        <v>21.099027052044399</v>
      </c>
      <c r="Q1204" s="2">
        <v>0.42023234794942699</v>
      </c>
      <c r="R1204" s="2">
        <v>1.5110907226213299</v>
      </c>
      <c r="S1204" s="2">
        <v>0.65305420824280003</v>
      </c>
      <c r="T1204" s="2">
        <v>6.9616240563813303</v>
      </c>
      <c r="U1204" s="2">
        <v>1.5150885364212201</v>
      </c>
      <c r="V1204" s="2">
        <v>0.758682420365555</v>
      </c>
      <c r="W1204" s="2">
        <v>0.39236559265857901</v>
      </c>
      <c r="X1204" s="2">
        <v>4.9610547312422204</v>
      </c>
      <c r="Y1204" s="2">
        <v>1.54527300182391</v>
      </c>
      <c r="Z1204" s="7">
        <v>57.7274176741033</v>
      </c>
      <c r="AA1204" s="2">
        <v>4.1950293507977303</v>
      </c>
      <c r="AB1204" s="7">
        <v>73.716453379886502</v>
      </c>
      <c r="AC1204" s="2">
        <v>13.5482959366798</v>
      </c>
      <c r="AD1204" s="2">
        <v>155.07853799293801</v>
      </c>
      <c r="AE1204" s="2">
        <v>49.8538756482602</v>
      </c>
      <c r="AF1204" s="2">
        <v>138.18416268060901</v>
      </c>
      <c r="AG1204" s="2">
        <v>8.1222493031857397</v>
      </c>
      <c r="AH1204" s="2">
        <v>93.0832834311787</v>
      </c>
      <c r="AI1204" s="2">
        <v>49.911358311941598</v>
      </c>
      <c r="AJ1204" s="2">
        <v>113.402230392598</v>
      </c>
      <c r="AK1204" s="2">
        <v>70.478185488213597</v>
      </c>
      <c r="AL1204" s="2">
        <v>159.53256563557099</v>
      </c>
      <c r="AM1204" s="2">
        <v>80.154675413637307</v>
      </c>
      <c r="AN1204"/>
      <c r="AO1204"/>
    </row>
    <row r="1205" spans="1:41" ht="15.75" hidden="1" customHeight="1" x14ac:dyDescent="0.45">
      <c r="A1205" s="2" t="s">
        <v>210</v>
      </c>
      <c r="B1205" s="2" t="s">
        <v>211</v>
      </c>
      <c r="C1205" s="2">
        <v>3</v>
      </c>
      <c r="D1205" s="2"/>
      <c r="E1205" s="2" t="s">
        <v>83</v>
      </c>
      <c r="F1205" s="2" t="s">
        <v>84</v>
      </c>
      <c r="H1205" s="2">
        <v>1.1000000000000001</v>
      </c>
      <c r="J1205" s="2">
        <v>1.1000000000000001</v>
      </c>
      <c r="K1205" s="2">
        <v>0</v>
      </c>
      <c r="L1205" s="2"/>
      <c r="M1205" s="2">
        <v>0</v>
      </c>
      <c r="N1205" s="2">
        <v>16.533333333333299</v>
      </c>
      <c r="O1205" s="2">
        <v>2.7300793639257601</v>
      </c>
      <c r="P1205" s="2">
        <v>0.27777777777777701</v>
      </c>
      <c r="Q1205" s="2">
        <v>0.48112522432468802</v>
      </c>
      <c r="R1205" s="2">
        <v>0</v>
      </c>
      <c r="S1205" s="2">
        <v>0</v>
      </c>
      <c r="T1205" s="2">
        <v>20.905031826855499</v>
      </c>
      <c r="U1205" s="2">
        <v>8.0134826903747207</v>
      </c>
      <c r="V1205" s="2">
        <v>0</v>
      </c>
      <c r="W1205" s="2">
        <v>0</v>
      </c>
      <c r="X1205" s="2">
        <v>2.67630789689666</v>
      </c>
      <c r="Y1205" s="2">
        <v>1.03698716821556</v>
      </c>
      <c r="Z1205" s="7">
        <v>7.15139842880229</v>
      </c>
      <c r="AA1205" s="2">
        <v>1.25298548520687</v>
      </c>
      <c r="AB1205" s="7">
        <v>0</v>
      </c>
      <c r="AC1205" s="2">
        <v>0</v>
      </c>
      <c r="AD1205" s="2">
        <v>470.57298879650102</v>
      </c>
      <c r="AE1205" s="2">
        <v>236.069489506454</v>
      </c>
      <c r="AF1205" s="2">
        <v>1.93122125741258</v>
      </c>
      <c r="AG1205" s="2">
        <v>3.3449733384956399</v>
      </c>
      <c r="AH1205" s="2">
        <v>0</v>
      </c>
      <c r="AI1205" s="2">
        <v>0</v>
      </c>
      <c r="AJ1205" s="2">
        <v>0</v>
      </c>
      <c r="AK1205" s="2">
        <v>0</v>
      </c>
      <c r="AL1205" s="2">
        <v>77.892788643896395</v>
      </c>
      <c r="AM1205" s="2">
        <v>14.715987452372801</v>
      </c>
      <c r="AN1205"/>
      <c r="AO1205"/>
    </row>
    <row r="1206" spans="1:41" ht="15.75" hidden="1" customHeight="1" x14ac:dyDescent="0.45">
      <c r="A1206" s="2" t="s">
        <v>210</v>
      </c>
      <c r="B1206" s="2" t="s">
        <v>211</v>
      </c>
      <c r="C1206" s="2">
        <v>10</v>
      </c>
      <c r="D1206" s="2"/>
      <c r="E1206" s="2" t="s">
        <v>83</v>
      </c>
      <c r="F1206" s="2" t="s">
        <v>84</v>
      </c>
      <c r="H1206" s="2">
        <v>1.1000000000000001</v>
      </c>
      <c r="J1206" s="2">
        <v>1.1000000000000001</v>
      </c>
      <c r="K1206" s="2">
        <v>0</v>
      </c>
      <c r="L1206" s="2"/>
      <c r="M1206" s="2">
        <v>0</v>
      </c>
      <c r="N1206" s="2">
        <v>24.322222222222202</v>
      </c>
      <c r="O1206" s="2">
        <v>5.6979853489665198</v>
      </c>
      <c r="P1206" s="2">
        <v>1.10673239705333</v>
      </c>
      <c r="Q1206" s="2">
        <v>0.38632070886997</v>
      </c>
      <c r="R1206" s="2">
        <v>0</v>
      </c>
      <c r="S1206" s="2">
        <v>0</v>
      </c>
      <c r="T1206" s="2">
        <v>8.4438636788077694</v>
      </c>
      <c r="U1206" s="2">
        <v>4.7185573108016001</v>
      </c>
      <c r="V1206" s="2">
        <v>0.231481481483333</v>
      </c>
      <c r="W1206" s="2">
        <v>0.40093768694044701</v>
      </c>
      <c r="X1206" s="2">
        <v>0.75460829492777703</v>
      </c>
      <c r="Y1206" s="2">
        <v>0.430120384658154</v>
      </c>
      <c r="Z1206" s="7">
        <v>10.4825621372848</v>
      </c>
      <c r="AA1206" s="2">
        <v>2.3106900413107598</v>
      </c>
      <c r="AB1206" s="7">
        <v>0</v>
      </c>
      <c r="AC1206" s="2">
        <v>0</v>
      </c>
      <c r="AD1206" s="2">
        <v>197.01604976182199</v>
      </c>
      <c r="AE1206" s="2">
        <v>133.405920020076</v>
      </c>
      <c r="AF1206" s="2">
        <v>7.1253874497930099</v>
      </c>
      <c r="AG1206" s="2">
        <v>1.8919427194648</v>
      </c>
      <c r="AH1206" s="2">
        <v>0</v>
      </c>
      <c r="AI1206" s="2">
        <v>0</v>
      </c>
      <c r="AJ1206" s="2">
        <v>27.531055881317599</v>
      </c>
      <c r="AK1206" s="2">
        <v>47.685187572460102</v>
      </c>
      <c r="AL1206" s="2">
        <v>25.983821729638699</v>
      </c>
      <c r="AM1206" s="2">
        <v>21.836648386541199</v>
      </c>
      <c r="AN1206"/>
      <c r="AO1206"/>
    </row>
    <row r="1207" spans="1:41" ht="15.75" hidden="1" customHeight="1" x14ac:dyDescent="0.45">
      <c r="A1207" s="2" t="s">
        <v>210</v>
      </c>
      <c r="B1207" s="2" t="s">
        <v>211</v>
      </c>
      <c r="C1207" s="2">
        <v>3.0000000000000001E-3</v>
      </c>
      <c r="D1207" s="2"/>
      <c r="E1207" s="2" t="s">
        <v>83</v>
      </c>
      <c r="F1207" s="2" t="s">
        <v>84</v>
      </c>
      <c r="H1207" s="2">
        <v>1.3</v>
      </c>
      <c r="J1207" s="2">
        <v>1.2617246360000001</v>
      </c>
      <c r="K1207" s="2">
        <v>44.842341734888798</v>
      </c>
      <c r="L1207" s="2"/>
      <c r="M1207" s="2">
        <v>2.4267737270746101</v>
      </c>
      <c r="N1207" s="2">
        <v>351.61111111111097</v>
      </c>
      <c r="O1207" s="2">
        <v>23.878356851464201</v>
      </c>
      <c r="P1207" s="2">
        <v>17.3481941583888</v>
      </c>
      <c r="Q1207" s="2">
        <v>1.85947671881434</v>
      </c>
      <c r="R1207" s="2">
        <v>5.5713037704944401</v>
      </c>
      <c r="S1207" s="2">
        <v>1.7994920879674099</v>
      </c>
      <c r="T1207" s="2">
        <v>3.5614348983838799</v>
      </c>
      <c r="U1207" s="2">
        <v>0.97458260813320097</v>
      </c>
      <c r="V1207" s="2">
        <v>0.230527366189999</v>
      </c>
      <c r="W1207" s="2">
        <v>0.190025790342541</v>
      </c>
      <c r="X1207" s="2">
        <v>3.60833440887777</v>
      </c>
      <c r="Y1207" s="2">
        <v>0.233465549323848</v>
      </c>
      <c r="Z1207" s="7">
        <v>98.116425083326803</v>
      </c>
      <c r="AA1207" s="2">
        <v>6.6632109654500598</v>
      </c>
      <c r="AB1207" s="7">
        <v>97.614655340982296</v>
      </c>
      <c r="AC1207" s="2">
        <v>5.2827009427706004</v>
      </c>
      <c r="AD1207" s="2">
        <v>80.719895228023105</v>
      </c>
      <c r="AE1207" s="2">
        <v>22.0889074949155</v>
      </c>
      <c r="AF1207" s="2">
        <v>90.037504078511702</v>
      </c>
      <c r="AG1207" s="2">
        <v>9.6507245149308698</v>
      </c>
      <c r="AH1207" s="2">
        <v>99.336188048767397</v>
      </c>
      <c r="AI1207" s="2">
        <v>32.0848928377021</v>
      </c>
      <c r="AJ1207" s="2">
        <v>57.121978978144398</v>
      </c>
      <c r="AK1207" s="2">
        <v>47.086163264042</v>
      </c>
      <c r="AL1207" s="2">
        <v>107.285435499125</v>
      </c>
      <c r="AM1207" s="2">
        <v>6.94155538123798</v>
      </c>
      <c r="AN1207"/>
      <c r="AO1207"/>
    </row>
    <row r="1208" spans="1:41" ht="15.75" hidden="1" customHeight="1" x14ac:dyDescent="0.45">
      <c r="A1208" s="2" t="s">
        <v>210</v>
      </c>
      <c r="B1208" s="2" t="s">
        <v>211</v>
      </c>
      <c r="C1208" s="2">
        <v>0.01</v>
      </c>
      <c r="D1208" s="2"/>
      <c r="E1208" s="2" t="s">
        <v>83</v>
      </c>
      <c r="F1208" s="2" t="s">
        <v>84</v>
      </c>
      <c r="H1208" s="2">
        <v>1.3</v>
      </c>
      <c r="J1208" s="2">
        <v>1.2617246360000001</v>
      </c>
      <c r="K1208" s="2">
        <v>43.844774575277697</v>
      </c>
      <c r="L1208" s="2"/>
      <c r="M1208" s="2">
        <v>2.1533038088078298</v>
      </c>
      <c r="N1208" s="2">
        <v>332.5</v>
      </c>
      <c r="O1208" s="2">
        <v>28.440483665209801</v>
      </c>
      <c r="P1208" s="2">
        <v>19.141715529388801</v>
      </c>
      <c r="Q1208" s="2">
        <v>1.7058626332053299</v>
      </c>
      <c r="R1208" s="2">
        <v>4.4166257444111103</v>
      </c>
      <c r="S1208" s="2">
        <v>1.06549229703594</v>
      </c>
      <c r="T1208" s="2">
        <v>2.5235882734161099</v>
      </c>
      <c r="U1208" s="2">
        <v>0.992991052579144</v>
      </c>
      <c r="V1208" s="2">
        <v>0.30791705283055498</v>
      </c>
      <c r="W1208" s="2">
        <v>5.79732582683017E-2</v>
      </c>
      <c r="X1208" s="2">
        <v>3.45121888385555</v>
      </c>
      <c r="Y1208" s="2">
        <v>0.19706091365759101</v>
      </c>
      <c r="Z1208" s="7">
        <v>92.783505154639201</v>
      </c>
      <c r="AA1208" s="2">
        <v>7.93626394812458</v>
      </c>
      <c r="AB1208" s="7">
        <v>95.443110084924498</v>
      </c>
      <c r="AC1208" s="2">
        <v>4.6874003678015503</v>
      </c>
      <c r="AD1208" s="2">
        <v>57.197109266619798</v>
      </c>
      <c r="AE1208" s="2">
        <v>22.5061347500484</v>
      </c>
      <c r="AF1208" s="2">
        <v>99.345918907280705</v>
      </c>
      <c r="AG1208" s="2">
        <v>8.8534640777198792</v>
      </c>
      <c r="AH1208" s="2">
        <v>78.748311627049006</v>
      </c>
      <c r="AI1208" s="2">
        <v>18.9976974049438</v>
      </c>
      <c r="AJ1208" s="2">
        <v>76.298236124827397</v>
      </c>
      <c r="AK1208" s="2">
        <v>14.3650938056833</v>
      </c>
      <c r="AL1208" s="2">
        <v>102.613970602687</v>
      </c>
      <c r="AM1208" s="2">
        <v>5.8591481680838902</v>
      </c>
      <c r="AN1208"/>
      <c r="AO1208"/>
    </row>
    <row r="1209" spans="1:41" ht="15.75" hidden="1" customHeight="1" x14ac:dyDescent="0.45">
      <c r="A1209" s="2" t="s">
        <v>210</v>
      </c>
      <c r="B1209" s="2" t="s">
        <v>211</v>
      </c>
      <c r="C1209" s="2">
        <v>0.03</v>
      </c>
      <c r="D1209" s="2"/>
      <c r="E1209" s="2" t="s">
        <v>83</v>
      </c>
      <c r="F1209" s="2" t="s">
        <v>84</v>
      </c>
      <c r="H1209" s="2">
        <v>1.3</v>
      </c>
      <c r="J1209" s="2">
        <v>1.2617246360000001</v>
      </c>
      <c r="K1209" s="2">
        <v>45.8739576707666</v>
      </c>
      <c r="L1209" s="2"/>
      <c r="M1209" s="2">
        <v>2.5899663255432399</v>
      </c>
      <c r="N1209" s="2">
        <v>332.23333333333301</v>
      </c>
      <c r="O1209" s="2">
        <v>12.060818103815199</v>
      </c>
      <c r="P1209" s="2">
        <v>18.710910235038799</v>
      </c>
      <c r="Q1209" s="2">
        <v>2.0187449740054499</v>
      </c>
      <c r="R1209" s="2">
        <v>6.4669888642766598</v>
      </c>
      <c r="S1209" s="2">
        <v>2.0297352795866499</v>
      </c>
      <c r="T1209" s="2">
        <v>4.6148396384722199</v>
      </c>
      <c r="U1209" s="2">
        <v>1.42570614120422</v>
      </c>
      <c r="V1209" s="2">
        <v>0.45709246273544402</v>
      </c>
      <c r="W1209" s="2">
        <v>9.04820363768402E-2</v>
      </c>
      <c r="X1209" s="2">
        <v>3.6484955475566601</v>
      </c>
      <c r="Y1209" s="2">
        <v>0.44427961077035699</v>
      </c>
      <c r="Z1209" s="7">
        <v>92.709092318424894</v>
      </c>
      <c r="AA1209" s="2">
        <v>3.3655488081338598</v>
      </c>
      <c r="AB1209" s="7">
        <v>99.860319374772601</v>
      </c>
      <c r="AC1209" s="2">
        <v>5.6379453086401297</v>
      </c>
      <c r="AD1209" s="2">
        <v>104.595305751803</v>
      </c>
      <c r="AE1209" s="2">
        <v>32.3136189843528</v>
      </c>
      <c r="AF1209" s="2">
        <v>97.110030082602904</v>
      </c>
      <c r="AG1209" s="2">
        <v>10.477330214949101</v>
      </c>
      <c r="AH1209" s="2">
        <v>115.306227840823</v>
      </c>
      <c r="AI1209" s="2">
        <v>36.190122407262599</v>
      </c>
      <c r="AJ1209" s="2">
        <v>113.262153986188</v>
      </c>
      <c r="AK1209" s="2">
        <v>22.420387935884701</v>
      </c>
      <c r="AL1209" s="2">
        <v>108.47953359677</v>
      </c>
      <c r="AM1209" s="2">
        <v>13.2096214274397</v>
      </c>
      <c r="AN1209"/>
      <c r="AO1209"/>
    </row>
    <row r="1210" spans="1:41" ht="15.75" hidden="1" customHeight="1" x14ac:dyDescent="0.45">
      <c r="A1210" s="2" t="s">
        <v>210</v>
      </c>
      <c r="B1210" s="2" t="s">
        <v>211</v>
      </c>
      <c r="C1210" s="2">
        <v>0.1</v>
      </c>
      <c r="D1210" s="2"/>
      <c r="E1210" s="2" t="s">
        <v>83</v>
      </c>
      <c r="F1210" s="2" t="s">
        <v>84</v>
      </c>
      <c r="H1210" s="2">
        <v>1.3</v>
      </c>
      <c r="J1210" s="2">
        <v>1.2617246360000001</v>
      </c>
      <c r="K1210" s="2">
        <v>45.603445065444397</v>
      </c>
      <c r="L1210" s="2"/>
      <c r="M1210" s="2">
        <v>2.2946974826220599</v>
      </c>
      <c r="N1210" s="2">
        <v>343.33333333333297</v>
      </c>
      <c r="O1210" s="2">
        <v>24.043941255774801</v>
      </c>
      <c r="P1210" s="2">
        <v>18.0800398421277</v>
      </c>
      <c r="Q1210" s="2">
        <v>2.5017930218531599</v>
      </c>
      <c r="R1210" s="2">
        <v>5.0455667953277699</v>
      </c>
      <c r="S1210" s="2">
        <v>0.78392061740187002</v>
      </c>
      <c r="T1210" s="2">
        <v>3.7210618558888799</v>
      </c>
      <c r="U1210" s="2">
        <v>0.73577478592741896</v>
      </c>
      <c r="V1210" s="2">
        <v>0.47385434577000002</v>
      </c>
      <c r="W1210" s="2">
        <v>0.11897142950508401</v>
      </c>
      <c r="X1210" s="2">
        <v>3.0641154848111101</v>
      </c>
      <c r="Y1210" s="2">
        <v>0.12325042775478599</v>
      </c>
      <c r="Z1210" s="7">
        <v>95.806526625842906</v>
      </c>
      <c r="AA1210" s="2">
        <v>6.7094169847910603</v>
      </c>
      <c r="AB1210" s="7">
        <v>99.2714564003536</v>
      </c>
      <c r="AC1210" s="2">
        <v>4.9951919371707403</v>
      </c>
      <c r="AD1210" s="2">
        <v>84.337839021188799</v>
      </c>
      <c r="AE1210" s="2">
        <v>16.676329997898598</v>
      </c>
      <c r="AF1210" s="2">
        <v>93.835799055664594</v>
      </c>
      <c r="AG1210" s="2">
        <v>12.984360063769</v>
      </c>
      <c r="AH1210" s="2">
        <v>89.962312708146499</v>
      </c>
      <c r="AI1210" s="2">
        <v>13.977282351385201</v>
      </c>
      <c r="AJ1210" s="2">
        <v>117.41555211049101</v>
      </c>
      <c r="AK1210" s="2">
        <v>29.4797255853262</v>
      </c>
      <c r="AL1210" s="2">
        <v>91.104350915694098</v>
      </c>
      <c r="AM1210" s="2">
        <v>3.6645649540110901</v>
      </c>
      <c r="AN1210"/>
      <c r="AO1210"/>
    </row>
    <row r="1211" spans="1:41" ht="15.75" hidden="1" customHeight="1" x14ac:dyDescent="0.45">
      <c r="A1211" s="2" t="s">
        <v>210</v>
      </c>
      <c r="B1211" s="2" t="s">
        <v>211</v>
      </c>
      <c r="C1211" s="2">
        <v>0.3</v>
      </c>
      <c r="D1211" s="2"/>
      <c r="E1211" s="2" t="s">
        <v>83</v>
      </c>
      <c r="F1211" s="2" t="s">
        <v>84</v>
      </c>
      <c r="H1211" s="2">
        <v>1.3</v>
      </c>
      <c r="J1211" s="2">
        <v>1.2617246360000001</v>
      </c>
      <c r="K1211" s="2">
        <v>42.572476503388799</v>
      </c>
      <c r="L1211" s="2"/>
      <c r="M1211" s="2">
        <v>1.6713293134987699</v>
      </c>
      <c r="N1211" s="2">
        <v>361.77777777777698</v>
      </c>
      <c r="O1211" s="2">
        <v>41.310589620759501</v>
      </c>
      <c r="P1211" s="2">
        <v>18.958501503000001</v>
      </c>
      <c r="Q1211" s="2">
        <v>1.3854411059384399</v>
      </c>
      <c r="R1211" s="2">
        <v>5.4164458452166597</v>
      </c>
      <c r="S1211" s="2">
        <v>0.62110816286160198</v>
      </c>
      <c r="T1211" s="2">
        <v>4.1241471370111098</v>
      </c>
      <c r="U1211" s="2">
        <v>1.1409768459359799</v>
      </c>
      <c r="V1211" s="2">
        <v>0.45755075434555498</v>
      </c>
      <c r="W1211" s="2">
        <v>0.19946515922726901</v>
      </c>
      <c r="X1211" s="2">
        <v>3.6055141407833302</v>
      </c>
      <c r="Y1211" s="2">
        <v>0.60115578486219401</v>
      </c>
      <c r="Z1211" s="7">
        <v>100.953414463995</v>
      </c>
      <c r="AA1211" s="2">
        <v>11.527643022613301</v>
      </c>
      <c r="AB1211" s="7">
        <v>92.673519270227899</v>
      </c>
      <c r="AC1211" s="2">
        <v>3.6382184468196401</v>
      </c>
      <c r="AD1211" s="2">
        <v>93.473763890939694</v>
      </c>
      <c r="AE1211" s="2">
        <v>25.860231645213101</v>
      </c>
      <c r="AF1211" s="2">
        <v>98.395034135204696</v>
      </c>
      <c r="AG1211" s="2">
        <v>7.1904693991535797</v>
      </c>
      <c r="AH1211" s="2">
        <v>96.575075637754495</v>
      </c>
      <c r="AI1211" s="2">
        <v>11.074340909465199</v>
      </c>
      <c r="AJ1211" s="2">
        <v>113.375713274837</v>
      </c>
      <c r="AK1211" s="2">
        <v>49.425128220401902</v>
      </c>
      <c r="AL1211" s="2">
        <v>107.2015813835</v>
      </c>
      <c r="AM1211" s="2">
        <v>17.873969780372398</v>
      </c>
      <c r="AN1211"/>
      <c r="AO1211"/>
    </row>
    <row r="1212" spans="1:41" ht="15.75" hidden="1" customHeight="1" x14ac:dyDescent="0.45">
      <c r="A1212" s="2" t="s">
        <v>210</v>
      </c>
      <c r="B1212" s="2" t="s">
        <v>211</v>
      </c>
      <c r="C1212" s="2">
        <v>1</v>
      </c>
      <c r="D1212" s="2"/>
      <c r="E1212" s="2" t="s">
        <v>83</v>
      </c>
      <c r="F1212" s="2" t="s">
        <v>84</v>
      </c>
      <c r="H1212" s="2">
        <v>1.3</v>
      </c>
      <c r="J1212" s="2">
        <v>1.2617246360000001</v>
      </c>
      <c r="K1212" s="2">
        <v>39.862253319388799</v>
      </c>
      <c r="L1212" s="2"/>
      <c r="M1212" s="2">
        <v>3.1754304302890501</v>
      </c>
      <c r="N1212" s="2">
        <v>234.944444444444</v>
      </c>
      <c r="O1212" s="2">
        <v>24.8558808899386</v>
      </c>
      <c r="P1212" s="2">
        <v>23.548971914611101</v>
      </c>
      <c r="Q1212" s="2">
        <v>2.1804091248213999</v>
      </c>
      <c r="R1212" s="2">
        <v>6.035051261145</v>
      </c>
      <c r="S1212" s="2">
        <v>1.4961176275821799</v>
      </c>
      <c r="T1212" s="2">
        <v>5.1140372220055497</v>
      </c>
      <c r="U1212" s="2">
        <v>1.12584287218469</v>
      </c>
      <c r="V1212" s="2">
        <v>0.72002720771722195</v>
      </c>
      <c r="W1212" s="2">
        <v>0.433442351216762</v>
      </c>
      <c r="X1212" s="2">
        <v>3.9500252058222198</v>
      </c>
      <c r="Y1212" s="2">
        <v>0.201763535991582</v>
      </c>
      <c r="Z1212" s="7">
        <v>65.560809239593794</v>
      </c>
      <c r="AA1212" s="2">
        <v>6.93598722608938</v>
      </c>
      <c r="AB1212" s="7">
        <v>86.773793881946901</v>
      </c>
      <c r="AC1212" s="2">
        <v>6.9124076714032698</v>
      </c>
      <c r="AD1212" s="2">
        <v>115.909615233967</v>
      </c>
      <c r="AE1212" s="2">
        <v>25.5172202437853</v>
      </c>
      <c r="AF1212" s="2">
        <v>122.219675168972</v>
      </c>
      <c r="AG1212" s="2">
        <v>11.3163706652429</v>
      </c>
      <c r="AH1212" s="2">
        <v>107.60479264045701</v>
      </c>
      <c r="AI1212" s="2">
        <v>26.6757348223699</v>
      </c>
      <c r="AJ1212" s="2">
        <v>178.41430153249701</v>
      </c>
      <c r="AK1212" s="2">
        <v>107.40193359097699</v>
      </c>
      <c r="AL1212" s="2">
        <v>117.444817031512</v>
      </c>
      <c r="AM1212" s="2">
        <v>5.9989697111894502</v>
      </c>
      <c r="AN1212"/>
      <c r="AO1212"/>
    </row>
    <row r="1213" spans="1:41" ht="15.75" hidden="1" customHeight="1" x14ac:dyDescent="0.45">
      <c r="A1213" s="2" t="s">
        <v>210</v>
      </c>
      <c r="B1213" s="2" t="s">
        <v>211</v>
      </c>
      <c r="C1213" s="2">
        <v>3</v>
      </c>
      <c r="D1213" s="2"/>
      <c r="E1213" s="2" t="s">
        <v>83</v>
      </c>
      <c r="F1213" s="2" t="s">
        <v>84</v>
      </c>
      <c r="H1213" s="2">
        <v>1.3</v>
      </c>
      <c r="J1213" s="2">
        <v>1.2617246360000001</v>
      </c>
      <c r="K1213" s="2">
        <v>0</v>
      </c>
      <c r="L1213" s="2"/>
      <c r="M1213" s="2">
        <v>0</v>
      </c>
      <c r="N1213" s="2">
        <v>22.1666666666666</v>
      </c>
      <c r="O1213" s="2">
        <v>0.166666666666477</v>
      </c>
      <c r="P1213" s="2">
        <v>0.24154589372222199</v>
      </c>
      <c r="Q1213" s="2">
        <v>0.41836976028652101</v>
      </c>
      <c r="R1213" s="2">
        <v>38.635986387055503</v>
      </c>
      <c r="S1213" s="2">
        <v>11.4435755684194</v>
      </c>
      <c r="T1213" s="2">
        <v>20.8123650361944</v>
      </c>
      <c r="U1213" s="2">
        <v>11.6533361151132</v>
      </c>
      <c r="V1213" s="2">
        <v>0</v>
      </c>
      <c r="W1213" s="2">
        <v>0</v>
      </c>
      <c r="X1213" s="2">
        <v>3.4612342136666601</v>
      </c>
      <c r="Y1213" s="2">
        <v>0.66772867176024397</v>
      </c>
      <c r="Z1213" s="7">
        <v>6.1855670103092697</v>
      </c>
      <c r="AA1213" s="2">
        <v>4.6508022633851398E-2</v>
      </c>
      <c r="AB1213" s="7">
        <v>0</v>
      </c>
      <c r="AC1213" s="2">
        <v>0</v>
      </c>
      <c r="AD1213" s="2">
        <v>471.71209725926099</v>
      </c>
      <c r="AE1213" s="2">
        <v>264.12277554076098</v>
      </c>
      <c r="AF1213" s="2">
        <v>1.25362842913801</v>
      </c>
      <c r="AG1213" s="2">
        <v>2.1713481330798001</v>
      </c>
      <c r="AH1213" s="2">
        <v>688.87854033734698</v>
      </c>
      <c r="AI1213" s="2">
        <v>204.03862748160799</v>
      </c>
      <c r="AJ1213" s="2">
        <v>0</v>
      </c>
      <c r="AK1213" s="2">
        <v>0</v>
      </c>
      <c r="AL1213" s="2">
        <v>102.911753152389</v>
      </c>
      <c r="AM1213" s="2">
        <v>19.853359812992</v>
      </c>
      <c r="AN1213"/>
      <c r="AO1213"/>
    </row>
    <row r="1214" spans="1:41" ht="15.75" hidden="1" customHeight="1" x14ac:dyDescent="0.45">
      <c r="A1214" s="2" t="s">
        <v>210</v>
      </c>
      <c r="B1214" s="2" t="s">
        <v>211</v>
      </c>
      <c r="C1214" s="2">
        <v>10</v>
      </c>
      <c r="D1214" s="2"/>
      <c r="E1214" s="2" t="s">
        <v>83</v>
      </c>
      <c r="F1214" s="2" t="s">
        <v>84</v>
      </c>
      <c r="H1214" s="2">
        <v>1.3</v>
      </c>
      <c r="J1214" s="2">
        <v>1.2617246360000001</v>
      </c>
      <c r="K1214" s="2">
        <v>0</v>
      </c>
      <c r="L1214" s="2"/>
      <c r="M1214" s="2">
        <v>0</v>
      </c>
      <c r="N1214" s="2">
        <v>14.4444444444444</v>
      </c>
      <c r="O1214" s="2">
        <v>1.9460310986818801</v>
      </c>
      <c r="P1214" s="2">
        <v>0</v>
      </c>
      <c r="Q1214" s="2">
        <v>0</v>
      </c>
      <c r="R1214" s="2">
        <v>57.349065753833301</v>
      </c>
      <c r="S1214" s="2">
        <v>2.1931487885037</v>
      </c>
      <c r="T1214" s="2">
        <v>4.2010994910055501</v>
      </c>
      <c r="U1214" s="2">
        <v>1.7564866857964401</v>
      </c>
      <c r="V1214" s="2">
        <v>0.213675213677777</v>
      </c>
      <c r="W1214" s="2">
        <v>0.37009632640804702</v>
      </c>
      <c r="X1214" s="2">
        <v>0.39682539682777701</v>
      </c>
      <c r="Y1214" s="2">
        <v>0.68732174903939203</v>
      </c>
      <c r="Z1214" s="7">
        <v>4.0306952949383703</v>
      </c>
      <c r="AA1214" s="2">
        <v>0.54303635030267206</v>
      </c>
      <c r="AB1214" s="7">
        <v>0</v>
      </c>
      <c r="AC1214" s="2">
        <v>0</v>
      </c>
      <c r="AD1214" s="2">
        <v>95.217888416366193</v>
      </c>
      <c r="AE1214" s="2">
        <v>39.810757543608297</v>
      </c>
      <c r="AF1214" s="2">
        <v>0</v>
      </c>
      <c r="AG1214" s="2">
        <v>0</v>
      </c>
      <c r="AH1214" s="2">
        <v>1022.53221414963</v>
      </c>
      <c r="AI1214" s="2">
        <v>39.103780631655503</v>
      </c>
      <c r="AJ1214" s="2">
        <v>52.946213135462401</v>
      </c>
      <c r="AK1214" s="2">
        <v>91.705531218991595</v>
      </c>
      <c r="AL1214" s="2">
        <v>11.798680690746201</v>
      </c>
      <c r="AM1214" s="2">
        <v>20.435914418654299</v>
      </c>
      <c r="AN1214"/>
      <c r="AO1214"/>
    </row>
    <row r="1215" spans="1:41" ht="15.75" hidden="1" customHeight="1" x14ac:dyDescent="0.45">
      <c r="A1215" s="2" t="s">
        <v>210</v>
      </c>
      <c r="B1215" s="2" t="s">
        <v>211</v>
      </c>
      <c r="C1215" s="2">
        <v>3.0000000000000001E-3</v>
      </c>
      <c r="D1215" s="2"/>
      <c r="E1215" s="2" t="s">
        <v>85</v>
      </c>
      <c r="F1215" s="2" t="s">
        <v>84</v>
      </c>
      <c r="G1215" s="2" t="s">
        <v>86</v>
      </c>
      <c r="H1215" s="2">
        <v>1.3</v>
      </c>
      <c r="I1215" s="2">
        <v>3539</v>
      </c>
      <c r="J1215" s="2">
        <v>1.3</v>
      </c>
      <c r="K1215" s="2">
        <v>4.3518751990583304</v>
      </c>
      <c r="L1215" s="2"/>
      <c r="M1215" s="2">
        <v>0.73657483095739795</v>
      </c>
      <c r="N1215" s="2">
        <v>164.388888888888</v>
      </c>
      <c r="O1215" s="2">
        <v>7.3301760880264304</v>
      </c>
      <c r="P1215" s="2">
        <v>0.16471933895499999</v>
      </c>
      <c r="Q1215" s="2">
        <v>0.139439917231968</v>
      </c>
      <c r="R1215" s="2">
        <v>0.181369623237777</v>
      </c>
      <c r="S1215" s="2">
        <v>8.8475326355627104E-2</v>
      </c>
      <c r="T1215" s="2">
        <v>6.3148026762555496</v>
      </c>
      <c r="U1215" s="2">
        <v>0.91844562862568102</v>
      </c>
      <c r="V1215" s="2">
        <v>0</v>
      </c>
      <c r="W1215" s="2">
        <v>0</v>
      </c>
      <c r="X1215" s="2">
        <v>0.58441418087388797</v>
      </c>
      <c r="Y1215" s="2">
        <v>0.154811608953244</v>
      </c>
      <c r="Z1215" s="7">
        <v>106.37911722917799</v>
      </c>
      <c r="AA1215" s="2">
        <v>2.7595561682470802</v>
      </c>
      <c r="AB1215" s="7">
        <v>105.757863374422</v>
      </c>
      <c r="AC1215" s="2">
        <v>26.6454087563061</v>
      </c>
      <c r="AD1215" s="2">
        <v>82.525223533639405</v>
      </c>
      <c r="AE1215" s="2">
        <v>16.7662790429811</v>
      </c>
      <c r="AF1215" s="2">
        <v>76.125080661788999</v>
      </c>
      <c r="AG1215" s="2">
        <v>56.807512662324498</v>
      </c>
      <c r="AH1215" s="2">
        <v>69.242996295298198</v>
      </c>
      <c r="AI1215" s="2">
        <v>56.9181138993019</v>
      </c>
      <c r="AJ1215" s="2">
        <v>0</v>
      </c>
      <c r="AK1215" s="2">
        <v>0</v>
      </c>
      <c r="AL1215" s="2">
        <v>148.936153374192</v>
      </c>
      <c r="AM1215" s="2">
        <v>38.385530079787202</v>
      </c>
      <c r="AN1215"/>
      <c r="AO1215"/>
    </row>
    <row r="1216" spans="1:41" ht="15.75" hidden="1" customHeight="1" x14ac:dyDescent="0.45">
      <c r="A1216" s="2" t="s">
        <v>210</v>
      </c>
      <c r="B1216" s="2" t="s">
        <v>211</v>
      </c>
      <c r="C1216" s="2">
        <v>0.01</v>
      </c>
      <c r="D1216" s="2"/>
      <c r="E1216" s="2" t="s">
        <v>85</v>
      </c>
      <c r="F1216" s="2" t="s">
        <v>84</v>
      </c>
      <c r="G1216" s="2" t="s">
        <v>86</v>
      </c>
      <c r="H1216" s="2">
        <v>1.3</v>
      </c>
      <c r="I1216" s="2">
        <v>3539</v>
      </c>
      <c r="J1216" s="2">
        <v>1.3</v>
      </c>
      <c r="K1216" s="2">
        <v>5.0975927748222203</v>
      </c>
      <c r="L1216" s="2"/>
      <c r="M1216" s="2">
        <v>0.970020373678118</v>
      </c>
      <c r="N1216" s="2">
        <v>151.333333333333</v>
      </c>
      <c r="O1216" s="2">
        <v>6.0575939484633503</v>
      </c>
      <c r="P1216" s="2">
        <v>0.15105402105277699</v>
      </c>
      <c r="Q1216" s="2">
        <v>8.3426740504185304E-2</v>
      </c>
      <c r="R1216" s="2">
        <v>0.16048258518</v>
      </c>
      <c r="S1216" s="2">
        <v>0.27796399126176002</v>
      </c>
      <c r="T1216" s="2">
        <v>6.2728846425388802</v>
      </c>
      <c r="U1216" s="2">
        <v>0.63596867427629</v>
      </c>
      <c r="V1216" s="2">
        <v>0</v>
      </c>
      <c r="W1216" s="2">
        <v>0</v>
      </c>
      <c r="X1216" s="2">
        <v>0.67585720134055505</v>
      </c>
      <c r="Y1216" s="2">
        <v>0.42127236267834101</v>
      </c>
      <c r="Z1216" s="7">
        <v>97.928415119987093</v>
      </c>
      <c r="AA1216" s="2">
        <v>1.5241529387595301</v>
      </c>
      <c r="AB1216" s="7">
        <v>121.439321336044</v>
      </c>
      <c r="AC1216" s="2">
        <v>12.8320191175827</v>
      </c>
      <c r="AD1216" s="2">
        <v>85.772788906420701</v>
      </c>
      <c r="AE1216" s="2">
        <v>31.7890281385165</v>
      </c>
      <c r="AF1216" s="2">
        <v>68.137758945905006</v>
      </c>
      <c r="AG1216" s="2">
        <v>34.421471843731197</v>
      </c>
      <c r="AH1216" s="2">
        <v>34.674825766136202</v>
      </c>
      <c r="AI1216" s="2">
        <v>60.058559970546398</v>
      </c>
      <c r="AJ1216" s="2">
        <v>0</v>
      </c>
      <c r="AK1216" s="2">
        <v>0</v>
      </c>
      <c r="AL1216" s="2">
        <v>164.246688753352</v>
      </c>
      <c r="AM1216" s="2">
        <v>89.018475607295599</v>
      </c>
      <c r="AN1216"/>
      <c r="AO1216"/>
    </row>
    <row r="1217" spans="1:41" ht="15.75" hidden="1" customHeight="1" x14ac:dyDescent="0.45">
      <c r="A1217" s="2" t="s">
        <v>210</v>
      </c>
      <c r="B1217" s="2" t="s">
        <v>211</v>
      </c>
      <c r="C1217" s="2">
        <v>0.03</v>
      </c>
      <c r="D1217" s="2"/>
      <c r="E1217" s="2" t="s">
        <v>85</v>
      </c>
      <c r="F1217" s="2" t="s">
        <v>84</v>
      </c>
      <c r="G1217" s="2" t="s">
        <v>86</v>
      </c>
      <c r="H1217" s="2">
        <v>1.3</v>
      </c>
      <c r="I1217" s="2">
        <v>3539</v>
      </c>
      <c r="J1217" s="2">
        <v>1.3</v>
      </c>
      <c r="K1217" s="2">
        <v>3.5252382424333302</v>
      </c>
      <c r="L1217" s="2"/>
      <c r="M1217" s="2">
        <v>1.1634546379892099</v>
      </c>
      <c r="N1217" s="2">
        <v>155.111111111111</v>
      </c>
      <c r="O1217" s="2">
        <v>8.7564790827093795</v>
      </c>
      <c r="P1217" s="2">
        <v>0.20284705290444399</v>
      </c>
      <c r="Q1217" s="2">
        <v>9.43462822373278E-2</v>
      </c>
      <c r="R1217" s="2">
        <v>0.13482571610833299</v>
      </c>
      <c r="S1217" s="2">
        <v>0.13878147246083</v>
      </c>
      <c r="T1217" s="2">
        <v>6.8781215635333304</v>
      </c>
      <c r="U1217" s="2">
        <v>2.6855847179922798</v>
      </c>
      <c r="V1217" s="2">
        <v>0</v>
      </c>
      <c r="W1217" s="2">
        <v>0</v>
      </c>
      <c r="X1217" s="2">
        <v>0.354218880537222</v>
      </c>
      <c r="Y1217" s="2">
        <v>0.282933680032669</v>
      </c>
      <c r="Z1217" s="7">
        <v>100.51240102640899</v>
      </c>
      <c r="AA1217" s="2">
        <v>7.8622748967760598</v>
      </c>
      <c r="AB1217" s="7">
        <v>83.867081723457005</v>
      </c>
      <c r="AC1217" s="2">
        <v>25.375109466073301</v>
      </c>
      <c r="AD1217" s="2">
        <v>86.445854625587401</v>
      </c>
      <c r="AE1217" s="2">
        <v>20.531736880359901</v>
      </c>
      <c r="AF1217" s="2">
        <v>89.676141505296698</v>
      </c>
      <c r="AG1217" s="2">
        <v>36.377995707210502</v>
      </c>
      <c r="AH1217" s="2">
        <v>42.201530347905802</v>
      </c>
      <c r="AI1217" s="2">
        <v>51.169295931248499</v>
      </c>
      <c r="AJ1217" s="2">
        <v>0</v>
      </c>
      <c r="AK1217" s="2">
        <v>0</v>
      </c>
      <c r="AL1217" s="2">
        <v>82.263764646832698</v>
      </c>
      <c r="AM1217" s="2">
        <v>49.886229787889398</v>
      </c>
      <c r="AN1217"/>
      <c r="AO1217"/>
    </row>
    <row r="1218" spans="1:41" ht="15.75" hidden="1" customHeight="1" x14ac:dyDescent="0.45">
      <c r="A1218" s="2" t="s">
        <v>210</v>
      </c>
      <c r="B1218" s="2" t="s">
        <v>211</v>
      </c>
      <c r="C1218" s="2">
        <v>0.1</v>
      </c>
      <c r="D1218" s="2"/>
      <c r="E1218" s="2" t="s">
        <v>85</v>
      </c>
      <c r="F1218" s="2" t="s">
        <v>84</v>
      </c>
      <c r="G1218" s="2" t="s">
        <v>86</v>
      </c>
      <c r="H1218" s="2">
        <v>1.3</v>
      </c>
      <c r="I1218" s="2">
        <v>3539</v>
      </c>
      <c r="J1218" s="2">
        <v>1.3</v>
      </c>
      <c r="K1218" s="2">
        <v>4.2001224444105496</v>
      </c>
      <c r="L1218" s="2"/>
      <c r="M1218" s="2">
        <v>0.75589799427246396</v>
      </c>
      <c r="N1218" s="2">
        <v>143.777777777777</v>
      </c>
      <c r="O1218" s="2">
        <v>13.4838723968605</v>
      </c>
      <c r="P1218" s="2">
        <v>4.6296296296111102E-2</v>
      </c>
      <c r="Q1218" s="2">
        <v>8.0187537387127195E-2</v>
      </c>
      <c r="R1218" s="2">
        <v>0.41094701274111101</v>
      </c>
      <c r="S1218" s="2">
        <v>0.13475758705667101</v>
      </c>
      <c r="T1218" s="2">
        <v>6.0701113868722203</v>
      </c>
      <c r="U1218" s="2">
        <v>1.62138380091601</v>
      </c>
      <c r="V1218" s="2">
        <v>3.63108206244444E-2</v>
      </c>
      <c r="W1218" s="2">
        <v>6.2892186186057603E-2</v>
      </c>
      <c r="X1218" s="2">
        <v>0.53659650107611101</v>
      </c>
      <c r="Y1218" s="2">
        <v>0.24476240628061399</v>
      </c>
      <c r="Z1218" s="7">
        <v>92.908512488262303</v>
      </c>
      <c r="AA1218" s="2">
        <v>5.1484702034810699</v>
      </c>
      <c r="AB1218" s="7">
        <v>100.215588083122</v>
      </c>
      <c r="AC1218" s="2">
        <v>12.361454838216201</v>
      </c>
      <c r="AD1218" s="2">
        <v>77.162253255178896</v>
      </c>
      <c r="AE1218" s="2">
        <v>7.22656161825733</v>
      </c>
      <c r="AF1218" s="2">
        <v>13.479283170664999</v>
      </c>
      <c r="AG1218" s="2">
        <v>23.346803301199898</v>
      </c>
      <c r="AH1218" s="2">
        <v>132.277651213083</v>
      </c>
      <c r="AI1218" s="2">
        <v>15.5642319994722</v>
      </c>
      <c r="AJ1218" s="2">
        <v>0</v>
      </c>
      <c r="AK1218" s="2">
        <v>0</v>
      </c>
      <c r="AL1218" s="2">
        <v>130.657563823885</v>
      </c>
      <c r="AM1218" s="2">
        <v>24.9246270814015</v>
      </c>
      <c r="AN1218"/>
      <c r="AO1218"/>
    </row>
    <row r="1219" spans="1:41" ht="15.75" hidden="1" customHeight="1" x14ac:dyDescent="0.45">
      <c r="A1219" s="2" t="s">
        <v>210</v>
      </c>
      <c r="B1219" s="2" t="s">
        <v>211</v>
      </c>
      <c r="C1219" s="2">
        <v>0.3</v>
      </c>
      <c r="D1219" s="2"/>
      <c r="E1219" s="2" t="s">
        <v>85</v>
      </c>
      <c r="F1219" s="2" t="s">
        <v>84</v>
      </c>
      <c r="G1219" s="2" t="s">
        <v>86</v>
      </c>
      <c r="H1219" s="2">
        <v>1.3</v>
      </c>
      <c r="I1219" s="2">
        <v>3539</v>
      </c>
      <c r="J1219" s="2">
        <v>1.3</v>
      </c>
      <c r="K1219" s="2">
        <v>4.5617233772777697</v>
      </c>
      <c r="L1219" s="2"/>
      <c r="M1219" s="2">
        <v>0.78184123629533497</v>
      </c>
      <c r="N1219" s="2">
        <v>119.666666666666</v>
      </c>
      <c r="O1219" s="2">
        <v>29.383007182912898</v>
      </c>
      <c r="P1219" s="2">
        <v>0.43974266429388797</v>
      </c>
      <c r="Q1219" s="2">
        <v>0.60995735381734495</v>
      </c>
      <c r="R1219" s="2">
        <v>0.70983570872777701</v>
      </c>
      <c r="S1219" s="2">
        <v>0.194576483709476</v>
      </c>
      <c r="T1219" s="2">
        <v>7.4180070860555496</v>
      </c>
      <c r="U1219" s="2">
        <v>2.1725752866386201</v>
      </c>
      <c r="V1219" s="2">
        <v>0</v>
      </c>
      <c r="W1219" s="2">
        <v>0</v>
      </c>
      <c r="X1219" s="2">
        <v>0.50774200352611099</v>
      </c>
      <c r="Y1219" s="2">
        <v>0.24549407816840599</v>
      </c>
      <c r="Z1219" s="7">
        <v>77.816592698738305</v>
      </c>
      <c r="AA1219" s="2">
        <v>21.382914735001599</v>
      </c>
      <c r="AB1219" s="7">
        <v>110.128272811996</v>
      </c>
      <c r="AC1219" s="2">
        <v>24.0782247634627</v>
      </c>
      <c r="AD1219" s="2">
        <v>104.48107629301801</v>
      </c>
      <c r="AE1219" s="2">
        <v>56.805535725644503</v>
      </c>
      <c r="AF1219" s="2">
        <v>174.06891181536801</v>
      </c>
      <c r="AG1219" s="2">
        <v>256.70409151975002</v>
      </c>
      <c r="AH1219" s="2">
        <v>263.88223217132298</v>
      </c>
      <c r="AI1219" s="2">
        <v>164.75207980452001</v>
      </c>
      <c r="AJ1219" s="2">
        <v>0</v>
      </c>
      <c r="AK1219" s="2">
        <v>0</v>
      </c>
      <c r="AL1219" s="2">
        <v>129.65696891312101</v>
      </c>
      <c r="AM1219" s="2">
        <v>69.979684426592499</v>
      </c>
      <c r="AN1219"/>
      <c r="AO1219"/>
    </row>
    <row r="1220" spans="1:41" ht="15.75" hidden="1" customHeight="1" x14ac:dyDescent="0.45">
      <c r="A1220" s="2" t="s">
        <v>210</v>
      </c>
      <c r="B1220" s="2" t="s">
        <v>211</v>
      </c>
      <c r="C1220" s="2">
        <v>1</v>
      </c>
      <c r="D1220" s="2"/>
      <c r="E1220" s="2" t="s">
        <v>85</v>
      </c>
      <c r="F1220" s="2" t="s">
        <v>84</v>
      </c>
      <c r="G1220" s="2" t="s">
        <v>86</v>
      </c>
      <c r="H1220" s="2">
        <v>1.3</v>
      </c>
      <c r="I1220" s="2">
        <v>3539</v>
      </c>
      <c r="J1220" s="2">
        <v>1.3</v>
      </c>
      <c r="K1220" s="2">
        <v>3.7235394635499999</v>
      </c>
      <c r="L1220" s="2"/>
      <c r="M1220" s="2">
        <v>1.2098580921589599</v>
      </c>
      <c r="N1220" s="2">
        <v>105.166666666666</v>
      </c>
      <c r="O1220" s="2">
        <v>13.2507861402005</v>
      </c>
      <c r="P1220" s="2">
        <v>0.64088880240499901</v>
      </c>
      <c r="Q1220" s="2">
        <v>0.33455555441211998</v>
      </c>
      <c r="R1220" s="2">
        <v>0.32266848196055498</v>
      </c>
      <c r="S1220" s="2">
        <v>0.290692615130203</v>
      </c>
      <c r="T1220" s="2">
        <v>9.0918359295499993</v>
      </c>
      <c r="U1220" s="2">
        <v>5.0053800083346003</v>
      </c>
      <c r="V1220" s="2">
        <v>0</v>
      </c>
      <c r="W1220" s="2">
        <v>0</v>
      </c>
      <c r="X1220" s="2">
        <v>0.464368270310555</v>
      </c>
      <c r="Y1220" s="2">
        <v>0.30088347841792401</v>
      </c>
      <c r="Z1220" s="7">
        <v>68.039448986627207</v>
      </c>
      <c r="AA1220" s="2">
        <v>7.8754636886984004</v>
      </c>
      <c r="AB1220" s="7">
        <v>89.074674260357597</v>
      </c>
      <c r="AC1220" s="2">
        <v>26.907536925201899</v>
      </c>
      <c r="AD1220" s="2">
        <v>130.356289100954</v>
      </c>
      <c r="AE1220" s="2">
        <v>86.3855523911636</v>
      </c>
      <c r="AF1220" s="2">
        <v>350.70911054198501</v>
      </c>
      <c r="AG1220" s="2">
        <v>286.74136307197898</v>
      </c>
      <c r="AH1220" s="2">
        <v>118.92630754096</v>
      </c>
      <c r="AI1220" s="2">
        <v>137.51515029778801</v>
      </c>
      <c r="AJ1220" s="2">
        <v>0</v>
      </c>
      <c r="AK1220" s="2">
        <v>0</v>
      </c>
      <c r="AL1220" s="2">
        <v>118.66946579162</v>
      </c>
      <c r="AM1220" s="2">
        <v>87.2524504539292</v>
      </c>
      <c r="AN1220"/>
      <c r="AO1220"/>
    </row>
    <row r="1221" spans="1:41" ht="15.75" hidden="1" customHeight="1" x14ac:dyDescent="0.45">
      <c r="A1221" s="2" t="s">
        <v>210</v>
      </c>
      <c r="B1221" s="2" t="s">
        <v>211</v>
      </c>
      <c r="C1221" s="2">
        <v>3</v>
      </c>
      <c r="D1221" s="2"/>
      <c r="E1221" s="2" t="s">
        <v>85</v>
      </c>
      <c r="F1221" s="2" t="s">
        <v>84</v>
      </c>
      <c r="G1221" s="2" t="s">
        <v>86</v>
      </c>
      <c r="H1221" s="2">
        <v>1.3</v>
      </c>
      <c r="I1221" s="2">
        <v>3539</v>
      </c>
      <c r="J1221" s="2">
        <v>1.3</v>
      </c>
      <c r="K1221" s="2">
        <v>0</v>
      </c>
      <c r="L1221" s="2"/>
      <c r="M1221" s="2">
        <v>0</v>
      </c>
      <c r="N1221" s="2">
        <v>21.955555555555499</v>
      </c>
      <c r="O1221" s="2">
        <v>2.3704976817662602</v>
      </c>
      <c r="P1221" s="2">
        <v>0</v>
      </c>
      <c r="Q1221" s="2">
        <v>0</v>
      </c>
      <c r="R1221" s="2">
        <v>0</v>
      </c>
      <c r="S1221" s="2">
        <v>0</v>
      </c>
      <c r="T1221" s="2">
        <v>40.766705198924399</v>
      </c>
      <c r="U1221" s="2">
        <v>5.5601323351960898</v>
      </c>
      <c r="V1221" s="2">
        <v>0</v>
      </c>
      <c r="W1221" s="2">
        <v>0</v>
      </c>
      <c r="X1221" s="2">
        <v>0.882245882246666</v>
      </c>
      <c r="Y1221" s="2">
        <v>0.285139386584986</v>
      </c>
      <c r="Z1221" s="7">
        <v>14.2545956503802</v>
      </c>
      <c r="AA1221" s="2">
        <v>2.0623355002258399</v>
      </c>
      <c r="AB1221" s="7">
        <v>0</v>
      </c>
      <c r="AC1221" s="2">
        <v>0</v>
      </c>
      <c r="AD1221" s="2">
        <v>550.79309938521601</v>
      </c>
      <c r="AE1221" s="2">
        <v>205.44204622551101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225.866341248221</v>
      </c>
      <c r="AM1221" s="2">
        <v>80.763198568346496</v>
      </c>
      <c r="AN1221"/>
      <c r="AO1221"/>
    </row>
    <row r="1222" spans="1:41" ht="15.75" hidden="1" customHeight="1" x14ac:dyDescent="0.45">
      <c r="A1222" s="2" t="s">
        <v>210</v>
      </c>
      <c r="B1222" s="2" t="s">
        <v>211</v>
      </c>
      <c r="C1222" s="2">
        <v>10</v>
      </c>
      <c r="D1222" s="2"/>
      <c r="E1222" s="2" t="s">
        <v>85</v>
      </c>
      <c r="F1222" s="2" t="s">
        <v>84</v>
      </c>
      <c r="G1222" s="2" t="s">
        <v>86</v>
      </c>
      <c r="H1222" s="2">
        <v>1.3</v>
      </c>
      <c r="I1222" s="2">
        <v>3539</v>
      </c>
      <c r="J1222" s="2">
        <v>1.3</v>
      </c>
      <c r="K1222" s="2">
        <v>0</v>
      </c>
      <c r="L1222" s="2"/>
      <c r="M1222" s="2">
        <v>0</v>
      </c>
      <c r="N1222" s="2">
        <v>22.266666666666602</v>
      </c>
      <c r="O1222" s="2">
        <v>1.10151410945728</v>
      </c>
      <c r="P1222" s="2">
        <v>1.38888888888888</v>
      </c>
      <c r="Q1222" s="2">
        <v>2.40562612162344</v>
      </c>
      <c r="R1222" s="2">
        <v>0</v>
      </c>
      <c r="S1222" s="2">
        <v>0</v>
      </c>
      <c r="T1222" s="2">
        <v>43.566061697122201</v>
      </c>
      <c r="U1222" s="2">
        <v>4.7436786146663996</v>
      </c>
      <c r="V1222" s="2">
        <v>0.13888888888666601</v>
      </c>
      <c r="W1222" s="2">
        <v>0.240562612158495</v>
      </c>
      <c r="X1222" s="2">
        <v>0.34090909090888799</v>
      </c>
      <c r="Y1222" s="2">
        <v>0.310051241358545</v>
      </c>
      <c r="Z1222" s="7">
        <v>14.4058118534422</v>
      </c>
      <c r="AA1222" s="2">
        <v>0.32872966255630098</v>
      </c>
      <c r="AB1222" s="7">
        <v>0</v>
      </c>
      <c r="AC1222" s="2">
        <v>0</v>
      </c>
      <c r="AD1222" s="2">
        <v>596.959329841098</v>
      </c>
      <c r="AE1222" s="2">
        <v>231.76098034898101</v>
      </c>
      <c r="AF1222" s="2">
        <v>573.22230180203303</v>
      </c>
      <c r="AG1222" s="2">
        <v>992.85015075270201</v>
      </c>
      <c r="AH1222" s="2">
        <v>0</v>
      </c>
      <c r="AI1222" s="2">
        <v>0</v>
      </c>
      <c r="AJ1222" s="2">
        <v>5219.9999999451902</v>
      </c>
      <c r="AK1222" s="2">
        <v>0</v>
      </c>
      <c r="AL1222" s="2">
        <v>80.009260671734296</v>
      </c>
      <c r="AM1222" s="2">
        <v>69.326961217805405</v>
      </c>
      <c r="AN1222"/>
      <c r="AO1222"/>
    </row>
    <row r="1223" spans="1:41" ht="15.75" hidden="1" customHeight="1" x14ac:dyDescent="0.45">
      <c r="A1223" s="2" t="s">
        <v>212</v>
      </c>
      <c r="B1223" s="2" t="s">
        <v>108</v>
      </c>
      <c r="C1223" s="2">
        <v>3.0000000000000001E-3</v>
      </c>
      <c r="D1223" s="2"/>
      <c r="E1223" s="2" t="s">
        <v>83</v>
      </c>
      <c r="F1223" s="2" t="s">
        <v>84</v>
      </c>
      <c r="H1223" s="2">
        <v>3.1</v>
      </c>
      <c r="J1223" s="2">
        <v>3.1496789070000002</v>
      </c>
      <c r="K1223" s="2">
        <v>41.167485316111097</v>
      </c>
      <c r="L1223" s="2"/>
      <c r="M1223" s="2">
        <v>2.0653741711430702</v>
      </c>
      <c r="N1223" s="2">
        <v>257.83333333333297</v>
      </c>
      <c r="O1223" s="2">
        <v>22.168546286223499</v>
      </c>
      <c r="P1223" s="2">
        <v>37.826818936666598</v>
      </c>
      <c r="Q1223" s="2">
        <v>3.1733176558644001</v>
      </c>
      <c r="R1223" s="2">
        <v>3.5544114523333299</v>
      </c>
      <c r="S1223" s="2">
        <v>0.86203658707044295</v>
      </c>
      <c r="T1223" s="2">
        <v>5.1661392342777699</v>
      </c>
      <c r="U1223" s="2">
        <v>3.9734010305470902</v>
      </c>
      <c r="V1223" s="2">
        <v>1.08986778683333</v>
      </c>
      <c r="W1223" s="2">
        <v>1.3702246151617801</v>
      </c>
      <c r="X1223" s="2">
        <v>3.3414067377777701</v>
      </c>
      <c r="Y1223" s="2">
        <v>0.65378746326514503</v>
      </c>
      <c r="Z1223" s="7">
        <v>92.450199203187196</v>
      </c>
      <c r="AA1223" s="2">
        <v>7.9488811384865503</v>
      </c>
      <c r="AB1223" s="7">
        <v>103.12440143271699</v>
      </c>
      <c r="AC1223" s="2">
        <v>5.1737548091228698</v>
      </c>
      <c r="AD1223" s="2">
        <v>116.68532919181899</v>
      </c>
      <c r="AE1223" s="2">
        <v>89.745472631520897</v>
      </c>
      <c r="AF1223" s="2">
        <v>111.86092651777</v>
      </c>
      <c r="AG1223" s="2">
        <v>9.3840894661144798</v>
      </c>
      <c r="AH1223" s="2">
        <v>95.157171989200705</v>
      </c>
      <c r="AI1223" s="2">
        <v>23.078072101921901</v>
      </c>
      <c r="AJ1223" s="2">
        <v>231.73947645280899</v>
      </c>
      <c r="AK1223" s="2">
        <v>291.351977530189</v>
      </c>
      <c r="AL1223" s="2">
        <v>99.241207528934794</v>
      </c>
      <c r="AM1223" s="2">
        <v>19.4177669507133</v>
      </c>
      <c r="AN1223"/>
      <c r="AO1223"/>
    </row>
    <row r="1224" spans="1:41" ht="15.75" hidden="1" customHeight="1" x14ac:dyDescent="0.45">
      <c r="A1224" s="2" t="s">
        <v>212</v>
      </c>
      <c r="B1224" s="2" t="s">
        <v>108</v>
      </c>
      <c r="C1224" s="2">
        <v>0.01</v>
      </c>
      <c r="D1224" s="2"/>
      <c r="E1224" s="2" t="s">
        <v>83</v>
      </c>
      <c r="F1224" s="2" t="s">
        <v>84</v>
      </c>
      <c r="H1224" s="2">
        <v>3.1</v>
      </c>
      <c r="J1224" s="2">
        <v>3.1496789070000002</v>
      </c>
      <c r="K1224" s="2">
        <v>40.836548280000002</v>
      </c>
      <c r="L1224" s="2"/>
      <c r="M1224" s="2">
        <v>1.9149632600113</v>
      </c>
      <c r="N1224" s="2">
        <v>286.55555555555497</v>
      </c>
      <c r="O1224" s="2">
        <v>20.7366646126912</v>
      </c>
      <c r="P1224" s="2">
        <v>34.0851869927777</v>
      </c>
      <c r="Q1224" s="2">
        <v>0.76509870614781705</v>
      </c>
      <c r="R1224" s="2">
        <v>3.7219650234999899</v>
      </c>
      <c r="S1224" s="2">
        <v>0.56319920513790001</v>
      </c>
      <c r="T1224" s="2">
        <v>4.7107624859444401</v>
      </c>
      <c r="U1224" s="2">
        <v>0.37234280363851202</v>
      </c>
      <c r="V1224" s="2">
        <v>0.50192406716666604</v>
      </c>
      <c r="W1224" s="2">
        <v>0.151286582097275</v>
      </c>
      <c r="X1224" s="2">
        <v>3.3632463320000001</v>
      </c>
      <c r="Y1224" s="2">
        <v>0.61299674096019396</v>
      </c>
      <c r="Z1224" s="7">
        <v>102.74900398406299</v>
      </c>
      <c r="AA1224" s="2">
        <v>7.4354574308454602</v>
      </c>
      <c r="AB1224" s="7">
        <v>102.29540535732301</v>
      </c>
      <c r="AC1224" s="2">
        <v>4.7969760221673301</v>
      </c>
      <c r="AD1224" s="2">
        <v>106.399933584783</v>
      </c>
      <c r="AE1224" s="2">
        <v>8.4099441854936092</v>
      </c>
      <c r="AF1224" s="2">
        <v>100.796226188814</v>
      </c>
      <c r="AG1224" s="2">
        <v>2.2625389222005801</v>
      </c>
      <c r="AH1224" s="2">
        <v>99.642844006278196</v>
      </c>
      <c r="AI1224" s="2">
        <v>15.077726466446901</v>
      </c>
      <c r="AJ1224" s="2">
        <v>106.724523790384</v>
      </c>
      <c r="AK1224" s="2">
        <v>32.168189346547599</v>
      </c>
      <c r="AL1224" s="2">
        <v>99.889852807000096</v>
      </c>
      <c r="AM1224" s="2">
        <v>18.206265072850599</v>
      </c>
      <c r="AN1224"/>
      <c r="AO1224"/>
    </row>
    <row r="1225" spans="1:41" ht="15.75" hidden="1" customHeight="1" x14ac:dyDescent="0.45">
      <c r="A1225" s="2" t="s">
        <v>212</v>
      </c>
      <c r="B1225" s="2" t="s">
        <v>108</v>
      </c>
      <c r="C1225" s="2">
        <v>0.03</v>
      </c>
      <c r="D1225" s="2"/>
      <c r="E1225" s="2" t="s">
        <v>83</v>
      </c>
      <c r="F1225" s="2" t="s">
        <v>84</v>
      </c>
      <c r="H1225" s="2">
        <v>3.1</v>
      </c>
      <c r="J1225" s="2">
        <v>3.1496789070000002</v>
      </c>
      <c r="K1225" s="2">
        <v>38.403081489444403</v>
      </c>
      <c r="L1225" s="2"/>
      <c r="M1225" s="2">
        <v>2.3958968785321502</v>
      </c>
      <c r="N1225" s="2">
        <v>263.444444444444</v>
      </c>
      <c r="O1225" s="2">
        <v>31.987989644263099</v>
      </c>
      <c r="P1225" s="2">
        <v>37.386560876111098</v>
      </c>
      <c r="Q1225" s="2">
        <v>4.2014193346197102</v>
      </c>
      <c r="R1225" s="2">
        <v>2.73893474883333</v>
      </c>
      <c r="S1225" s="2">
        <v>0.23930280808432799</v>
      </c>
      <c r="T1225" s="2">
        <v>3.8697561063333299</v>
      </c>
      <c r="U1225" s="2">
        <v>0.83391871669995099</v>
      </c>
      <c r="V1225" s="2">
        <v>0.47434168472222199</v>
      </c>
      <c r="W1225" s="2">
        <v>0.23755747176272499</v>
      </c>
      <c r="X1225" s="2">
        <v>3.3266738070555499</v>
      </c>
      <c r="Y1225" s="2">
        <v>0.88782115666321804</v>
      </c>
      <c r="Z1225" s="7">
        <v>94.462151394422307</v>
      </c>
      <c r="AA1225" s="2">
        <v>11.4697970836003</v>
      </c>
      <c r="AB1225" s="7">
        <v>96.199579871373501</v>
      </c>
      <c r="AC1225" s="2">
        <v>6.0017129925701296</v>
      </c>
      <c r="AD1225" s="2">
        <v>87.404490022941403</v>
      </c>
      <c r="AE1225" s="2">
        <v>18.835357617100001</v>
      </c>
      <c r="AF1225" s="2">
        <v>110.559001694456</v>
      </c>
      <c r="AG1225" s="2">
        <v>12.424377007411399</v>
      </c>
      <c r="AH1225" s="2">
        <v>73.325581029972994</v>
      </c>
      <c r="AI1225" s="2">
        <v>6.4065116747895301</v>
      </c>
      <c r="AJ1225" s="2">
        <v>100.859659313961</v>
      </c>
      <c r="AK1225" s="2">
        <v>50.512038981996</v>
      </c>
      <c r="AL1225" s="2">
        <v>98.803633192717996</v>
      </c>
      <c r="AM1225" s="2">
        <v>26.368667621586901</v>
      </c>
      <c r="AN1225"/>
      <c r="AO1225"/>
    </row>
    <row r="1226" spans="1:41" ht="15.75" hidden="1" customHeight="1" x14ac:dyDescent="0.45">
      <c r="A1226" s="2" t="s">
        <v>212</v>
      </c>
      <c r="B1226" s="2" t="s">
        <v>108</v>
      </c>
      <c r="C1226" s="2">
        <v>0.1</v>
      </c>
      <c r="D1226" s="2"/>
      <c r="E1226" s="2" t="s">
        <v>83</v>
      </c>
      <c r="F1226" s="2" t="s">
        <v>84</v>
      </c>
      <c r="H1226" s="2">
        <v>3.1</v>
      </c>
      <c r="J1226" s="2">
        <v>3.1496789070000002</v>
      </c>
      <c r="K1226" s="2">
        <v>41.874537325555501</v>
      </c>
      <c r="L1226" s="2"/>
      <c r="M1226" s="2">
        <v>1.97147726330354</v>
      </c>
      <c r="N1226" s="2">
        <v>281.33333333333297</v>
      </c>
      <c r="O1226" s="2">
        <v>36.864993934324197</v>
      </c>
      <c r="P1226" s="2">
        <v>35.864936729999997</v>
      </c>
      <c r="Q1226" s="2">
        <v>1.3968323289104101</v>
      </c>
      <c r="R1226" s="2">
        <v>3.5437674962222201</v>
      </c>
      <c r="S1226" s="2">
        <v>0.69862248467946497</v>
      </c>
      <c r="T1226" s="2">
        <v>5.0056042912222196</v>
      </c>
      <c r="U1226" s="2">
        <v>1.34064489247203</v>
      </c>
      <c r="V1226" s="2">
        <v>0.63332672000000001</v>
      </c>
      <c r="W1226" s="2">
        <v>0.25726825627139999</v>
      </c>
      <c r="X1226" s="2">
        <v>3.8337569552222202</v>
      </c>
      <c r="Y1226" s="2">
        <v>0.69465669137362296</v>
      </c>
      <c r="Z1226" s="7">
        <v>100.876494023904</v>
      </c>
      <c r="AA1226" s="2">
        <v>13.218523721470801</v>
      </c>
      <c r="AB1226" s="7">
        <v>104.895564152419</v>
      </c>
      <c r="AC1226" s="2">
        <v>4.93854339547973</v>
      </c>
      <c r="AD1226" s="2">
        <v>113.059396589589</v>
      </c>
      <c r="AE1226" s="2">
        <v>30.280560301100699</v>
      </c>
      <c r="AF1226" s="2">
        <v>106.059276589874</v>
      </c>
      <c r="AG1226" s="2">
        <v>4.1306925322878802</v>
      </c>
      <c r="AH1226" s="2">
        <v>94.8722165821261</v>
      </c>
      <c r="AI1226" s="2">
        <v>18.703220159423498</v>
      </c>
      <c r="AJ1226" s="2">
        <v>134.66477703943599</v>
      </c>
      <c r="AK1226" s="2">
        <v>54.7031591689558</v>
      </c>
      <c r="AL1226" s="2">
        <v>113.86421931432901</v>
      </c>
      <c r="AM1226" s="2">
        <v>20.631600484477602</v>
      </c>
      <c r="AN1226"/>
      <c r="AO1226"/>
    </row>
    <row r="1227" spans="1:41" ht="15.75" hidden="1" customHeight="1" x14ac:dyDescent="0.45">
      <c r="A1227" s="2" t="s">
        <v>212</v>
      </c>
      <c r="B1227" s="2" t="s">
        <v>108</v>
      </c>
      <c r="C1227" s="2">
        <v>0.3</v>
      </c>
      <c r="D1227" s="2"/>
      <c r="E1227" s="2" t="s">
        <v>83</v>
      </c>
      <c r="F1227" s="2" t="s">
        <v>84</v>
      </c>
      <c r="H1227" s="2">
        <v>3.1</v>
      </c>
      <c r="J1227" s="2">
        <v>3.1496789070000002</v>
      </c>
      <c r="K1227" s="2">
        <v>40.081492894222201</v>
      </c>
      <c r="L1227" s="2"/>
      <c r="M1227" s="2">
        <v>0.35502968383472</v>
      </c>
      <c r="N1227" s="2">
        <v>254.377777777777</v>
      </c>
      <c r="O1227" s="2">
        <v>17.120012114914399</v>
      </c>
      <c r="P1227" s="2">
        <v>38.4059818393333</v>
      </c>
      <c r="Q1227" s="2">
        <v>2.91561940221357</v>
      </c>
      <c r="R1227" s="2">
        <v>3.5092453116111102</v>
      </c>
      <c r="S1227" s="2">
        <v>0.644504510379309</v>
      </c>
      <c r="T1227" s="2">
        <v>3.5826209073666599</v>
      </c>
      <c r="U1227" s="2">
        <v>2.3664779913828702</v>
      </c>
      <c r="V1227" s="2">
        <v>0.54866036564444398</v>
      </c>
      <c r="W1227" s="2">
        <v>7.2157287946457996E-2</v>
      </c>
      <c r="X1227" s="2">
        <v>3.4469351549999998</v>
      </c>
      <c r="Y1227" s="2">
        <v>0.86377658611846697</v>
      </c>
      <c r="Z1227" s="7">
        <v>91.211155378486097</v>
      </c>
      <c r="AA1227" s="2">
        <v>6.1386497623199103</v>
      </c>
      <c r="AB1227" s="7">
        <v>100.40399435398</v>
      </c>
      <c r="AC1227" s="2">
        <v>0.88934807057486398</v>
      </c>
      <c r="AD1227" s="2">
        <v>80.919092766963701</v>
      </c>
      <c r="AE1227" s="2">
        <v>53.450604199270899</v>
      </c>
      <c r="AF1227" s="2">
        <v>113.573618748261</v>
      </c>
      <c r="AG1227" s="2">
        <v>8.62202788584632</v>
      </c>
      <c r="AH1227" s="2">
        <v>93.948003529547194</v>
      </c>
      <c r="AI1227" s="2">
        <v>17.254397068105099</v>
      </c>
      <c r="AJ1227" s="2">
        <v>116.662101055652</v>
      </c>
      <c r="AK1227" s="2">
        <v>15.342862990338</v>
      </c>
      <c r="AL1227" s="2">
        <v>102.37544660116301</v>
      </c>
      <c r="AM1227" s="2">
        <v>25.654533604797699</v>
      </c>
      <c r="AN1227"/>
      <c r="AO1227"/>
    </row>
    <row r="1228" spans="1:41" ht="15.75" hidden="1" customHeight="1" x14ac:dyDescent="0.45">
      <c r="A1228" s="2" t="s">
        <v>212</v>
      </c>
      <c r="B1228" s="2" t="s">
        <v>108</v>
      </c>
      <c r="C1228" s="2">
        <v>1</v>
      </c>
      <c r="D1228" s="2"/>
      <c r="E1228" s="2" t="s">
        <v>83</v>
      </c>
      <c r="F1228" s="2" t="s">
        <v>84</v>
      </c>
      <c r="H1228" s="2">
        <v>3.1</v>
      </c>
      <c r="J1228" s="2">
        <v>3.1496789070000002</v>
      </c>
      <c r="K1228" s="2">
        <v>32.1795773627777</v>
      </c>
      <c r="L1228" s="2"/>
      <c r="M1228" s="2">
        <v>3.2041524112643298</v>
      </c>
      <c r="N1228" s="2">
        <v>252.833333333333</v>
      </c>
      <c r="O1228" s="2">
        <v>25.920283777596001</v>
      </c>
      <c r="P1228" s="2">
        <v>43.661127210555499</v>
      </c>
      <c r="Q1228" s="2">
        <v>3.2829833669559099</v>
      </c>
      <c r="R1228" s="2">
        <v>4.1523105295000002</v>
      </c>
      <c r="S1228" s="2">
        <v>1.8039857301679301</v>
      </c>
      <c r="T1228" s="2">
        <v>5.6987223333333299</v>
      </c>
      <c r="U1228" s="2">
        <v>1.4155523144251001</v>
      </c>
      <c r="V1228" s="2">
        <v>0.81093691916666599</v>
      </c>
      <c r="W1228" s="2">
        <v>0.17666339956590699</v>
      </c>
      <c r="X1228" s="2">
        <v>2.7738654726666598</v>
      </c>
      <c r="Y1228" s="2">
        <v>0.31491976941623301</v>
      </c>
      <c r="Z1228" s="7">
        <v>90.6573705179283</v>
      </c>
      <c r="AA1228" s="2">
        <v>9.2941256573053597</v>
      </c>
      <c r="AB1228" s="7">
        <v>80.609724602138101</v>
      </c>
      <c r="AC1228" s="2">
        <v>8.0263901711168799</v>
      </c>
      <c r="AD1228" s="2">
        <v>128.71455090209801</v>
      </c>
      <c r="AE1228" s="2">
        <v>31.9724615049067</v>
      </c>
      <c r="AF1228" s="2">
        <v>129.11405928053901</v>
      </c>
      <c r="AG1228" s="2">
        <v>9.7083913343330597</v>
      </c>
      <c r="AH1228" s="2">
        <v>111.163868479215</v>
      </c>
      <c r="AI1228" s="2">
        <v>48.295528723598999</v>
      </c>
      <c r="AJ1228" s="2">
        <v>172.43017855401101</v>
      </c>
      <c r="AK1228" s="2">
        <v>37.564082743219302</v>
      </c>
      <c r="AL1228" s="2">
        <v>82.384989506945601</v>
      </c>
      <c r="AM1228" s="2">
        <v>9.3532516823694802</v>
      </c>
      <c r="AN1228"/>
      <c r="AO1228"/>
    </row>
    <row r="1229" spans="1:41" ht="15.75" hidden="1" customHeight="1" x14ac:dyDescent="0.45">
      <c r="A1229" s="2" t="s">
        <v>212</v>
      </c>
      <c r="B1229" s="2" t="s">
        <v>108</v>
      </c>
      <c r="C1229" s="2">
        <v>3</v>
      </c>
      <c r="D1229" s="2"/>
      <c r="E1229" s="2" t="s">
        <v>83</v>
      </c>
      <c r="F1229" s="2" t="s">
        <v>84</v>
      </c>
      <c r="H1229" s="2">
        <v>3.1</v>
      </c>
      <c r="J1229" s="2">
        <v>3.1496789070000002</v>
      </c>
      <c r="K1229" s="2">
        <v>16.004137127666599</v>
      </c>
      <c r="L1229" s="2"/>
      <c r="M1229" s="2">
        <v>3.9439256881175102</v>
      </c>
      <c r="N1229" s="2">
        <v>124.944444444444</v>
      </c>
      <c r="O1229" s="2">
        <v>33.560200193637598</v>
      </c>
      <c r="P1229" s="2">
        <v>57.755613386666603</v>
      </c>
      <c r="Q1229" s="2">
        <v>3.5753676134084902</v>
      </c>
      <c r="R1229" s="2">
        <v>2.1860031594999998</v>
      </c>
      <c r="S1229" s="2">
        <v>1.0017710325873199</v>
      </c>
      <c r="T1229" s="2">
        <v>4.7910756258333302</v>
      </c>
      <c r="U1229" s="2">
        <v>1.4183309647911799</v>
      </c>
      <c r="V1229" s="2">
        <v>1.04015023416666</v>
      </c>
      <c r="W1229" s="2">
        <v>0.76506020105608297</v>
      </c>
      <c r="X1229" s="2">
        <v>3.1104307286111101</v>
      </c>
      <c r="Y1229" s="2">
        <v>0.41707191823446998</v>
      </c>
      <c r="Z1229" s="7">
        <v>44.800796812748999</v>
      </c>
      <c r="AA1229" s="2">
        <v>12.0335379180374</v>
      </c>
      <c r="AB1229" s="7">
        <v>40.0903054695899</v>
      </c>
      <c r="AC1229" s="2">
        <v>9.8795195470214097</v>
      </c>
      <c r="AD1229" s="2">
        <v>108.213931377213</v>
      </c>
      <c r="AE1229" s="2">
        <v>32.035221666406898</v>
      </c>
      <c r="AF1229" s="2">
        <v>170.79407168368201</v>
      </c>
      <c r="AG1229" s="2">
        <v>10.573025835112601</v>
      </c>
      <c r="AH1229" s="2">
        <v>58.522734750059499</v>
      </c>
      <c r="AI1229" s="2">
        <v>26.818982472930401</v>
      </c>
      <c r="AJ1229" s="2">
        <v>221.16799267773101</v>
      </c>
      <c r="AK1229" s="2">
        <v>162.67537456332701</v>
      </c>
      <c r="AL1229" s="2">
        <v>92.381121385947296</v>
      </c>
      <c r="AM1229" s="2">
        <v>12.38721414069</v>
      </c>
      <c r="AN1229"/>
      <c r="AO1229"/>
    </row>
    <row r="1230" spans="1:41" ht="15.75" hidden="1" customHeight="1" x14ac:dyDescent="0.45">
      <c r="A1230" s="2" t="s">
        <v>212</v>
      </c>
      <c r="B1230" s="2" t="s">
        <v>108</v>
      </c>
      <c r="C1230" s="2">
        <v>10</v>
      </c>
      <c r="D1230" s="2"/>
      <c r="E1230" s="2" t="s">
        <v>83</v>
      </c>
      <c r="F1230" s="2" t="s">
        <v>84</v>
      </c>
      <c r="H1230" s="2">
        <v>3.1</v>
      </c>
      <c r="J1230" s="2">
        <v>3.1496789070000002</v>
      </c>
      <c r="K1230" s="2">
        <v>0</v>
      </c>
      <c r="L1230" s="2"/>
      <c r="M1230" s="2">
        <v>0</v>
      </c>
      <c r="N1230" s="2">
        <v>62.5</v>
      </c>
      <c r="O1230" s="2">
        <v>2.8915585954829401</v>
      </c>
      <c r="P1230" s="2">
        <v>63.108490410999998</v>
      </c>
      <c r="Q1230" s="2">
        <v>1.5557577462351699</v>
      </c>
      <c r="R1230" s="2">
        <v>9.2592592611111094E-2</v>
      </c>
      <c r="S1230" s="2">
        <v>0.160375074806971</v>
      </c>
      <c r="T1230" s="2">
        <v>2.7055527026111101</v>
      </c>
      <c r="U1230" s="2">
        <v>1.4500455319813199</v>
      </c>
      <c r="V1230" s="2">
        <v>0.72254783004444401</v>
      </c>
      <c r="W1230" s="2">
        <v>0.55775450247170899</v>
      </c>
      <c r="X1230" s="2">
        <v>2.8104725260444399</v>
      </c>
      <c r="Y1230" s="2">
        <v>1.47001903542137</v>
      </c>
      <c r="Z1230" s="7">
        <v>22.410358565736999</v>
      </c>
      <c r="AA1230" s="2">
        <v>1.0368138390177899</v>
      </c>
      <c r="AB1230" s="7">
        <v>0</v>
      </c>
      <c r="AC1230" s="2">
        <v>0</v>
      </c>
      <c r="AD1230" s="2">
        <v>61.109136520229399</v>
      </c>
      <c r="AE1230" s="2">
        <v>32.7515447357125</v>
      </c>
      <c r="AF1230" s="2">
        <v>186.62352285905399</v>
      </c>
      <c r="AG1230" s="2">
        <v>4.6006644973885198</v>
      </c>
      <c r="AH1230" s="2">
        <v>2.4788489960095901</v>
      </c>
      <c r="AI1230" s="2">
        <v>4.2934924053797197</v>
      </c>
      <c r="AJ1230" s="2">
        <v>153.63593444038401</v>
      </c>
      <c r="AK1230" s="2">
        <v>118.595794786764</v>
      </c>
      <c r="AL1230" s="2">
        <v>83.4722346304479</v>
      </c>
      <c r="AM1230" s="2">
        <v>43.660193330058398</v>
      </c>
      <c r="AN1230"/>
      <c r="AO1230"/>
    </row>
    <row r="1231" spans="1:41" ht="15.75" hidden="1" customHeight="1" x14ac:dyDescent="0.45">
      <c r="A1231" s="2" t="s">
        <v>213</v>
      </c>
      <c r="B1231" s="2" t="s">
        <v>214</v>
      </c>
      <c r="C1231" s="2">
        <v>3.0000000000000001E-3</v>
      </c>
      <c r="D1231" s="2"/>
      <c r="E1231" s="2" t="s">
        <v>83</v>
      </c>
      <c r="F1231" s="2" t="s">
        <v>84</v>
      </c>
      <c r="H1231" s="2">
        <v>3.8</v>
      </c>
      <c r="J1231" s="2">
        <v>3.8411715100000001</v>
      </c>
      <c r="K1231" s="2">
        <v>47.239460996722201</v>
      </c>
      <c r="L1231" s="2"/>
      <c r="M1231" s="2">
        <v>2.1343672441877599</v>
      </c>
      <c r="N1231" s="2">
        <v>359.722222222222</v>
      </c>
      <c r="O1231" s="2">
        <v>15.839764775657001</v>
      </c>
      <c r="P1231" s="2">
        <v>18.446090912555501</v>
      </c>
      <c r="Q1231" s="2">
        <v>2.5484304976990599</v>
      </c>
      <c r="R1231" s="2">
        <v>4.9744329316222196</v>
      </c>
      <c r="S1231" s="2">
        <v>0.966354151126812</v>
      </c>
      <c r="T1231" s="2">
        <v>3.4273817693316602</v>
      </c>
      <c r="U1231" s="2">
        <v>0.24760651882621501</v>
      </c>
      <c r="V1231" s="2">
        <v>0.41765367133499998</v>
      </c>
      <c r="W1231" s="2">
        <v>2.6174509708638501E-2</v>
      </c>
      <c r="X1231" s="2">
        <v>3.5163629482666598</v>
      </c>
      <c r="Y1231" s="2">
        <v>0.239069893394525</v>
      </c>
      <c r="Z1231" s="7">
        <v>100.379815518176</v>
      </c>
      <c r="AA1231" s="2">
        <v>4.4200568322118698</v>
      </c>
      <c r="AB1231" s="7">
        <v>102.832803223144</v>
      </c>
      <c r="AC1231" s="2">
        <v>4.6461784744477397</v>
      </c>
      <c r="AD1231" s="2">
        <v>77.681582064698304</v>
      </c>
      <c r="AE1231" s="2">
        <v>5.6119998898469996</v>
      </c>
      <c r="AF1231" s="2">
        <v>95.735612053240899</v>
      </c>
      <c r="AG1231" s="2">
        <v>13.226409575283</v>
      </c>
      <c r="AH1231" s="2">
        <v>88.693997937892405</v>
      </c>
      <c r="AI1231" s="2">
        <v>17.230067078090901</v>
      </c>
      <c r="AJ1231" s="2">
        <v>103.489683799535</v>
      </c>
      <c r="AK1231" s="2">
        <v>6.4857366743512701</v>
      </c>
      <c r="AL1231" s="2">
        <v>104.550877920183</v>
      </c>
      <c r="AM1231" s="2">
        <v>7.1081875239878798</v>
      </c>
      <c r="AN1231"/>
      <c r="AO1231"/>
    </row>
    <row r="1232" spans="1:41" ht="15.75" hidden="1" customHeight="1" x14ac:dyDescent="0.45">
      <c r="A1232" s="2" t="s">
        <v>213</v>
      </c>
      <c r="B1232" s="2" t="s">
        <v>214</v>
      </c>
      <c r="C1232" s="2">
        <v>0.01</v>
      </c>
      <c r="D1232" s="2"/>
      <c r="E1232" s="2" t="s">
        <v>83</v>
      </c>
      <c r="F1232" s="2" t="s">
        <v>84</v>
      </c>
      <c r="H1232" s="2">
        <v>3.8</v>
      </c>
      <c r="J1232" s="2">
        <v>3.8411715100000001</v>
      </c>
      <c r="K1232" s="2">
        <v>47.755570596722201</v>
      </c>
      <c r="L1232" s="2"/>
      <c r="M1232" s="2">
        <v>1.0044967820344299</v>
      </c>
      <c r="N1232" s="2">
        <v>405.888888888888</v>
      </c>
      <c r="O1232" s="2">
        <v>20.769457633033898</v>
      </c>
      <c r="P1232" s="2">
        <v>17.927293814777698</v>
      </c>
      <c r="Q1232" s="2">
        <v>3.4870059066664298</v>
      </c>
      <c r="R1232" s="2">
        <v>6.4550163952722199</v>
      </c>
      <c r="S1232" s="2">
        <v>0.86009100799155302</v>
      </c>
      <c r="T1232" s="2">
        <v>4.7968898637333304</v>
      </c>
      <c r="U1232" s="2">
        <v>3.0503858657447802</v>
      </c>
      <c r="V1232" s="2">
        <v>0.45773360621222198</v>
      </c>
      <c r="W1232" s="2">
        <v>9.3360893952960405E-2</v>
      </c>
      <c r="X1232" s="2">
        <v>3.1876611646055499</v>
      </c>
      <c r="Y1232" s="2">
        <v>9.5757559895914002E-2</v>
      </c>
      <c r="Z1232" s="7">
        <v>113.262537787768</v>
      </c>
      <c r="AA1232" s="2">
        <v>5.7956784341463701</v>
      </c>
      <c r="AB1232" s="7">
        <v>103.956291845126</v>
      </c>
      <c r="AC1232" s="2">
        <v>2.1866299433940499</v>
      </c>
      <c r="AD1232" s="2">
        <v>108.721472740278</v>
      </c>
      <c r="AE1232" s="2">
        <v>69.136972740873205</v>
      </c>
      <c r="AF1232" s="2">
        <v>93.043043859651704</v>
      </c>
      <c r="AG1232" s="2">
        <v>18.097636311699599</v>
      </c>
      <c r="AH1232" s="2">
        <v>115.092759058393</v>
      </c>
      <c r="AI1232" s="2">
        <v>15.3353982529874</v>
      </c>
      <c r="AJ1232" s="2">
        <v>113.421021823911</v>
      </c>
      <c r="AK1232" s="2">
        <v>23.133735095755899</v>
      </c>
      <c r="AL1232" s="2">
        <v>94.777694502743998</v>
      </c>
      <c r="AM1232" s="2">
        <v>2.8471284397839001</v>
      </c>
      <c r="AN1232"/>
      <c r="AO1232"/>
    </row>
    <row r="1233" spans="1:41" ht="15.75" hidden="1" customHeight="1" x14ac:dyDescent="0.45">
      <c r="A1233" s="2" t="s">
        <v>213</v>
      </c>
      <c r="B1233" s="2" t="s">
        <v>214</v>
      </c>
      <c r="C1233" s="2">
        <v>0.03</v>
      </c>
      <c r="D1233" s="2"/>
      <c r="E1233" s="2" t="s">
        <v>83</v>
      </c>
      <c r="F1233" s="2" t="s">
        <v>84</v>
      </c>
      <c r="H1233" s="2">
        <v>3.8</v>
      </c>
      <c r="J1233" s="2">
        <v>3.8411715100000001</v>
      </c>
      <c r="K1233" s="2">
        <v>45.368406599055497</v>
      </c>
      <c r="L1233" s="2"/>
      <c r="M1233" s="2">
        <v>0.50385405170856001</v>
      </c>
      <c r="N1233" s="2">
        <v>356</v>
      </c>
      <c r="O1233" s="2">
        <v>15.6693260154293</v>
      </c>
      <c r="P1233" s="2">
        <v>18.6558499615</v>
      </c>
      <c r="Q1233" s="2">
        <v>1.67997115708247</v>
      </c>
      <c r="R1233" s="2">
        <v>4.8707033232944399</v>
      </c>
      <c r="S1233" s="2">
        <v>0.75127372805966997</v>
      </c>
      <c r="T1233" s="2">
        <v>6.6049034660877703</v>
      </c>
      <c r="U1233" s="2">
        <v>4.9666745048807499</v>
      </c>
      <c r="V1233" s="2">
        <v>0.49882595818499997</v>
      </c>
      <c r="W1233" s="2">
        <v>0.10713551966143101</v>
      </c>
      <c r="X1233" s="2">
        <v>3.3634109531444398</v>
      </c>
      <c r="Y1233" s="2">
        <v>0.35578519931937502</v>
      </c>
      <c r="Z1233" s="7">
        <v>99.341136346019695</v>
      </c>
      <c r="AA1233" s="2">
        <v>4.3724962139016696</v>
      </c>
      <c r="AB1233" s="7">
        <v>98.759814991792297</v>
      </c>
      <c r="AC1233" s="2">
        <v>1.0968102399840101</v>
      </c>
      <c r="AD1233" s="2">
        <v>149.70008746074299</v>
      </c>
      <c r="AE1233" s="2">
        <v>112.56964035692199</v>
      </c>
      <c r="AF1233" s="2">
        <v>96.824266068316405</v>
      </c>
      <c r="AG1233" s="2">
        <v>8.7190867548857902</v>
      </c>
      <c r="AH1233" s="2">
        <v>86.844501966474795</v>
      </c>
      <c r="AI1233" s="2">
        <v>13.395189241316601</v>
      </c>
      <c r="AJ1233" s="2">
        <v>123.60322493647701</v>
      </c>
      <c r="AK1233" s="2">
        <v>26.546925872865401</v>
      </c>
      <c r="AL1233" s="2">
        <v>100.003205906532</v>
      </c>
      <c r="AM1233" s="2">
        <v>10.5784458223188</v>
      </c>
      <c r="AN1233"/>
      <c r="AO1233"/>
    </row>
    <row r="1234" spans="1:41" ht="15.75" hidden="1" customHeight="1" x14ac:dyDescent="0.45">
      <c r="A1234" s="2" t="s">
        <v>213</v>
      </c>
      <c r="B1234" s="2" t="s">
        <v>214</v>
      </c>
      <c r="C1234" s="2">
        <v>0.1</v>
      </c>
      <c r="D1234" s="2"/>
      <c r="E1234" s="2" t="s">
        <v>83</v>
      </c>
      <c r="F1234" s="2" t="s">
        <v>84</v>
      </c>
      <c r="H1234" s="2">
        <v>3.8</v>
      </c>
      <c r="J1234" s="2">
        <v>3.8411715100000001</v>
      </c>
      <c r="K1234" s="2">
        <v>44.205035563833299</v>
      </c>
      <c r="L1234" s="2"/>
      <c r="M1234" s="2">
        <v>2.7033400751829202</v>
      </c>
      <c r="N1234" s="2">
        <v>337.58333333333297</v>
      </c>
      <c r="O1234" s="2">
        <v>35.302561285738697</v>
      </c>
      <c r="P1234" s="2">
        <v>18.8672579325833</v>
      </c>
      <c r="Q1234" s="2">
        <v>0.61832616679503904</v>
      </c>
      <c r="R1234" s="2">
        <v>4.5832440803694396</v>
      </c>
      <c r="S1234" s="2">
        <v>0.92525541869524597</v>
      </c>
      <c r="T1234" s="2">
        <v>3.1082735634266601</v>
      </c>
      <c r="U1234" s="2">
        <v>0.49688210930589599</v>
      </c>
      <c r="V1234" s="2">
        <v>0.36916398490861102</v>
      </c>
      <c r="W1234" s="2">
        <v>0.13951490620562501</v>
      </c>
      <c r="X1234" s="2">
        <v>3.7117316946694401</v>
      </c>
      <c r="Y1234" s="2">
        <v>0.487296275025835</v>
      </c>
      <c r="Z1234" s="7">
        <v>94.201999844973201</v>
      </c>
      <c r="AA1234" s="2">
        <v>9.8511139158716094</v>
      </c>
      <c r="AB1234" s="7">
        <v>96.227341034292806</v>
      </c>
      <c r="AC1234" s="2">
        <v>5.8847419536775396</v>
      </c>
      <c r="AD1234" s="2">
        <v>70.4489969741376</v>
      </c>
      <c r="AE1234" s="2">
        <v>11.2618292761862</v>
      </c>
      <c r="AF1234" s="2">
        <v>97.921478025068794</v>
      </c>
      <c r="AG1234" s="2">
        <v>3.2091262212290701</v>
      </c>
      <c r="AH1234" s="2">
        <v>81.719111826597398</v>
      </c>
      <c r="AI1234" s="2">
        <v>16.4972778457016</v>
      </c>
      <c r="AJ1234" s="2">
        <v>91.474507924831599</v>
      </c>
      <c r="AK1234" s="2">
        <v>34.5701582902187</v>
      </c>
      <c r="AL1234" s="2">
        <v>110.359713428658</v>
      </c>
      <c r="AM1234" s="2">
        <v>14.4886219399792</v>
      </c>
      <c r="AN1234"/>
      <c r="AO1234"/>
    </row>
    <row r="1235" spans="1:41" ht="15.75" hidden="1" customHeight="1" x14ac:dyDescent="0.45">
      <c r="A1235" s="2" t="s">
        <v>213</v>
      </c>
      <c r="B1235" s="2" t="s">
        <v>214</v>
      </c>
      <c r="C1235" s="2">
        <v>0.3</v>
      </c>
      <c r="D1235" s="2"/>
      <c r="E1235" s="2" t="s">
        <v>83</v>
      </c>
      <c r="F1235" s="2" t="s">
        <v>84</v>
      </c>
      <c r="H1235" s="2">
        <v>3.8</v>
      </c>
      <c r="J1235" s="2">
        <v>3.8411715100000001</v>
      </c>
      <c r="K1235" s="2">
        <v>45.7664521285555</v>
      </c>
      <c r="L1235" s="2"/>
      <c r="M1235" s="2">
        <v>3.2298264678738899</v>
      </c>
      <c r="N1235" s="2">
        <v>308.722222222222</v>
      </c>
      <c r="O1235" s="2">
        <v>25.9600833189326</v>
      </c>
      <c r="P1235" s="2">
        <v>13.9230030054888</v>
      </c>
      <c r="Q1235" s="2">
        <v>1.8557094695429599</v>
      </c>
      <c r="R1235" s="2">
        <v>5.3333193543166599</v>
      </c>
      <c r="S1235" s="2">
        <v>0.271961568169868</v>
      </c>
      <c r="T1235" s="2">
        <v>10.6411811728738</v>
      </c>
      <c r="U1235" s="2">
        <v>0.83665901192066705</v>
      </c>
      <c r="V1235" s="2">
        <v>0.62864422872611103</v>
      </c>
      <c r="W1235" s="2">
        <v>0.15273605377404301</v>
      </c>
      <c r="X1235" s="2">
        <v>3.80160635595555</v>
      </c>
      <c r="Y1235" s="2">
        <v>0.400085401113418</v>
      </c>
      <c r="Z1235" s="7">
        <v>86.148360592202096</v>
      </c>
      <c r="AA1235" s="2">
        <v>7.2441128554497798</v>
      </c>
      <c r="AB1235" s="7">
        <v>99.626296885219602</v>
      </c>
      <c r="AC1235" s="2">
        <v>7.0308192051307401</v>
      </c>
      <c r="AD1235" s="2">
        <v>241.18229137546999</v>
      </c>
      <c r="AE1235" s="2">
        <v>18.962870222466702</v>
      </c>
      <c r="AF1235" s="2">
        <v>72.260687680028596</v>
      </c>
      <c r="AG1235" s="2">
        <v>9.6311724094759796</v>
      </c>
      <c r="AH1235" s="2">
        <v>95.092932665115299</v>
      </c>
      <c r="AI1235" s="2">
        <v>4.8490670389997597</v>
      </c>
      <c r="AJ1235" s="2">
        <v>155.77067057812201</v>
      </c>
      <c r="AK1235" s="2">
        <v>37.8462036723868</v>
      </c>
      <c r="AL1235" s="2">
        <v>113.03192755401599</v>
      </c>
      <c r="AM1235" s="2">
        <v>11.895609339779799</v>
      </c>
      <c r="AN1235"/>
      <c r="AO1235"/>
    </row>
    <row r="1236" spans="1:41" ht="15.75" hidden="1" customHeight="1" x14ac:dyDescent="0.45">
      <c r="A1236" s="2" t="s">
        <v>213</v>
      </c>
      <c r="B1236" s="2" t="s">
        <v>214</v>
      </c>
      <c r="C1236" s="2">
        <v>1</v>
      </c>
      <c r="D1236" s="2"/>
      <c r="E1236" s="2" t="s">
        <v>83</v>
      </c>
      <c r="F1236" s="2" t="s">
        <v>84</v>
      </c>
      <c r="H1236" s="2">
        <v>3.8</v>
      </c>
      <c r="J1236" s="2">
        <v>3.8411715100000001</v>
      </c>
      <c r="K1236" s="2">
        <v>43.747713052055502</v>
      </c>
      <c r="L1236" s="2"/>
      <c r="M1236" s="2">
        <v>12.800440184922699</v>
      </c>
      <c r="N1236" s="2">
        <v>259.5</v>
      </c>
      <c r="O1236" s="2">
        <v>18.978789330314701</v>
      </c>
      <c r="P1236" s="2">
        <v>12.3053940248833</v>
      </c>
      <c r="Q1236" s="2">
        <v>1.9951168999142599</v>
      </c>
      <c r="R1236" s="2">
        <v>5.6347280906666599</v>
      </c>
      <c r="S1236" s="2">
        <v>2.3023718616234099</v>
      </c>
      <c r="T1236" s="2">
        <v>13.777673435866101</v>
      </c>
      <c r="U1236" s="2">
        <v>15.094442699207001</v>
      </c>
      <c r="V1236" s="2">
        <v>0.63442065223166599</v>
      </c>
      <c r="W1236" s="2">
        <v>0.13029527570346899</v>
      </c>
      <c r="X1236" s="2">
        <v>4.0224595266722201</v>
      </c>
      <c r="Y1236" s="2">
        <v>0.64064767669981404</v>
      </c>
      <c r="Z1236" s="7">
        <v>72.412991240989001</v>
      </c>
      <c r="AA1236" s="2">
        <v>5.2959957824302704</v>
      </c>
      <c r="AB1236" s="7">
        <v>95.231822565815307</v>
      </c>
      <c r="AC1236" s="2">
        <v>27.864525101103801</v>
      </c>
      <c r="AD1236" s="2">
        <v>312.27086496335897</v>
      </c>
      <c r="AE1236" s="2">
        <v>342.11543042897898</v>
      </c>
      <c r="AF1236" s="2">
        <v>63.865261974104001</v>
      </c>
      <c r="AG1236" s="2">
        <v>10.354699997767399</v>
      </c>
      <c r="AH1236" s="2">
        <v>100.467041876709</v>
      </c>
      <c r="AI1236" s="2">
        <v>41.051224924344098</v>
      </c>
      <c r="AJ1236" s="2">
        <v>157.20200060850701</v>
      </c>
      <c r="AK1236" s="2">
        <v>32.285641929170403</v>
      </c>
      <c r="AL1236" s="2">
        <v>119.598483176855</v>
      </c>
      <c r="AM1236" s="2">
        <v>19.048169378962498</v>
      </c>
      <c r="AN1236"/>
      <c r="AO1236"/>
    </row>
    <row r="1237" spans="1:41" ht="15.75" hidden="1" customHeight="1" x14ac:dyDescent="0.45">
      <c r="A1237" s="2" t="s">
        <v>213</v>
      </c>
      <c r="B1237" s="2" t="s">
        <v>214</v>
      </c>
      <c r="C1237" s="2">
        <v>3</v>
      </c>
      <c r="D1237" s="2"/>
      <c r="E1237" s="2" t="s">
        <v>83</v>
      </c>
      <c r="F1237" s="2" t="s">
        <v>84</v>
      </c>
      <c r="H1237" s="2">
        <v>3.8</v>
      </c>
      <c r="J1237" s="2">
        <v>3.8411715100000001</v>
      </c>
      <c r="K1237" s="2">
        <v>34.172230704222201</v>
      </c>
      <c r="L1237" s="2"/>
      <c r="M1237" s="2">
        <v>3.02656468852275</v>
      </c>
      <c r="N1237" s="2">
        <v>191.28888888888801</v>
      </c>
      <c r="O1237" s="2">
        <v>69.506397254204302</v>
      </c>
      <c r="P1237" s="2">
        <v>10.7203056057655</v>
      </c>
      <c r="Q1237" s="2">
        <v>1.0877071096703199</v>
      </c>
      <c r="R1237" s="2">
        <v>5.7700496778288803</v>
      </c>
      <c r="S1237" s="2">
        <v>1.7704449375076901</v>
      </c>
      <c r="T1237" s="2">
        <v>7.0663103020440001</v>
      </c>
      <c r="U1237" s="2">
        <v>2.7089731900551701</v>
      </c>
      <c r="V1237" s="2">
        <v>0.69802891978155501</v>
      </c>
      <c r="W1237" s="2">
        <v>0.39390130239548599</v>
      </c>
      <c r="X1237" s="2">
        <v>3.9786120467422199</v>
      </c>
      <c r="Y1237" s="2">
        <v>0.64744428184458702</v>
      </c>
      <c r="Z1237" s="7">
        <v>53.378807844353098</v>
      </c>
      <c r="AA1237" s="2">
        <v>19.395630580197999</v>
      </c>
      <c r="AB1237" s="7">
        <v>74.387518433942205</v>
      </c>
      <c r="AC1237" s="2">
        <v>6.5883505969420897</v>
      </c>
      <c r="AD1237" s="2">
        <v>160.157869932853</v>
      </c>
      <c r="AE1237" s="2">
        <v>61.398857010135202</v>
      </c>
      <c r="AF1237" s="2">
        <v>55.638618687885803</v>
      </c>
      <c r="AG1237" s="2">
        <v>5.6452234987127499</v>
      </c>
      <c r="AH1237" s="2">
        <v>102.879821933793</v>
      </c>
      <c r="AI1237" s="2">
        <v>31.566982969705201</v>
      </c>
      <c r="AJ1237" s="2">
        <v>172.96338365760801</v>
      </c>
      <c r="AK1237" s="2">
        <v>97.604125214157406</v>
      </c>
      <c r="AL1237" s="2">
        <v>118.29478029159699</v>
      </c>
      <c r="AM1237" s="2">
        <v>19.250250633149701</v>
      </c>
      <c r="AN1237"/>
      <c r="AO1237"/>
    </row>
    <row r="1238" spans="1:41" ht="15.75" hidden="1" customHeight="1" x14ac:dyDescent="0.45">
      <c r="A1238" s="2" t="s">
        <v>213</v>
      </c>
      <c r="B1238" s="2" t="s">
        <v>214</v>
      </c>
      <c r="C1238" s="2">
        <v>10</v>
      </c>
      <c r="D1238" s="2"/>
      <c r="E1238" s="2" t="s">
        <v>83</v>
      </c>
      <c r="F1238" s="2" t="s">
        <v>84</v>
      </c>
      <c r="H1238" s="2">
        <v>3.8</v>
      </c>
      <c r="J1238" s="2">
        <v>3.8411715100000001</v>
      </c>
      <c r="K1238" s="2">
        <v>30.176751743499999</v>
      </c>
      <c r="L1238" s="2"/>
      <c r="M1238" s="2">
        <v>2.1488864825484599</v>
      </c>
      <c r="N1238" s="2">
        <v>136.888888888888</v>
      </c>
      <c r="O1238" s="2">
        <v>21.043165513173498</v>
      </c>
      <c r="P1238" s="2">
        <v>9.9950291468333301</v>
      </c>
      <c r="Q1238" s="2">
        <v>0.486357711814289</v>
      </c>
      <c r="R1238" s="2">
        <v>6.7868718113666597</v>
      </c>
      <c r="S1238" s="2">
        <v>1.2786325597256301</v>
      </c>
      <c r="T1238" s="2">
        <v>5.9618474717577703</v>
      </c>
      <c r="U1238" s="2">
        <v>0.87294366866558604</v>
      </c>
      <c r="V1238" s="2">
        <v>0.59094219930944403</v>
      </c>
      <c r="W1238" s="2">
        <v>0.15652269501639099</v>
      </c>
      <c r="X1238" s="2">
        <v>4.5909582557000004</v>
      </c>
      <c r="Y1238" s="2">
        <v>0.18518450950772899</v>
      </c>
      <c r="Z1238" s="7">
        <v>38.198589256646699</v>
      </c>
      <c r="AA1238" s="2">
        <v>5.8720561078540303</v>
      </c>
      <c r="AB1238" s="7">
        <v>65.689995365703396</v>
      </c>
      <c r="AC1238" s="2">
        <v>4.6777845501690498</v>
      </c>
      <c r="AD1238" s="2">
        <v>135.12522817814801</v>
      </c>
      <c r="AE1238" s="2">
        <v>19.785261695118301</v>
      </c>
      <c r="AF1238" s="2">
        <v>51.874418130009197</v>
      </c>
      <c r="AG1238" s="2">
        <v>2.5242070766149101</v>
      </c>
      <c r="AH1238" s="2">
        <v>121.00973170539601</v>
      </c>
      <c r="AI1238" s="2">
        <v>22.7979822372725</v>
      </c>
      <c r="AJ1238" s="2">
        <v>146.42854965180601</v>
      </c>
      <c r="AK1238" s="2">
        <v>38.784488983228798</v>
      </c>
      <c r="AL1238" s="2">
        <v>136.501471318526</v>
      </c>
      <c r="AM1238" s="2">
        <v>5.5060308992834504</v>
      </c>
      <c r="AN1238"/>
      <c r="AO1238"/>
    </row>
    <row r="1239" spans="1:41" ht="15.75" hidden="1" customHeight="1" x14ac:dyDescent="0.45">
      <c r="A1239" s="2" t="s">
        <v>215</v>
      </c>
      <c r="B1239" s="2" t="s">
        <v>216</v>
      </c>
      <c r="C1239" s="2">
        <v>3.0000000000000001E-3</v>
      </c>
      <c r="D1239" s="2"/>
      <c r="E1239" s="2" t="s">
        <v>83</v>
      </c>
      <c r="F1239" s="2" t="s">
        <v>84</v>
      </c>
      <c r="H1239" s="2">
        <v>54</v>
      </c>
      <c r="J1239" s="2">
        <v>54.178732320000002</v>
      </c>
      <c r="K1239" s="2">
        <v>39.998967236111099</v>
      </c>
      <c r="L1239" s="2"/>
      <c r="M1239" s="2">
        <v>2.7093149144008399</v>
      </c>
      <c r="N1239" s="2">
        <v>290.888888888888</v>
      </c>
      <c r="O1239" s="2">
        <v>36.515344314005297</v>
      </c>
      <c r="P1239" s="2">
        <v>33.054162255555497</v>
      </c>
      <c r="Q1239" s="2">
        <v>3.2979850551240601</v>
      </c>
      <c r="R1239" s="2">
        <v>3.4773325508888799</v>
      </c>
      <c r="S1239" s="2">
        <v>0.91676256652840804</v>
      </c>
      <c r="T1239" s="2">
        <v>4.0266613526111099</v>
      </c>
      <c r="U1239" s="2">
        <v>1.0712382865536201</v>
      </c>
      <c r="V1239" s="2">
        <v>0.30124336022222198</v>
      </c>
      <c r="W1239" s="2">
        <v>7.5968478244158893E-2</v>
      </c>
      <c r="X1239" s="2">
        <v>3.1743061344444401</v>
      </c>
      <c r="Y1239" s="2">
        <v>0.957427583761152</v>
      </c>
      <c r="Z1239" s="7">
        <v>104.30278884462101</v>
      </c>
      <c r="AA1239" s="2">
        <v>13.0931513476513</v>
      </c>
      <c r="AB1239" s="7">
        <v>100.197267879671</v>
      </c>
      <c r="AC1239" s="2">
        <v>6.7868240358848899</v>
      </c>
      <c r="AD1239" s="2">
        <v>90.948440250292506</v>
      </c>
      <c r="AE1239" s="2">
        <v>24.195591028600099</v>
      </c>
      <c r="AF1239" s="2">
        <v>97.747294620936501</v>
      </c>
      <c r="AG1239" s="2">
        <v>9.7527541114576497</v>
      </c>
      <c r="AH1239" s="2">
        <v>93.093648849055299</v>
      </c>
      <c r="AI1239" s="2">
        <v>24.543172445367102</v>
      </c>
      <c r="AJ1239" s="2">
        <v>64.053621389819398</v>
      </c>
      <c r="AK1239" s="2">
        <v>16.153239491892801</v>
      </c>
      <c r="AL1239" s="2">
        <v>94.278248226158496</v>
      </c>
      <c r="AM1239" s="2">
        <v>28.436008241594099</v>
      </c>
      <c r="AN1239"/>
      <c r="AO1239"/>
    </row>
    <row r="1240" spans="1:41" ht="15.75" hidden="1" customHeight="1" x14ac:dyDescent="0.45">
      <c r="A1240" s="2" t="s">
        <v>215</v>
      </c>
      <c r="B1240" s="2" t="s">
        <v>216</v>
      </c>
      <c r="C1240" s="2">
        <v>0.01</v>
      </c>
      <c r="D1240" s="2"/>
      <c r="E1240" s="2" t="s">
        <v>83</v>
      </c>
      <c r="F1240" s="2" t="s">
        <v>84</v>
      </c>
      <c r="H1240" s="2">
        <v>54</v>
      </c>
      <c r="J1240" s="2">
        <v>54.178732320000002</v>
      </c>
      <c r="K1240" s="2">
        <v>39.328408818333301</v>
      </c>
      <c r="L1240" s="2"/>
      <c r="M1240" s="2">
        <v>3.0722706142070999</v>
      </c>
      <c r="N1240" s="2">
        <v>286.444444444444</v>
      </c>
      <c r="O1240" s="2">
        <v>14.592933348155899</v>
      </c>
      <c r="P1240" s="2">
        <v>31.815758597777702</v>
      </c>
      <c r="Q1240" s="2">
        <v>1.4641553876995199</v>
      </c>
      <c r="R1240" s="2">
        <v>3.17563762722222</v>
      </c>
      <c r="S1240" s="2">
        <v>0.78253804527738402</v>
      </c>
      <c r="T1240" s="2">
        <v>6.4472681996666603</v>
      </c>
      <c r="U1240" s="2">
        <v>4.0129204291651197</v>
      </c>
      <c r="V1240" s="2">
        <v>0.359352786277777</v>
      </c>
      <c r="W1240" s="2">
        <v>0.167514980053831</v>
      </c>
      <c r="X1240" s="2">
        <v>3.2772266903333298</v>
      </c>
      <c r="Y1240" s="2">
        <v>0.22586037740971701</v>
      </c>
      <c r="Z1240" s="7">
        <v>102.709163346613</v>
      </c>
      <c r="AA1240" s="2">
        <v>5.2325259017292298</v>
      </c>
      <c r="AB1240" s="7">
        <v>98.517521474759704</v>
      </c>
      <c r="AC1240" s="2">
        <v>7.6960267477266298</v>
      </c>
      <c r="AD1240" s="2">
        <v>145.621629257389</v>
      </c>
      <c r="AE1240" s="2">
        <v>90.638080017440899</v>
      </c>
      <c r="AF1240" s="2">
        <v>94.085105083033298</v>
      </c>
      <c r="AG1240" s="2">
        <v>4.3297793163171896</v>
      </c>
      <c r="AH1240" s="2">
        <v>85.016802337441803</v>
      </c>
      <c r="AI1240" s="2">
        <v>20.949771392861699</v>
      </c>
      <c r="AJ1240" s="2">
        <v>76.409476048313806</v>
      </c>
      <c r="AK1240" s="2">
        <v>35.618846840560799</v>
      </c>
      <c r="AL1240" s="2">
        <v>97.335032702733599</v>
      </c>
      <c r="AM1240" s="2">
        <v>6.7081496944572203</v>
      </c>
      <c r="AN1240"/>
      <c r="AO1240"/>
    </row>
    <row r="1241" spans="1:41" ht="15.75" hidden="1" customHeight="1" x14ac:dyDescent="0.45">
      <c r="A1241" s="2" t="s">
        <v>215</v>
      </c>
      <c r="B1241" s="2" t="s">
        <v>216</v>
      </c>
      <c r="C1241" s="2">
        <v>0.03</v>
      </c>
      <c r="D1241" s="2"/>
      <c r="E1241" s="2" t="s">
        <v>83</v>
      </c>
      <c r="F1241" s="2" t="s">
        <v>84</v>
      </c>
      <c r="H1241" s="2">
        <v>54</v>
      </c>
      <c r="J1241" s="2">
        <v>54.178732320000002</v>
      </c>
      <c r="K1241" s="2">
        <v>41.335858105555502</v>
      </c>
      <c r="L1241" s="2"/>
      <c r="M1241" s="2">
        <v>1.4689927042614399</v>
      </c>
      <c r="N1241" s="2">
        <v>275</v>
      </c>
      <c r="O1241" s="2">
        <v>64.109931627894596</v>
      </c>
      <c r="P1241" s="2">
        <v>33.203423237777699</v>
      </c>
      <c r="Q1241" s="2">
        <v>4.5463222630262798</v>
      </c>
      <c r="R1241" s="2">
        <v>3.85615402016666</v>
      </c>
      <c r="S1241" s="2">
        <v>1.3349297369390301</v>
      </c>
      <c r="T1241" s="2">
        <v>4.3335823371111104</v>
      </c>
      <c r="U1241" s="2">
        <v>0.44200247017178701</v>
      </c>
      <c r="V1241" s="2">
        <v>0.30740773633333301</v>
      </c>
      <c r="W1241" s="2">
        <v>0.121689486357484</v>
      </c>
      <c r="X1241" s="2">
        <v>3.3053784425555501</v>
      </c>
      <c r="Y1241" s="2">
        <v>0.83939120167673198</v>
      </c>
      <c r="Z1241" s="7">
        <v>98.605577689243006</v>
      </c>
      <c r="AA1241" s="2">
        <v>22.9876248864961</v>
      </c>
      <c r="AB1241" s="7">
        <v>103.546174659711</v>
      </c>
      <c r="AC1241" s="2">
        <v>3.6798213972206</v>
      </c>
      <c r="AD1241" s="2">
        <v>97.880730397378798</v>
      </c>
      <c r="AE1241" s="2">
        <v>9.9833166309933006</v>
      </c>
      <c r="AF1241" s="2">
        <v>98.188687057141195</v>
      </c>
      <c r="AG1241" s="2">
        <v>13.4443190013403</v>
      </c>
      <c r="AH1241" s="2">
        <v>103.235294009916</v>
      </c>
      <c r="AI1241" s="2">
        <v>35.738163764922902</v>
      </c>
      <c r="AJ1241" s="2">
        <v>65.3643577102292</v>
      </c>
      <c r="AK1241" s="2">
        <v>25.874934738856702</v>
      </c>
      <c r="AL1241" s="2">
        <v>98.171151769892404</v>
      </c>
      <c r="AM1241" s="2">
        <v>24.930277269675699</v>
      </c>
      <c r="AN1241"/>
      <c r="AO1241"/>
    </row>
    <row r="1242" spans="1:41" ht="15.75" hidden="1" customHeight="1" x14ac:dyDescent="0.45">
      <c r="A1242" s="2" t="s">
        <v>215</v>
      </c>
      <c r="B1242" s="2" t="s">
        <v>216</v>
      </c>
      <c r="C1242" s="2">
        <v>0.1</v>
      </c>
      <c r="D1242" s="2"/>
      <c r="E1242" s="2" t="s">
        <v>83</v>
      </c>
      <c r="F1242" s="2" t="s">
        <v>84</v>
      </c>
      <c r="H1242" s="2">
        <v>54</v>
      </c>
      <c r="J1242" s="2">
        <v>54.178732320000002</v>
      </c>
      <c r="K1242" s="2">
        <v>40.305807417222198</v>
      </c>
      <c r="L1242" s="2"/>
      <c r="M1242" s="2">
        <v>3.7765931099574099</v>
      </c>
      <c r="N1242" s="2">
        <v>305.27777777777698</v>
      </c>
      <c r="O1242" s="2">
        <v>35.576339411552098</v>
      </c>
      <c r="P1242" s="2">
        <v>31.6943200711111</v>
      </c>
      <c r="Q1242" s="2">
        <v>0.65618737533987304</v>
      </c>
      <c r="R1242" s="2">
        <v>6.5007240072777703</v>
      </c>
      <c r="S1242" s="2">
        <v>4.7768100727189999</v>
      </c>
      <c r="T1242" s="2">
        <v>8.2341375675555497</v>
      </c>
      <c r="U1242" s="2">
        <v>1.94874035295564</v>
      </c>
      <c r="V1242" s="2">
        <v>0.54724613605555505</v>
      </c>
      <c r="W1242" s="2">
        <v>0.189733248433683</v>
      </c>
      <c r="X1242" s="2">
        <v>3.5773468856666599</v>
      </c>
      <c r="Y1242" s="2">
        <v>0.50759415592194002</v>
      </c>
      <c r="Z1242" s="7">
        <v>109.46215139442199</v>
      </c>
      <c r="AA1242" s="2">
        <v>12.756456362707899</v>
      </c>
      <c r="AB1242" s="7">
        <v>100.965901420671</v>
      </c>
      <c r="AC1242" s="2">
        <v>9.46035204552234</v>
      </c>
      <c r="AD1242" s="2">
        <v>185.98086677686399</v>
      </c>
      <c r="AE1242" s="2">
        <v>44.015346718737902</v>
      </c>
      <c r="AF1242" s="2">
        <v>93.725988813419704</v>
      </c>
      <c r="AG1242" s="2">
        <v>1.9404678965386599</v>
      </c>
      <c r="AH1242" s="2">
        <v>174.03458229597399</v>
      </c>
      <c r="AI1242" s="2">
        <v>127.882701185614</v>
      </c>
      <c r="AJ1242" s="2">
        <v>116.36139226466599</v>
      </c>
      <c r="AK1242" s="2">
        <v>40.343135368250302</v>
      </c>
      <c r="AL1242" s="2">
        <v>106.248730712604</v>
      </c>
      <c r="AM1242" s="2">
        <v>15.0757632702403</v>
      </c>
      <c r="AN1242"/>
      <c r="AO1242"/>
    </row>
    <row r="1243" spans="1:41" ht="15.75" hidden="1" customHeight="1" x14ac:dyDescent="0.45">
      <c r="A1243" s="2" t="s">
        <v>215</v>
      </c>
      <c r="B1243" s="2" t="s">
        <v>216</v>
      </c>
      <c r="C1243" s="2">
        <v>0.3</v>
      </c>
      <c r="D1243" s="2"/>
      <c r="E1243" s="2" t="s">
        <v>83</v>
      </c>
      <c r="F1243" s="2" t="s">
        <v>84</v>
      </c>
      <c r="H1243" s="2">
        <v>54</v>
      </c>
      <c r="J1243" s="2">
        <v>54.178732320000002</v>
      </c>
      <c r="K1243" s="2">
        <v>37.547636257777697</v>
      </c>
      <c r="L1243" s="2"/>
      <c r="M1243" s="2">
        <v>2.6043448254288202</v>
      </c>
      <c r="N1243" s="2">
        <v>258.166666666666</v>
      </c>
      <c r="O1243" s="2">
        <v>8.5845468397844105</v>
      </c>
      <c r="P1243" s="2">
        <v>32.014685082777703</v>
      </c>
      <c r="Q1243" s="2">
        <v>2.84203100057504</v>
      </c>
      <c r="R1243" s="2">
        <v>5.8101812151111103</v>
      </c>
      <c r="S1243" s="2">
        <v>3.7450667945120899</v>
      </c>
      <c r="T1243" s="2">
        <v>4.2801241412222204</v>
      </c>
      <c r="U1243" s="2">
        <v>0.29594714106675302</v>
      </c>
      <c r="V1243" s="2">
        <v>0.58709782055555504</v>
      </c>
      <c r="W1243" s="2">
        <v>0.238102788345224</v>
      </c>
      <c r="X1243" s="2">
        <v>2.92753421416666</v>
      </c>
      <c r="Y1243" s="2">
        <v>0.32484207702122703</v>
      </c>
      <c r="Z1243" s="7">
        <v>92.569721115537803</v>
      </c>
      <c r="AA1243" s="2">
        <v>3.07812436486293</v>
      </c>
      <c r="AB1243" s="7">
        <v>94.056692668118203</v>
      </c>
      <c r="AC1243" s="2">
        <v>6.52387434365916</v>
      </c>
      <c r="AD1243" s="2">
        <v>96.673293488998993</v>
      </c>
      <c r="AE1243" s="2">
        <v>6.6844287412202403</v>
      </c>
      <c r="AF1243" s="2">
        <v>94.673367631842396</v>
      </c>
      <c r="AG1243" s="2">
        <v>8.4044133197885795</v>
      </c>
      <c r="AH1243" s="2">
        <v>155.54766818338001</v>
      </c>
      <c r="AI1243" s="2">
        <v>100.261314666451</v>
      </c>
      <c r="AJ1243" s="2">
        <v>124.83508844447999</v>
      </c>
      <c r="AK1243" s="2">
        <v>50.627990091714103</v>
      </c>
      <c r="AL1243" s="2">
        <v>86.949016775309204</v>
      </c>
      <c r="AM1243" s="2">
        <v>9.6479484569525304</v>
      </c>
      <c r="AN1243"/>
      <c r="AO1243"/>
    </row>
    <row r="1244" spans="1:41" ht="15.75" hidden="1" customHeight="1" x14ac:dyDescent="0.45">
      <c r="A1244" s="2" t="s">
        <v>215</v>
      </c>
      <c r="B1244" s="2" t="s">
        <v>216</v>
      </c>
      <c r="C1244" s="2">
        <v>1</v>
      </c>
      <c r="D1244" s="2"/>
      <c r="E1244" s="2" t="s">
        <v>83</v>
      </c>
      <c r="F1244" s="2" t="s">
        <v>84</v>
      </c>
      <c r="H1244" s="2">
        <v>54</v>
      </c>
      <c r="J1244" s="2">
        <v>54.178732320000002</v>
      </c>
      <c r="K1244" s="2">
        <v>38.403797091111102</v>
      </c>
      <c r="L1244" s="2"/>
      <c r="M1244" s="2">
        <v>3.3695769741475701</v>
      </c>
      <c r="N1244" s="2">
        <v>249.277777777777</v>
      </c>
      <c r="O1244" s="2">
        <v>13.9943771777299</v>
      </c>
      <c r="P1244" s="2">
        <v>30.0521931683333</v>
      </c>
      <c r="Q1244" s="2">
        <v>3.3900404707735801</v>
      </c>
      <c r="R1244" s="2">
        <v>3.4564810934444399</v>
      </c>
      <c r="S1244" s="2">
        <v>0.12890283788972201</v>
      </c>
      <c r="T1244" s="2">
        <v>5.8088741166666598</v>
      </c>
      <c r="U1244" s="2">
        <v>0.98156862451437399</v>
      </c>
      <c r="V1244" s="2">
        <v>0.56484370527777705</v>
      </c>
      <c r="W1244" s="2">
        <v>0.127708823816676</v>
      </c>
      <c r="X1244" s="2">
        <v>3.65038941461111</v>
      </c>
      <c r="Y1244" s="2">
        <v>0.69216100531028102</v>
      </c>
      <c r="Z1244" s="7">
        <v>89.382470119521898</v>
      </c>
      <c r="AA1244" s="2">
        <v>5.0179041673135298</v>
      </c>
      <c r="AB1244" s="7">
        <v>96.201372450953599</v>
      </c>
      <c r="AC1244" s="2">
        <v>8.4407781012663694</v>
      </c>
      <c r="AD1244" s="2">
        <v>131.20250109400001</v>
      </c>
      <c r="AE1244" s="2">
        <v>22.1702615593234</v>
      </c>
      <c r="AF1244" s="2">
        <v>88.869914684848894</v>
      </c>
      <c r="AG1244" s="2">
        <v>10.0249790665292</v>
      </c>
      <c r="AH1244" s="2">
        <v>92.535422614170798</v>
      </c>
      <c r="AI1244" s="2">
        <v>3.4509312383956599</v>
      </c>
      <c r="AJ1244" s="2">
        <v>120.103177761647</v>
      </c>
      <c r="AK1244" s="2">
        <v>27.154831372409902</v>
      </c>
      <c r="AL1244" s="2">
        <v>108.41812502532299</v>
      </c>
      <c r="AM1244" s="2">
        <v>20.5574775422632</v>
      </c>
      <c r="AN1244"/>
      <c r="AO1244"/>
    </row>
    <row r="1245" spans="1:41" ht="15.75" hidden="1" customHeight="1" x14ac:dyDescent="0.45">
      <c r="A1245" s="2" t="s">
        <v>215</v>
      </c>
      <c r="B1245" s="2" t="s">
        <v>216</v>
      </c>
      <c r="C1245" s="2">
        <v>3</v>
      </c>
      <c r="D1245" s="2"/>
      <c r="E1245" s="2" t="s">
        <v>83</v>
      </c>
      <c r="F1245" s="2" t="s">
        <v>84</v>
      </c>
      <c r="H1245" s="2">
        <v>54</v>
      </c>
      <c r="J1245" s="2">
        <v>54.178732320000002</v>
      </c>
      <c r="K1245" s="2">
        <v>36.325900548888796</v>
      </c>
      <c r="L1245" s="2"/>
      <c r="M1245" s="2">
        <v>4.28164748798239</v>
      </c>
      <c r="N1245" s="2">
        <v>252.944444444444</v>
      </c>
      <c r="O1245" s="2">
        <v>16.938887977843301</v>
      </c>
      <c r="P1245" s="2">
        <v>28.673850921666599</v>
      </c>
      <c r="Q1245" s="2">
        <v>3.1808260514007198</v>
      </c>
      <c r="R1245" s="2">
        <v>3.14984681077777</v>
      </c>
      <c r="S1245" s="2">
        <v>0.89492973722008395</v>
      </c>
      <c r="T1245" s="2">
        <v>5.5812595608888804</v>
      </c>
      <c r="U1245" s="2">
        <v>1.5169858338707201</v>
      </c>
      <c r="V1245" s="2">
        <v>0.357216461222222</v>
      </c>
      <c r="W1245" s="2">
        <v>0.16635694284917901</v>
      </c>
      <c r="X1245" s="2">
        <v>3.2839129209444402</v>
      </c>
      <c r="Y1245" s="2">
        <v>0.65825632443642801</v>
      </c>
      <c r="Z1245" s="7">
        <v>90.697211155378497</v>
      </c>
      <c r="AA1245" s="2">
        <v>6.0737048526131598</v>
      </c>
      <c r="AB1245" s="7">
        <v>90.996249147686896</v>
      </c>
      <c r="AC1245" s="2">
        <v>10.7255114310147</v>
      </c>
      <c r="AD1245" s="2">
        <v>126.06147059417199</v>
      </c>
      <c r="AE1245" s="2">
        <v>34.263496080410697</v>
      </c>
      <c r="AF1245" s="2">
        <v>84.793900758621902</v>
      </c>
      <c r="AG1245" s="2">
        <v>9.4062931857230705</v>
      </c>
      <c r="AH1245" s="2">
        <v>84.326341711524407</v>
      </c>
      <c r="AI1245" s="2">
        <v>23.958673345765298</v>
      </c>
      <c r="AJ1245" s="2">
        <v>75.955227509281499</v>
      </c>
      <c r="AK1245" s="2">
        <v>35.372612445195699</v>
      </c>
      <c r="AL1245" s="2">
        <v>97.533616608177198</v>
      </c>
      <c r="AM1245" s="2">
        <v>19.550494036555001</v>
      </c>
      <c r="AN1245"/>
      <c r="AO1245"/>
    </row>
    <row r="1246" spans="1:41" ht="15.75" hidden="1" customHeight="1" x14ac:dyDescent="0.45">
      <c r="A1246" s="2" t="s">
        <v>215</v>
      </c>
      <c r="B1246" s="2" t="s">
        <v>216</v>
      </c>
      <c r="C1246" s="2">
        <v>10</v>
      </c>
      <c r="D1246" s="2"/>
      <c r="E1246" s="2" t="s">
        <v>83</v>
      </c>
      <c r="F1246" s="2" t="s">
        <v>84</v>
      </c>
      <c r="H1246" s="2">
        <v>54</v>
      </c>
      <c r="J1246" s="2">
        <v>54.178732320000002</v>
      </c>
      <c r="K1246" s="2">
        <v>36.587642278888801</v>
      </c>
      <c r="L1246" s="2"/>
      <c r="M1246" s="2">
        <v>2.98044735041077</v>
      </c>
      <c r="N1246" s="2">
        <v>212</v>
      </c>
      <c r="O1246" s="2">
        <v>11.8462370959443</v>
      </c>
      <c r="P1246" s="2">
        <v>30.111497125555498</v>
      </c>
      <c r="Q1246" s="2">
        <v>3.3442730412394899</v>
      </c>
      <c r="R1246" s="2">
        <v>6.1480916074999996</v>
      </c>
      <c r="S1246" s="2">
        <v>1.85593013860198</v>
      </c>
      <c r="T1246" s="2">
        <v>5.2257980652222198</v>
      </c>
      <c r="U1246" s="2">
        <v>1.3817298634594899</v>
      </c>
      <c r="V1246" s="2">
        <v>0.29668417866666602</v>
      </c>
      <c r="W1246" s="2">
        <v>0.220527486958839</v>
      </c>
      <c r="X1246" s="2">
        <v>3.68800369622222</v>
      </c>
      <c r="Y1246" s="2">
        <v>0.79874062240099097</v>
      </c>
      <c r="Z1246" s="7">
        <v>76.015936254980105</v>
      </c>
      <c r="AA1246" s="2">
        <v>4.24765473559758</v>
      </c>
      <c r="AB1246" s="7">
        <v>91.651911232192404</v>
      </c>
      <c r="AC1246" s="2">
        <v>7.4660098048921499</v>
      </c>
      <c r="AD1246" s="2">
        <v>118.03281713441299</v>
      </c>
      <c r="AE1246" s="2">
        <v>31.208528585946599</v>
      </c>
      <c r="AF1246" s="2">
        <v>89.045287496719595</v>
      </c>
      <c r="AG1246" s="2">
        <v>9.8896362802221702</v>
      </c>
      <c r="AH1246" s="2">
        <v>164.59405962024599</v>
      </c>
      <c r="AI1246" s="2">
        <v>49.686162046027697</v>
      </c>
      <c r="AJ1246" s="2">
        <v>63.0841988970163</v>
      </c>
      <c r="AK1246" s="2">
        <v>46.890939422829597</v>
      </c>
      <c r="AL1246" s="2">
        <v>109.53528525763301</v>
      </c>
      <c r="AM1246" s="2">
        <v>23.722937699648298</v>
      </c>
      <c r="AN1246"/>
      <c r="AO1246"/>
    </row>
    <row r="1247" spans="1:41" ht="15.75" hidden="1" customHeight="1" x14ac:dyDescent="0.45">
      <c r="A1247" s="2" t="s">
        <v>217</v>
      </c>
      <c r="B1247" s="2" t="s">
        <v>218</v>
      </c>
      <c r="C1247" s="2">
        <v>3.0000000000000001E-3</v>
      </c>
      <c r="D1247" s="2"/>
      <c r="E1247" s="2" t="s">
        <v>83</v>
      </c>
      <c r="F1247" s="2" t="s">
        <v>84</v>
      </c>
      <c r="H1247" s="2">
        <v>1.6</v>
      </c>
      <c r="J1247" s="2">
        <v>1.5707704339999999</v>
      </c>
      <c r="K1247" s="2">
        <v>41.865114379999902</v>
      </c>
      <c r="L1247" s="2"/>
      <c r="M1247" s="2">
        <v>0.43156683938916002</v>
      </c>
      <c r="N1247" s="2">
        <v>326.944444444444</v>
      </c>
      <c r="O1247" s="2">
        <v>26.998628223039901</v>
      </c>
      <c r="P1247" s="2">
        <v>30.564197191666601</v>
      </c>
      <c r="Q1247" s="2">
        <v>2.4974473594520599</v>
      </c>
      <c r="R1247" s="2">
        <v>3.5066914329444399</v>
      </c>
      <c r="S1247" s="2">
        <v>0.740916355787545</v>
      </c>
      <c r="T1247" s="2">
        <v>7.2114030985555502</v>
      </c>
      <c r="U1247" s="2">
        <v>1.4732246876516599</v>
      </c>
      <c r="V1247" s="2">
        <v>0.42403913516666603</v>
      </c>
      <c r="W1247" s="2">
        <v>0.26442271869017198</v>
      </c>
      <c r="X1247" s="2">
        <v>3.54347217722222</v>
      </c>
      <c r="Y1247" s="2">
        <v>0.32512597281824401</v>
      </c>
      <c r="Z1247" s="7">
        <v>117.231075697211</v>
      </c>
      <c r="AA1247" s="2">
        <v>9.68078302818164</v>
      </c>
      <c r="AB1247" s="7">
        <v>104.871959707972</v>
      </c>
      <c r="AC1247" s="2">
        <v>1.0810733676948501</v>
      </c>
      <c r="AD1247" s="2">
        <v>162.88081027833499</v>
      </c>
      <c r="AE1247" s="2">
        <v>33.275082195143597</v>
      </c>
      <c r="AF1247" s="2">
        <v>90.384005640442695</v>
      </c>
      <c r="AG1247" s="2">
        <v>7.3854155176360896</v>
      </c>
      <c r="AH1247" s="2">
        <v>93.879632190217805</v>
      </c>
      <c r="AI1247" s="2">
        <v>19.835493454480201</v>
      </c>
      <c r="AJ1247" s="2">
        <v>90.163787173253297</v>
      </c>
      <c r="AK1247" s="2">
        <v>56.224418348516402</v>
      </c>
      <c r="AL1247" s="2">
        <v>105.24263740085399</v>
      </c>
      <c r="AM1247" s="2">
        <v>9.6563802834015</v>
      </c>
      <c r="AN1247"/>
      <c r="AO1247"/>
    </row>
    <row r="1248" spans="1:41" ht="15.75" hidden="1" customHeight="1" x14ac:dyDescent="0.45">
      <c r="A1248" s="2" t="s">
        <v>217</v>
      </c>
      <c r="B1248" s="2" t="s">
        <v>218</v>
      </c>
      <c r="C1248" s="2">
        <v>0.01</v>
      </c>
      <c r="D1248" s="2"/>
      <c r="E1248" s="2" t="s">
        <v>83</v>
      </c>
      <c r="F1248" s="2" t="s">
        <v>84</v>
      </c>
      <c r="H1248" s="2">
        <v>1.6</v>
      </c>
      <c r="J1248" s="2">
        <v>1.5707704339999999</v>
      </c>
      <c r="K1248" s="2">
        <v>41.437329134999999</v>
      </c>
      <c r="L1248" s="2"/>
      <c r="M1248" s="2">
        <v>1.57409951775019</v>
      </c>
      <c r="N1248" s="2">
        <v>283.222222222222</v>
      </c>
      <c r="O1248" s="2">
        <v>17.913630233655301</v>
      </c>
      <c r="P1248" s="2">
        <v>34.090145405000001</v>
      </c>
      <c r="Q1248" s="2">
        <v>1.66545467559182</v>
      </c>
      <c r="R1248" s="2">
        <v>3.152776292</v>
      </c>
      <c r="S1248" s="2">
        <v>0.40422489064640699</v>
      </c>
      <c r="T1248" s="2">
        <v>3.9888669947777702</v>
      </c>
      <c r="U1248" s="2">
        <v>0.68917525815232805</v>
      </c>
      <c r="V1248" s="2">
        <v>0.49512349683333301</v>
      </c>
      <c r="W1248" s="2">
        <v>0.12414038243210999</v>
      </c>
      <c r="X1248" s="2">
        <v>3.7745629273333301</v>
      </c>
      <c r="Y1248" s="2">
        <v>0.43739531122821401</v>
      </c>
      <c r="Z1248" s="7">
        <v>101.553784860557</v>
      </c>
      <c r="AA1248" s="2">
        <v>6.4232140280039101</v>
      </c>
      <c r="AB1248" s="7">
        <v>103.80035922050899</v>
      </c>
      <c r="AC1248" s="2">
        <v>3.94311358386493</v>
      </c>
      <c r="AD1248" s="2">
        <v>90.094795606703499</v>
      </c>
      <c r="AE1248" s="2">
        <v>15.5661003742969</v>
      </c>
      <c r="AF1248" s="2">
        <v>100.810889134334</v>
      </c>
      <c r="AG1248" s="2">
        <v>4.9250586838130701</v>
      </c>
      <c r="AH1248" s="2">
        <v>84.404768520643302</v>
      </c>
      <c r="AI1248" s="2">
        <v>10.8217346127177</v>
      </c>
      <c r="AJ1248" s="2">
        <v>105.27851297359901</v>
      </c>
      <c r="AK1248" s="2">
        <v>26.396070770250201</v>
      </c>
      <c r="AL1248" s="2">
        <v>112.106131398907</v>
      </c>
      <c r="AM1248" s="2">
        <v>12.9908275945629</v>
      </c>
      <c r="AN1248"/>
      <c r="AO1248"/>
    </row>
    <row r="1249" spans="1:41" ht="15.75" hidden="1" customHeight="1" x14ac:dyDescent="0.45">
      <c r="A1249" s="2" t="s">
        <v>217</v>
      </c>
      <c r="B1249" s="2" t="s">
        <v>218</v>
      </c>
      <c r="C1249" s="2">
        <v>0.03</v>
      </c>
      <c r="D1249" s="2"/>
      <c r="E1249" s="2" t="s">
        <v>83</v>
      </c>
      <c r="F1249" s="2" t="s">
        <v>84</v>
      </c>
      <c r="H1249" s="2">
        <v>1.6</v>
      </c>
      <c r="J1249" s="2">
        <v>1.5707704339999999</v>
      </c>
      <c r="K1249" s="2">
        <v>34.862958227222201</v>
      </c>
      <c r="L1249" s="2"/>
      <c r="M1249" s="2">
        <v>4.8766934854690502</v>
      </c>
      <c r="N1249" s="2">
        <v>244.388888888888</v>
      </c>
      <c r="O1249" s="2">
        <v>39.986919157440802</v>
      </c>
      <c r="P1249" s="2">
        <v>32.944620097777701</v>
      </c>
      <c r="Q1249" s="2">
        <v>0.80390651059011697</v>
      </c>
      <c r="R1249" s="2">
        <v>4.2223875087222202</v>
      </c>
      <c r="S1249" s="2">
        <v>0.83325915007572005</v>
      </c>
      <c r="T1249" s="2">
        <v>3.5179604482222202</v>
      </c>
      <c r="U1249" s="2">
        <v>0.82634430850080898</v>
      </c>
      <c r="V1249" s="2">
        <v>0.49179548783333299</v>
      </c>
      <c r="W1249" s="2">
        <v>0.26710566839684802</v>
      </c>
      <c r="X1249" s="2">
        <v>3.8961053729444401</v>
      </c>
      <c r="Y1249" s="2">
        <v>0.15210898451910099</v>
      </c>
      <c r="Z1249" s="7">
        <v>87.629482071713099</v>
      </c>
      <c r="AA1249" s="2">
        <v>14.3379391401182</v>
      </c>
      <c r="AB1249" s="7">
        <v>87.331583936925895</v>
      </c>
      <c r="AC1249" s="2">
        <v>12.216099496925301</v>
      </c>
      <c r="AD1249" s="2">
        <v>79.458635234014807</v>
      </c>
      <c r="AE1249" s="2">
        <v>18.664277769254301</v>
      </c>
      <c r="AF1249" s="2">
        <v>97.423358122805496</v>
      </c>
      <c r="AG1249" s="2">
        <v>2.3773008049881499</v>
      </c>
      <c r="AH1249" s="2">
        <v>113.039939174395</v>
      </c>
      <c r="AI1249" s="2">
        <v>22.307654957413298</v>
      </c>
      <c r="AJ1249" s="2">
        <v>104.570875705475</v>
      </c>
      <c r="AK1249" s="2">
        <v>56.794896132964702</v>
      </c>
      <c r="AL1249" s="2">
        <v>115.715993955325</v>
      </c>
      <c r="AM1249" s="2">
        <v>4.5177018197176997</v>
      </c>
      <c r="AN1249"/>
      <c r="AO1249"/>
    </row>
    <row r="1250" spans="1:41" ht="15.75" hidden="1" customHeight="1" x14ac:dyDescent="0.45">
      <c r="A1250" s="2" t="s">
        <v>217</v>
      </c>
      <c r="B1250" s="2" t="s">
        <v>218</v>
      </c>
      <c r="C1250" s="2">
        <v>0.1</v>
      </c>
      <c r="D1250" s="2"/>
      <c r="E1250" s="2" t="s">
        <v>83</v>
      </c>
      <c r="F1250" s="2" t="s">
        <v>84</v>
      </c>
      <c r="H1250" s="2">
        <v>1.6</v>
      </c>
      <c r="J1250" s="2">
        <v>1.5707704339999999</v>
      </c>
      <c r="K1250" s="2">
        <v>38.245396263333298</v>
      </c>
      <c r="L1250" s="2"/>
      <c r="M1250" s="2">
        <v>9.1273250160305501</v>
      </c>
      <c r="N1250" s="2">
        <v>281.388888888888</v>
      </c>
      <c r="O1250" s="2">
        <v>17.288671092601199</v>
      </c>
      <c r="P1250" s="2">
        <v>35.8495180516666</v>
      </c>
      <c r="Q1250" s="2">
        <v>3.26917104332311</v>
      </c>
      <c r="R1250" s="2">
        <v>4.2523568462222201</v>
      </c>
      <c r="S1250" s="2">
        <v>1.6849843309433199</v>
      </c>
      <c r="T1250" s="2">
        <v>4.2338748259444401</v>
      </c>
      <c r="U1250" s="2">
        <v>2.66956245793207</v>
      </c>
      <c r="V1250" s="2">
        <v>0.41583644783333301</v>
      </c>
      <c r="W1250" s="2">
        <v>0.20861850456698899</v>
      </c>
      <c r="X1250" s="2">
        <v>3.21977356633333</v>
      </c>
      <c r="Y1250" s="2">
        <v>0.98289711183240402</v>
      </c>
      <c r="Z1250" s="7">
        <v>100.896414342629</v>
      </c>
      <c r="AA1250" s="2">
        <v>6.1991250929645902</v>
      </c>
      <c r="AB1250" s="7">
        <v>95.804578951773394</v>
      </c>
      <c r="AC1250" s="2">
        <v>22.8639160670728</v>
      </c>
      <c r="AD1250" s="2">
        <v>95.628680416576003</v>
      </c>
      <c r="AE1250" s="2">
        <v>60.296240592027701</v>
      </c>
      <c r="AF1250" s="2">
        <v>106.013680695413</v>
      </c>
      <c r="AG1250" s="2">
        <v>9.6675457289567301</v>
      </c>
      <c r="AH1250" s="2">
        <v>113.842265365702</v>
      </c>
      <c r="AI1250" s="2">
        <v>45.109674535126402</v>
      </c>
      <c r="AJ1250" s="2">
        <v>88.419643075136705</v>
      </c>
      <c r="AK1250" s="2">
        <v>44.3587227834226</v>
      </c>
      <c r="AL1250" s="2">
        <v>95.628650376509697</v>
      </c>
      <c r="AM1250" s="2">
        <v>29.1924641056486</v>
      </c>
      <c r="AN1250"/>
      <c r="AO1250"/>
    </row>
    <row r="1251" spans="1:41" ht="15.75" hidden="1" customHeight="1" x14ac:dyDescent="0.45">
      <c r="A1251" s="2" t="s">
        <v>217</v>
      </c>
      <c r="B1251" s="2" t="s">
        <v>218</v>
      </c>
      <c r="C1251" s="2">
        <v>0.3</v>
      </c>
      <c r="D1251" s="2"/>
      <c r="E1251" s="2" t="s">
        <v>83</v>
      </c>
      <c r="F1251" s="2" t="s">
        <v>84</v>
      </c>
      <c r="H1251" s="2">
        <v>1.6</v>
      </c>
      <c r="J1251" s="2">
        <v>1.5707704339999999</v>
      </c>
      <c r="K1251" s="2">
        <v>36.791825314444402</v>
      </c>
      <c r="L1251" s="2"/>
      <c r="M1251" s="2">
        <v>4.63147368729134</v>
      </c>
      <c r="N1251" s="2">
        <v>250.833333333333</v>
      </c>
      <c r="O1251" s="2">
        <v>17.931195659458002</v>
      </c>
      <c r="P1251" s="2">
        <v>33.280009407222202</v>
      </c>
      <c r="Q1251" s="2">
        <v>2.0440187563360799</v>
      </c>
      <c r="R1251" s="2">
        <v>3.9645999076666598</v>
      </c>
      <c r="S1251" s="2">
        <v>0.357655689548317</v>
      </c>
      <c r="T1251" s="2">
        <v>4.7732513971666597</v>
      </c>
      <c r="U1251" s="2">
        <v>1.42545020047612</v>
      </c>
      <c r="V1251" s="2">
        <v>0.46418011144444399</v>
      </c>
      <c r="W1251" s="2">
        <v>0.21598251556748699</v>
      </c>
      <c r="X1251" s="2">
        <v>3.8354775376111099</v>
      </c>
      <c r="Y1251" s="2">
        <v>0.52667655481981202</v>
      </c>
      <c r="Z1251" s="7">
        <v>89.940239043824704</v>
      </c>
      <c r="AA1251" s="2">
        <v>6.4295123878534701</v>
      </c>
      <c r="AB1251" s="7">
        <v>92.163388995837707</v>
      </c>
      <c r="AC1251" s="2">
        <v>11.6018247917217</v>
      </c>
      <c r="AD1251" s="2">
        <v>107.81134331381701</v>
      </c>
      <c r="AE1251" s="2">
        <v>32.196020731592498</v>
      </c>
      <c r="AF1251" s="2">
        <v>98.415166579166197</v>
      </c>
      <c r="AG1251" s="2">
        <v>6.04454295472949</v>
      </c>
      <c r="AH1251" s="2">
        <v>106.138560586324</v>
      </c>
      <c r="AI1251" s="2">
        <v>9.5750040251878392</v>
      </c>
      <c r="AJ1251" s="2">
        <v>98.698995699734297</v>
      </c>
      <c r="AK1251" s="2">
        <v>45.924538448831399</v>
      </c>
      <c r="AL1251" s="2">
        <v>113.915321346295</v>
      </c>
      <c r="AM1251" s="2">
        <v>15.642518669325</v>
      </c>
      <c r="AN1251"/>
      <c r="AO1251"/>
    </row>
    <row r="1252" spans="1:41" ht="15.75" hidden="1" customHeight="1" x14ac:dyDescent="0.45">
      <c r="A1252" s="2" t="s">
        <v>217</v>
      </c>
      <c r="B1252" s="2" t="s">
        <v>218</v>
      </c>
      <c r="C1252" s="2">
        <v>1</v>
      </c>
      <c r="D1252" s="2"/>
      <c r="E1252" s="2" t="s">
        <v>83</v>
      </c>
      <c r="F1252" s="2" t="s">
        <v>84</v>
      </c>
      <c r="H1252" s="2">
        <v>1.6</v>
      </c>
      <c r="J1252" s="2">
        <v>1.5707704339999999</v>
      </c>
      <c r="K1252" s="2">
        <v>36.951095782777699</v>
      </c>
      <c r="L1252" s="2"/>
      <c r="M1252" s="2">
        <v>3.54273411582564</v>
      </c>
      <c r="N1252" s="2">
        <v>251.111111111111</v>
      </c>
      <c r="O1252" s="2">
        <v>11.6097819547578</v>
      </c>
      <c r="P1252" s="2">
        <v>33.9603817705555</v>
      </c>
      <c r="Q1252" s="2">
        <v>1.39838396801038</v>
      </c>
      <c r="R1252" s="2">
        <v>3.7107201007111099</v>
      </c>
      <c r="S1252" s="2">
        <v>0.88705294515072097</v>
      </c>
      <c r="T1252" s="2">
        <v>2.8801341195111099</v>
      </c>
      <c r="U1252" s="2">
        <v>0.37074073605216001</v>
      </c>
      <c r="V1252" s="2">
        <v>0.37842784470000002</v>
      </c>
      <c r="W1252" s="2">
        <v>0.167428464201126</v>
      </c>
      <c r="X1252" s="2">
        <v>3.3516148952111098</v>
      </c>
      <c r="Y1252" s="2">
        <v>0.15302170412522001</v>
      </c>
      <c r="Z1252" s="7">
        <v>90.039840637450197</v>
      </c>
      <c r="AA1252" s="2">
        <v>4.1628700236183596</v>
      </c>
      <c r="AB1252" s="7">
        <v>92.562360941456006</v>
      </c>
      <c r="AC1252" s="2">
        <v>8.8745361132565606</v>
      </c>
      <c r="AD1252" s="2">
        <v>65.052330688630207</v>
      </c>
      <c r="AE1252" s="2">
        <v>8.3737589850521097</v>
      </c>
      <c r="AF1252" s="2">
        <v>100.42715397538301</v>
      </c>
      <c r="AG1252" s="2">
        <v>4.1352810171835896</v>
      </c>
      <c r="AH1252" s="2">
        <v>99.341799778231604</v>
      </c>
      <c r="AI1252" s="2">
        <v>23.747799262188</v>
      </c>
      <c r="AJ1252" s="2">
        <v>80.465421278988401</v>
      </c>
      <c r="AK1252" s="2">
        <v>35.600450904234499</v>
      </c>
      <c r="AL1252" s="2">
        <v>99.544394165531799</v>
      </c>
      <c r="AM1252" s="2">
        <v>4.5448099819244998</v>
      </c>
      <c r="AN1252"/>
      <c r="AO1252"/>
    </row>
    <row r="1253" spans="1:41" ht="15.75" hidden="1" customHeight="1" x14ac:dyDescent="0.45">
      <c r="A1253" s="2" t="s">
        <v>217</v>
      </c>
      <c r="B1253" s="2" t="s">
        <v>218</v>
      </c>
      <c r="C1253" s="2">
        <v>3</v>
      </c>
      <c r="D1253" s="2"/>
      <c r="E1253" s="2" t="s">
        <v>83</v>
      </c>
      <c r="F1253" s="2" t="s">
        <v>84</v>
      </c>
      <c r="H1253" s="2">
        <v>1.6</v>
      </c>
      <c r="J1253" s="2">
        <v>1.5707704339999999</v>
      </c>
      <c r="K1253" s="2">
        <v>8.1438291650555499</v>
      </c>
      <c r="L1253" s="2"/>
      <c r="M1253" s="2">
        <v>6.5967942881844897</v>
      </c>
      <c r="N1253" s="2">
        <v>11.1388888888888</v>
      </c>
      <c r="O1253" s="2">
        <v>3.49039687863291</v>
      </c>
      <c r="P1253" s="2">
        <v>2.8935185188888801</v>
      </c>
      <c r="Q1253" s="2">
        <v>2.7850021800486102</v>
      </c>
      <c r="R1253" s="2">
        <v>6.6017316024444401</v>
      </c>
      <c r="S1253" s="2">
        <v>2.6286395053674401</v>
      </c>
      <c r="T1253" s="2">
        <v>9.5083473627222208</v>
      </c>
      <c r="U1253" s="2">
        <v>12.704791221231</v>
      </c>
      <c r="V1253" s="2">
        <v>0</v>
      </c>
      <c r="W1253" s="2">
        <v>0</v>
      </c>
      <c r="X1253" s="2">
        <v>5.8483044741111101</v>
      </c>
      <c r="Y1253" s="2">
        <v>1.77076058249266</v>
      </c>
      <c r="Z1253" s="7">
        <v>3.9940239043824701</v>
      </c>
      <c r="AA1253" s="2">
        <v>1.2515367293902799</v>
      </c>
      <c r="AB1253" s="7">
        <v>20.400262526795299</v>
      </c>
      <c r="AC1253" s="2">
        <v>16.524945770189099</v>
      </c>
      <c r="AD1253" s="2">
        <v>214.76088656842299</v>
      </c>
      <c r="AE1253" s="2">
        <v>286.95756709893101</v>
      </c>
      <c r="AF1253" s="2">
        <v>8.5566714706082401</v>
      </c>
      <c r="AG1253" s="2">
        <v>8.2357685095288602</v>
      </c>
      <c r="AH1253" s="2">
        <v>176.73871411480999</v>
      </c>
      <c r="AI1253" s="2">
        <v>70.372804292439</v>
      </c>
      <c r="AJ1253" s="2">
        <v>0</v>
      </c>
      <c r="AK1253" s="2">
        <v>0</v>
      </c>
      <c r="AL1253" s="2">
        <v>173.69714122072199</v>
      </c>
      <c r="AM1253" s="2">
        <v>52.592345751982201</v>
      </c>
      <c r="AN1253"/>
      <c r="AO1253"/>
    </row>
    <row r="1254" spans="1:41" ht="15.75" hidden="1" customHeight="1" x14ac:dyDescent="0.45">
      <c r="A1254" s="2" t="s">
        <v>217</v>
      </c>
      <c r="B1254" s="2" t="s">
        <v>218</v>
      </c>
      <c r="C1254" s="2">
        <v>10</v>
      </c>
      <c r="D1254" s="2"/>
      <c r="E1254" s="2" t="s">
        <v>83</v>
      </c>
      <c r="F1254" s="2" t="s">
        <v>84</v>
      </c>
      <c r="H1254" s="2">
        <v>1.6</v>
      </c>
      <c r="J1254" s="2">
        <v>1.5707704339999999</v>
      </c>
      <c r="K1254" s="2">
        <v>0</v>
      </c>
      <c r="L1254" s="2"/>
      <c r="M1254" s="2">
        <v>0</v>
      </c>
      <c r="N1254" s="2">
        <v>12.6111111111111</v>
      </c>
      <c r="O1254" s="2">
        <v>1.9531550923607599</v>
      </c>
      <c r="P1254" s="2">
        <v>0</v>
      </c>
      <c r="Q1254" s="2">
        <v>0</v>
      </c>
      <c r="R1254" s="2">
        <v>20.997347881777699</v>
      </c>
      <c r="S1254" s="2">
        <v>5.5919296767622102</v>
      </c>
      <c r="T1254" s="2">
        <v>7.8307991362777702</v>
      </c>
      <c r="U1254" s="2">
        <v>3.1658595041771398</v>
      </c>
      <c r="V1254" s="2">
        <v>0</v>
      </c>
      <c r="W1254" s="2">
        <v>0</v>
      </c>
      <c r="X1254" s="2">
        <v>0.32679738561111099</v>
      </c>
      <c r="Y1254" s="2">
        <v>0.56602967565912199</v>
      </c>
      <c r="Z1254" s="7">
        <v>4.52191235059761</v>
      </c>
      <c r="AA1254" s="2">
        <v>0.70033449526879898</v>
      </c>
      <c r="AB1254" s="7">
        <v>0</v>
      </c>
      <c r="AC1254" s="2">
        <v>0</v>
      </c>
      <c r="AD1254" s="2">
        <v>176.87083789551099</v>
      </c>
      <c r="AE1254" s="2">
        <v>71.505885085112993</v>
      </c>
      <c r="AF1254" s="2">
        <v>0</v>
      </c>
      <c r="AG1254" s="2">
        <v>0</v>
      </c>
      <c r="AH1254" s="2">
        <v>562.13195081615095</v>
      </c>
      <c r="AI1254" s="2">
        <v>149.70473203204</v>
      </c>
      <c r="AJ1254" s="2">
        <v>0</v>
      </c>
      <c r="AK1254" s="2">
        <v>0</v>
      </c>
      <c r="AL1254" s="2">
        <v>9.7060219573611501</v>
      </c>
      <c r="AM1254" s="2">
        <v>16.811323169528599</v>
      </c>
      <c r="AN1254"/>
      <c r="AO1254"/>
    </row>
    <row r="1255" spans="1:41" ht="15.75" hidden="1" customHeight="1" x14ac:dyDescent="0.45">
      <c r="A1255" s="2" t="s">
        <v>219</v>
      </c>
      <c r="B1255" s="2" t="s">
        <v>82</v>
      </c>
      <c r="C1255" s="2">
        <v>3.0000000000000001E-3</v>
      </c>
      <c r="D1255" s="2"/>
      <c r="E1255" s="2" t="s">
        <v>83</v>
      </c>
      <c r="F1255" s="2" t="s">
        <v>84</v>
      </c>
      <c r="H1255" s="2">
        <v>2.6</v>
      </c>
      <c r="J1255" s="2">
        <v>2.646507261</v>
      </c>
      <c r="K1255" s="2">
        <v>38.331881036666601</v>
      </c>
      <c r="L1255" s="2"/>
      <c r="M1255" s="2">
        <v>2.1864814890401099</v>
      </c>
      <c r="N1255" s="2">
        <v>300.83333333333297</v>
      </c>
      <c r="O1255" s="2">
        <v>17.862903832618301</v>
      </c>
      <c r="P1255" s="2">
        <v>34.11304183</v>
      </c>
      <c r="Q1255" s="2">
        <v>3.5864539610755002</v>
      </c>
      <c r="R1255" s="2">
        <v>5.2188857123888797</v>
      </c>
      <c r="S1255" s="2">
        <v>3.6233344555411202</v>
      </c>
      <c r="T1255" s="2">
        <v>4.6524073329444402</v>
      </c>
      <c r="U1255" s="2">
        <v>1.1023138937036501</v>
      </c>
      <c r="V1255" s="2">
        <v>0.41810452083333299</v>
      </c>
      <c r="W1255" s="2">
        <v>0.20510991570055001</v>
      </c>
      <c r="X1255" s="2">
        <v>3.2443045038333298</v>
      </c>
      <c r="Y1255" s="2">
        <v>0.44196295399941099</v>
      </c>
      <c r="Z1255" s="7">
        <v>107.868525896414</v>
      </c>
      <c r="AA1255" s="2">
        <v>6.4050252786281003</v>
      </c>
      <c r="AB1255" s="7">
        <v>96.021222995356794</v>
      </c>
      <c r="AC1255" s="2">
        <v>5.4771282012879201</v>
      </c>
      <c r="AD1255" s="2">
        <v>105.08189124619</v>
      </c>
      <c r="AE1255" s="2">
        <v>24.897482186716299</v>
      </c>
      <c r="AF1255" s="2">
        <v>100.878598114006</v>
      </c>
      <c r="AG1255" s="2">
        <v>10.605810223453799</v>
      </c>
      <c r="AH1255" s="2">
        <v>139.717759743252</v>
      </c>
      <c r="AI1255" s="2">
        <v>97.002348935710501</v>
      </c>
      <c r="AJ1255" s="2">
        <v>88.901905287055001</v>
      </c>
      <c r="AK1255" s="2">
        <v>43.612688671010297</v>
      </c>
      <c r="AL1255" s="2">
        <v>96.357229699641096</v>
      </c>
      <c r="AM1255" s="2">
        <v>13.1264885361207</v>
      </c>
      <c r="AN1255"/>
      <c r="AO1255"/>
    </row>
    <row r="1256" spans="1:41" ht="15.75" hidden="1" customHeight="1" x14ac:dyDescent="0.45">
      <c r="A1256" s="2" t="s">
        <v>219</v>
      </c>
      <c r="B1256" s="2" t="s">
        <v>82</v>
      </c>
      <c r="C1256" s="2">
        <v>0.01</v>
      </c>
      <c r="D1256" s="2"/>
      <c r="E1256" s="2" t="s">
        <v>83</v>
      </c>
      <c r="F1256" s="2" t="s">
        <v>84</v>
      </c>
      <c r="H1256" s="2">
        <v>2.6</v>
      </c>
      <c r="J1256" s="2">
        <v>2.646507261</v>
      </c>
      <c r="K1256" s="2">
        <v>40.975034020555498</v>
      </c>
      <c r="L1256" s="2"/>
      <c r="M1256" s="2">
        <v>1.4902241797831499</v>
      </c>
      <c r="N1256" s="2">
        <v>276.77777777777698</v>
      </c>
      <c r="O1256" s="2">
        <v>30.649149586412999</v>
      </c>
      <c r="P1256" s="2">
        <v>31.5833785988888</v>
      </c>
      <c r="Q1256" s="2">
        <v>0.67869223538352297</v>
      </c>
      <c r="R1256" s="2">
        <v>3.3030195648333298</v>
      </c>
      <c r="S1256" s="2">
        <v>1.0257964363810701</v>
      </c>
      <c r="T1256" s="2">
        <v>3.95044194322222</v>
      </c>
      <c r="U1256" s="2">
        <v>1.67814637966918</v>
      </c>
      <c r="V1256" s="2">
        <v>0.365311104</v>
      </c>
      <c r="W1256" s="2">
        <v>1.48247606663564E-2</v>
      </c>
      <c r="X1256" s="2">
        <v>3.4325476244444402</v>
      </c>
      <c r="Y1256" s="2">
        <v>0.21827924662419601</v>
      </c>
      <c r="Z1256" s="7">
        <v>99.243027888446207</v>
      </c>
      <c r="AA1256" s="2">
        <v>10.989734911462801</v>
      </c>
      <c r="AB1256" s="7">
        <v>102.64231163522901</v>
      </c>
      <c r="AC1256" s="2">
        <v>3.7330061664115601</v>
      </c>
      <c r="AD1256" s="2">
        <v>89.226905759634903</v>
      </c>
      <c r="AE1256" s="2">
        <v>37.903558898395403</v>
      </c>
      <c r="AF1256" s="2">
        <v>93.397914282679906</v>
      </c>
      <c r="AG1256" s="2">
        <v>2.0070189459369798</v>
      </c>
      <c r="AH1256" s="2">
        <v>88.427016688856</v>
      </c>
      <c r="AI1256" s="2">
        <v>27.4621802319888</v>
      </c>
      <c r="AJ1256" s="2">
        <v>77.676398005425</v>
      </c>
      <c r="AK1256" s="2">
        <v>3.1522009521371399</v>
      </c>
      <c r="AL1256" s="2">
        <v>101.948130797448</v>
      </c>
      <c r="AM1256" s="2">
        <v>6.4829868715408399</v>
      </c>
      <c r="AN1256"/>
      <c r="AO1256"/>
    </row>
    <row r="1257" spans="1:41" ht="15.75" hidden="1" customHeight="1" x14ac:dyDescent="0.45">
      <c r="A1257" s="2" t="s">
        <v>219</v>
      </c>
      <c r="B1257" s="2" t="s">
        <v>82</v>
      </c>
      <c r="C1257" s="2">
        <v>0.03</v>
      </c>
      <c r="D1257" s="2"/>
      <c r="E1257" s="2" t="s">
        <v>83</v>
      </c>
      <c r="F1257" s="2" t="s">
        <v>84</v>
      </c>
      <c r="H1257" s="2">
        <v>2.6</v>
      </c>
      <c r="J1257" s="2">
        <v>2.646507261</v>
      </c>
      <c r="K1257" s="2">
        <v>39.976858033333301</v>
      </c>
      <c r="L1257" s="2"/>
      <c r="M1257" s="2">
        <v>3.41187420390373</v>
      </c>
      <c r="N1257" s="2">
        <v>282.944444444444</v>
      </c>
      <c r="O1257" s="2">
        <v>36.712219178864899</v>
      </c>
      <c r="P1257" s="2">
        <v>34.044187287777703</v>
      </c>
      <c r="Q1257" s="2">
        <v>2.49337922109284</v>
      </c>
      <c r="R1257" s="2">
        <v>3.1930451523333301</v>
      </c>
      <c r="S1257" s="2">
        <v>0.45480255976322598</v>
      </c>
      <c r="T1257" s="2">
        <v>3.0319373141666599</v>
      </c>
      <c r="U1257" s="2">
        <v>0.87707911937653604</v>
      </c>
      <c r="V1257" s="2">
        <v>0.54353244755555497</v>
      </c>
      <c r="W1257" s="2">
        <v>0.39249161583277697</v>
      </c>
      <c r="X1257" s="2">
        <v>3.1907904708333299</v>
      </c>
      <c r="Y1257" s="2">
        <v>0.55399167808359995</v>
      </c>
      <c r="Z1257" s="7">
        <v>101.45418326693201</v>
      </c>
      <c r="AA1257" s="2">
        <v>13.163743928676601</v>
      </c>
      <c r="AB1257" s="7">
        <v>100.141884406887</v>
      </c>
      <c r="AC1257" s="2">
        <v>8.5467325084246699</v>
      </c>
      <c r="AD1257" s="2">
        <v>68.481043105675496</v>
      </c>
      <c r="AE1257" s="2">
        <v>19.810202770508401</v>
      </c>
      <c r="AF1257" s="2">
        <v>100.67498244913</v>
      </c>
      <c r="AG1257" s="2">
        <v>7.3733852772178503</v>
      </c>
      <c r="AH1257" s="2">
        <v>85.482829099711196</v>
      </c>
      <c r="AI1257" s="2">
        <v>12.175778179002799</v>
      </c>
      <c r="AJ1257" s="2">
        <v>115.571747649882</v>
      </c>
      <c r="AK1257" s="2">
        <v>83.455812405908006</v>
      </c>
      <c r="AL1257" s="2">
        <v>94.767840058858994</v>
      </c>
      <c r="AM1257" s="2">
        <v>16.453789499018399</v>
      </c>
      <c r="AN1257"/>
      <c r="AO1257"/>
    </row>
    <row r="1258" spans="1:41" ht="15.75" hidden="1" customHeight="1" x14ac:dyDescent="0.45">
      <c r="A1258" s="2" t="s">
        <v>219</v>
      </c>
      <c r="B1258" s="2" t="s">
        <v>82</v>
      </c>
      <c r="C1258" s="2">
        <v>0.1</v>
      </c>
      <c r="D1258" s="2"/>
      <c r="E1258" s="2" t="s">
        <v>83</v>
      </c>
      <c r="F1258" s="2" t="s">
        <v>84</v>
      </c>
      <c r="H1258" s="2">
        <v>2.6</v>
      </c>
      <c r="J1258" s="2">
        <v>2.646507261</v>
      </c>
      <c r="K1258" s="2">
        <v>31.813936934444399</v>
      </c>
      <c r="L1258" s="2"/>
      <c r="M1258" s="2">
        <v>1.2740649272346201</v>
      </c>
      <c r="N1258" s="2">
        <v>232.444444444444</v>
      </c>
      <c r="O1258" s="2">
        <v>13.4477727744262</v>
      </c>
      <c r="P1258" s="2">
        <v>36.087740797222203</v>
      </c>
      <c r="Q1258" s="2">
        <v>3.20939142681513</v>
      </c>
      <c r="R1258" s="2">
        <v>4.2919309731666599</v>
      </c>
      <c r="S1258" s="2">
        <v>0.66097029158876497</v>
      </c>
      <c r="T1258" s="2">
        <v>4.8843845020555499</v>
      </c>
      <c r="U1258" s="2">
        <v>0.90831460431133804</v>
      </c>
      <c r="V1258" s="2">
        <v>0.367082986611111</v>
      </c>
      <c r="W1258" s="2">
        <v>0.12745828602148401</v>
      </c>
      <c r="X1258" s="2">
        <v>4.0273192886111104</v>
      </c>
      <c r="Y1258" s="2">
        <v>0.91077467879901697</v>
      </c>
      <c r="Z1258" s="7">
        <v>83.346613545816695</v>
      </c>
      <c r="AA1258" s="2">
        <v>4.8219105565671603</v>
      </c>
      <c r="AB1258" s="7">
        <v>79.693796655071594</v>
      </c>
      <c r="AC1258" s="2">
        <v>3.1915280226278502</v>
      </c>
      <c r="AD1258" s="2">
        <v>110.32145818684</v>
      </c>
      <c r="AE1258" s="2">
        <v>20.515705018279998</v>
      </c>
      <c r="AF1258" s="2">
        <v>106.718149582423</v>
      </c>
      <c r="AG1258" s="2">
        <v>9.4907663042671899</v>
      </c>
      <c r="AH1258" s="2">
        <v>114.901726841807</v>
      </c>
      <c r="AI1258" s="2">
        <v>17.695211868388299</v>
      </c>
      <c r="AJ1258" s="2">
        <v>78.053154850241697</v>
      </c>
      <c r="AK1258" s="2">
        <v>27.1015593166697</v>
      </c>
      <c r="AL1258" s="2">
        <v>119.613103303952</v>
      </c>
      <c r="AM1258" s="2">
        <v>27.050397034544801</v>
      </c>
      <c r="AN1258"/>
      <c r="AO1258"/>
    </row>
    <row r="1259" spans="1:41" ht="15.75" hidden="1" customHeight="1" x14ac:dyDescent="0.45">
      <c r="A1259" s="2" t="s">
        <v>219</v>
      </c>
      <c r="B1259" s="2" t="s">
        <v>82</v>
      </c>
      <c r="C1259" s="2">
        <v>0.3</v>
      </c>
      <c r="D1259" s="2"/>
      <c r="E1259" s="2" t="s">
        <v>83</v>
      </c>
      <c r="F1259" s="2" t="s">
        <v>84</v>
      </c>
      <c r="H1259" s="2">
        <v>2.6</v>
      </c>
      <c r="J1259" s="2">
        <v>2.646507261</v>
      </c>
      <c r="K1259" s="2">
        <v>20.390193416666602</v>
      </c>
      <c r="L1259" s="2"/>
      <c r="M1259" s="2">
        <v>1.51615941231998</v>
      </c>
      <c r="N1259" s="2">
        <v>180.444444444444</v>
      </c>
      <c r="O1259" s="2">
        <v>4.7414640651893301</v>
      </c>
      <c r="P1259" s="2">
        <v>36.859172786111102</v>
      </c>
      <c r="Q1259" s="2">
        <v>0.50977831127966999</v>
      </c>
      <c r="R1259" s="2">
        <v>1.87900385133333</v>
      </c>
      <c r="S1259" s="2">
        <v>0.45354943852700302</v>
      </c>
      <c r="T1259" s="2">
        <v>3.7951453152777699</v>
      </c>
      <c r="U1259" s="2">
        <v>0.14339644056804601</v>
      </c>
      <c r="V1259" s="2">
        <v>0.24968689455555501</v>
      </c>
      <c r="W1259" s="2">
        <v>7.4347748305946995E-2</v>
      </c>
      <c r="X1259" s="2">
        <v>3.9724823007777701</v>
      </c>
      <c r="Y1259" s="2">
        <v>0.18308571739468699</v>
      </c>
      <c r="Z1259" s="7">
        <v>64.701195219123505</v>
      </c>
      <c r="AA1259" s="2">
        <v>1.7001265572391999</v>
      </c>
      <c r="AB1259" s="7">
        <v>51.077360568540001</v>
      </c>
      <c r="AC1259" s="2">
        <v>3.7979738298683299</v>
      </c>
      <c r="AD1259" s="2">
        <v>85.719288691584595</v>
      </c>
      <c r="AE1259" s="2">
        <v>3.2388327363687099</v>
      </c>
      <c r="AF1259" s="2">
        <v>108.99941719752501</v>
      </c>
      <c r="AG1259" s="2">
        <v>1.50750911182577</v>
      </c>
      <c r="AH1259" s="2">
        <v>50.303881541997796</v>
      </c>
      <c r="AI1259" s="2">
        <v>12.142230157171999</v>
      </c>
      <c r="AJ1259" s="2">
        <v>53.091128043662998</v>
      </c>
      <c r="AK1259" s="2">
        <v>15.8086223632006</v>
      </c>
      <c r="AL1259" s="2">
        <v>117.984421339467</v>
      </c>
      <c r="AM1259" s="2">
        <v>5.4377240190859997</v>
      </c>
      <c r="AN1259"/>
      <c r="AO1259"/>
    </row>
    <row r="1260" spans="1:41" ht="15.75" hidden="1" customHeight="1" x14ac:dyDescent="0.45">
      <c r="A1260" s="2" t="s">
        <v>219</v>
      </c>
      <c r="B1260" s="2" t="s">
        <v>82</v>
      </c>
      <c r="C1260" s="2">
        <v>1</v>
      </c>
      <c r="D1260" s="2"/>
      <c r="E1260" s="2" t="s">
        <v>83</v>
      </c>
      <c r="F1260" s="2" t="s">
        <v>84</v>
      </c>
      <c r="H1260" s="2">
        <v>2.6</v>
      </c>
      <c r="J1260" s="2">
        <v>2.646507261</v>
      </c>
      <c r="K1260" s="2">
        <v>10.189470118499999</v>
      </c>
      <c r="L1260" s="2"/>
      <c r="M1260" s="2">
        <v>1.00664161354499</v>
      </c>
      <c r="N1260" s="2">
        <v>140.5</v>
      </c>
      <c r="O1260" s="2">
        <v>10.771619088037999</v>
      </c>
      <c r="P1260" s="2">
        <v>34.151587598888803</v>
      </c>
      <c r="Q1260" s="2">
        <v>2.7687028623206702</v>
      </c>
      <c r="R1260" s="2">
        <v>2.6610477886111101</v>
      </c>
      <c r="S1260" s="2">
        <v>1.8368741034960301</v>
      </c>
      <c r="T1260" s="2">
        <v>6.2012979349444404</v>
      </c>
      <c r="U1260" s="2">
        <v>2.6720799899183199</v>
      </c>
      <c r="V1260" s="2">
        <v>0.455204474333333</v>
      </c>
      <c r="W1260" s="2">
        <v>0.31069992202168001</v>
      </c>
      <c r="X1260" s="2">
        <v>6.4834598485555501</v>
      </c>
      <c r="Y1260" s="2">
        <v>1.2719647914716401</v>
      </c>
      <c r="Z1260" s="7">
        <v>50.378486055776897</v>
      </c>
      <c r="AA1260" s="2">
        <v>3.8623335375435</v>
      </c>
      <c r="AB1260" s="7">
        <v>25.524585697140999</v>
      </c>
      <c r="AC1260" s="2">
        <v>2.5216335915826602</v>
      </c>
      <c r="AD1260" s="2">
        <v>140.06600638139801</v>
      </c>
      <c r="AE1260" s="2">
        <v>60.353102986795797</v>
      </c>
      <c r="AF1260" s="2">
        <v>100.992585109012</v>
      </c>
      <c r="AG1260" s="2">
        <v>8.1875684008782592</v>
      </c>
      <c r="AH1260" s="2">
        <v>71.240424888379806</v>
      </c>
      <c r="AI1260" s="2">
        <v>49.176002084434302</v>
      </c>
      <c r="AJ1260" s="2">
        <v>96.790498659920999</v>
      </c>
      <c r="AK1260" s="2">
        <v>66.0643778383767</v>
      </c>
      <c r="AL1260" s="2">
        <v>192.56152717401</v>
      </c>
      <c r="AM1260" s="2">
        <v>37.777897677876297</v>
      </c>
      <c r="AN1260"/>
      <c r="AO1260"/>
    </row>
    <row r="1261" spans="1:41" ht="15.75" hidden="1" customHeight="1" x14ac:dyDescent="0.45">
      <c r="A1261" s="2" t="s">
        <v>219</v>
      </c>
      <c r="B1261" s="2" t="s">
        <v>82</v>
      </c>
      <c r="C1261" s="2">
        <v>3</v>
      </c>
      <c r="D1261" s="2"/>
      <c r="E1261" s="2" t="s">
        <v>83</v>
      </c>
      <c r="F1261" s="2" t="s">
        <v>84</v>
      </c>
      <c r="H1261" s="2">
        <v>2.6</v>
      </c>
      <c r="J1261" s="2">
        <v>2.646507261</v>
      </c>
      <c r="K1261" s="2">
        <v>10.191047687833301</v>
      </c>
      <c r="L1261" s="2"/>
      <c r="M1261" s="2">
        <v>1.9949950196394699</v>
      </c>
      <c r="N1261" s="2">
        <v>128.85555555555499</v>
      </c>
      <c r="O1261" s="2">
        <v>4.8472596305462199</v>
      </c>
      <c r="P1261" s="2">
        <v>29.5412477703333</v>
      </c>
      <c r="Q1261" s="2">
        <v>5.1432420178900404</v>
      </c>
      <c r="R1261" s="2">
        <v>2.31398745281111</v>
      </c>
      <c r="S1261" s="2">
        <v>0.43326576596306399</v>
      </c>
      <c r="T1261" s="2">
        <v>6.4644764481444401</v>
      </c>
      <c r="U1261" s="2">
        <v>3.4086116263812198</v>
      </c>
      <c r="V1261" s="2">
        <v>0.25907416835555502</v>
      </c>
      <c r="W1261" s="2">
        <v>0.22639820177432901</v>
      </c>
      <c r="X1261" s="2">
        <v>6.3500985667444398</v>
      </c>
      <c r="Y1261" s="2">
        <v>1.6595084559791899</v>
      </c>
      <c r="Z1261" s="7">
        <v>46.203187250996002</v>
      </c>
      <c r="AA1261" s="2">
        <v>1.7380612221081999</v>
      </c>
      <c r="AB1261" s="7">
        <v>25.528537502600301</v>
      </c>
      <c r="AC1261" s="2">
        <v>4.9974552898196798</v>
      </c>
      <c r="AD1261" s="2">
        <v>146.01030444545299</v>
      </c>
      <c r="AE1261" s="2">
        <v>76.988821182431593</v>
      </c>
      <c r="AF1261" s="2">
        <v>87.358954280909899</v>
      </c>
      <c r="AG1261" s="2">
        <v>15.209521540512799</v>
      </c>
      <c r="AH1261" s="2">
        <v>61.949075108750101</v>
      </c>
      <c r="AI1261" s="2">
        <v>11.5992044144791</v>
      </c>
      <c r="AJ1261" s="2">
        <v>55.087151728381599</v>
      </c>
      <c r="AK1261" s="2">
        <v>48.139234302429799</v>
      </c>
      <c r="AL1261" s="2">
        <v>188.60064013355901</v>
      </c>
      <c r="AM1261" s="2">
        <v>49.288110068689797</v>
      </c>
      <c r="AN1261"/>
      <c r="AO1261"/>
    </row>
    <row r="1262" spans="1:41" ht="15.75" hidden="1" customHeight="1" x14ac:dyDescent="0.45">
      <c r="A1262" s="2" t="s">
        <v>219</v>
      </c>
      <c r="B1262" s="2" t="s">
        <v>82</v>
      </c>
      <c r="C1262" s="2">
        <v>10</v>
      </c>
      <c r="D1262" s="2"/>
      <c r="E1262" s="2" t="s">
        <v>83</v>
      </c>
      <c r="F1262" s="2" t="s">
        <v>84</v>
      </c>
      <c r="H1262" s="2">
        <v>2.6</v>
      </c>
      <c r="J1262" s="2">
        <v>2.646507261</v>
      </c>
      <c r="K1262" s="2">
        <v>4.4184341281666599</v>
      </c>
      <c r="L1262" s="2"/>
      <c r="M1262" s="2">
        <v>0.70763266410932701</v>
      </c>
      <c r="N1262" s="2">
        <v>101.777777777777</v>
      </c>
      <c r="O1262" s="2">
        <v>8.2062532615432602</v>
      </c>
      <c r="P1262" s="2">
        <v>28.7449006455555</v>
      </c>
      <c r="Q1262" s="2">
        <v>4.0348449248316003</v>
      </c>
      <c r="R1262" s="2">
        <v>8.6252003947222207</v>
      </c>
      <c r="S1262" s="2">
        <v>6.3721986768094396</v>
      </c>
      <c r="T1262" s="2">
        <v>4.87666404161111</v>
      </c>
      <c r="U1262" s="2">
        <v>2.2130056396995799</v>
      </c>
      <c r="V1262" s="2">
        <v>0.238408010611111</v>
      </c>
      <c r="W1262" s="2">
        <v>8.7240808935191497E-2</v>
      </c>
      <c r="X1262" s="2">
        <v>6.0601699278333303</v>
      </c>
      <c r="Y1262" s="2">
        <v>0.75816741862950598</v>
      </c>
      <c r="Z1262" s="7">
        <v>47.776244444685901</v>
      </c>
      <c r="AA1262" s="2">
        <v>3.8521568298978401</v>
      </c>
      <c r="AB1262" s="7">
        <v>23.175237946547401</v>
      </c>
      <c r="AC1262" s="2">
        <v>3.7116215595337101</v>
      </c>
      <c r="AD1262" s="2">
        <v>124.95178628472399</v>
      </c>
      <c r="AE1262" s="2">
        <v>56.7024928063895</v>
      </c>
      <c r="AF1262" s="2">
        <v>83.002351127634896</v>
      </c>
      <c r="AG1262" s="2">
        <v>11.650818325169899</v>
      </c>
      <c r="AH1262" s="2">
        <v>289.34731219452402</v>
      </c>
      <c r="AI1262" s="2">
        <v>213.76646054885001</v>
      </c>
      <c r="AJ1262" s="2">
        <v>76.634762295651797</v>
      </c>
      <c r="AK1262" s="2">
        <v>28.0430118018743</v>
      </c>
      <c r="AL1262" s="2">
        <v>168.657444668235</v>
      </c>
      <c r="AM1262" s="2">
        <v>21.100164018417502</v>
      </c>
      <c r="AN1262"/>
      <c r="AO1262"/>
    </row>
    <row r="1263" spans="1:41" ht="15.75" hidden="1" customHeight="1" x14ac:dyDescent="0.45">
      <c r="A1263" s="2" t="s">
        <v>220</v>
      </c>
      <c r="B1263" s="2" t="s">
        <v>221</v>
      </c>
      <c r="C1263" s="2">
        <v>3.0000000000000001E-3</v>
      </c>
      <c r="D1263" s="2"/>
      <c r="E1263" s="2" t="s">
        <v>109</v>
      </c>
      <c r="F1263" s="2" t="s">
        <v>84</v>
      </c>
      <c r="H1263" s="2">
        <v>0.9</v>
      </c>
      <c r="J1263" s="2">
        <v>0.9</v>
      </c>
      <c r="K1263" s="2">
        <v>40.3333333333333</v>
      </c>
      <c r="L1263" s="2"/>
      <c r="M1263" s="2">
        <v>1.52752523165184</v>
      </c>
      <c r="N1263" s="2">
        <v>174.111111111111</v>
      </c>
      <c r="O1263" s="2">
        <v>6.4125166955249897</v>
      </c>
      <c r="P1263" s="2">
        <v>23</v>
      </c>
      <c r="Q1263" s="2">
        <v>1.5898986690282899</v>
      </c>
      <c r="R1263" s="2">
        <v>2.5</v>
      </c>
      <c r="S1263" s="2">
        <v>0.72648315725677803</v>
      </c>
      <c r="T1263" s="2">
        <v>3.4444444444444402</v>
      </c>
      <c r="U1263" s="2">
        <v>9.6225044864938894E-2</v>
      </c>
      <c r="V1263" s="2">
        <v>0.44444444444444398</v>
      </c>
      <c r="W1263" s="2">
        <v>0.34694433324435497</v>
      </c>
      <c r="X1263" s="2">
        <v>2.2777777777777701</v>
      </c>
      <c r="Y1263" s="2">
        <v>0.41943524640392998</v>
      </c>
      <c r="Z1263" s="7">
        <v>121.273096643126</v>
      </c>
      <c r="AA1263" s="2">
        <v>4.4664912651426798</v>
      </c>
      <c r="AB1263" s="7">
        <v>113.4375</v>
      </c>
      <c r="AC1263" s="2">
        <v>4.2961647140208203</v>
      </c>
      <c r="AD1263" s="2">
        <v>70.454545454545396</v>
      </c>
      <c r="AE1263" s="2">
        <v>1.9682395540555699</v>
      </c>
      <c r="AF1263" s="2">
        <v>137.08609271523099</v>
      </c>
      <c r="AG1263" s="2">
        <v>9.4762172326189695</v>
      </c>
      <c r="AH1263" s="2">
        <v>107.142857142857</v>
      </c>
      <c r="AI1263" s="2">
        <v>31.134992453861901</v>
      </c>
      <c r="AJ1263" s="2">
        <v>72.727272727272705</v>
      </c>
      <c r="AK1263" s="2">
        <v>56.772709076349003</v>
      </c>
      <c r="AL1263" s="2">
        <v>101.234567901234</v>
      </c>
      <c r="AM1263" s="2">
        <v>18.641566506841301</v>
      </c>
      <c r="AN1263"/>
      <c r="AO1263"/>
    </row>
    <row r="1264" spans="1:41" ht="15.75" hidden="1" customHeight="1" x14ac:dyDescent="0.45">
      <c r="A1264" s="2" t="s">
        <v>220</v>
      </c>
      <c r="B1264" s="2" t="s">
        <v>221</v>
      </c>
      <c r="C1264" s="2">
        <v>0.01</v>
      </c>
      <c r="D1264" s="2"/>
      <c r="E1264" s="2" t="s">
        <v>109</v>
      </c>
      <c r="F1264" s="2" t="s">
        <v>84</v>
      </c>
      <c r="H1264" s="2">
        <v>0.9</v>
      </c>
      <c r="J1264" s="2">
        <v>0.9</v>
      </c>
      <c r="K1264" s="2">
        <v>38.4444444444444</v>
      </c>
      <c r="L1264" s="2"/>
      <c r="M1264" s="2">
        <v>1.3977495139342599</v>
      </c>
      <c r="N1264" s="2">
        <v>185.944444444444</v>
      </c>
      <c r="O1264" s="2">
        <v>12.067326562679799</v>
      </c>
      <c r="P1264" s="2">
        <v>19.3888888888888</v>
      </c>
      <c r="Q1264" s="2">
        <v>0.58531409738062501</v>
      </c>
      <c r="R1264" s="2">
        <v>2</v>
      </c>
      <c r="S1264" s="2">
        <v>0.57735026918962695</v>
      </c>
      <c r="T1264" s="2">
        <v>5.1111111111111098</v>
      </c>
      <c r="U1264" s="2">
        <v>0.34694433324434998</v>
      </c>
      <c r="V1264" s="2">
        <v>0.5</v>
      </c>
      <c r="W1264" s="2">
        <v>0.44095855184409799</v>
      </c>
      <c r="X1264" s="2">
        <v>2.1111111111111098</v>
      </c>
      <c r="Y1264" s="2">
        <v>0.25458753860865702</v>
      </c>
      <c r="Z1264" s="7">
        <v>129.51533326884001</v>
      </c>
      <c r="AA1264" s="2">
        <v>8.4052192368476906</v>
      </c>
      <c r="AB1264" s="7">
        <v>108.125</v>
      </c>
      <c r="AC1264" s="2">
        <v>3.9311705079401098</v>
      </c>
      <c r="AD1264" s="2">
        <v>104.54545454545401</v>
      </c>
      <c r="AE1264" s="2">
        <v>7.0965886345435196</v>
      </c>
      <c r="AF1264" s="2">
        <v>115.562913907284</v>
      </c>
      <c r="AG1264" s="2">
        <v>3.4886270704805402</v>
      </c>
      <c r="AH1264" s="2">
        <v>85.714285714285694</v>
      </c>
      <c r="AI1264" s="2">
        <v>24.743582965269699</v>
      </c>
      <c r="AJ1264" s="2">
        <v>81.818181818181799</v>
      </c>
      <c r="AK1264" s="2">
        <v>72.156853938125096</v>
      </c>
      <c r="AL1264" s="2">
        <v>93.827160493827094</v>
      </c>
      <c r="AM1264" s="2">
        <v>11.3150017159403</v>
      </c>
      <c r="AN1264"/>
      <c r="AO1264"/>
    </row>
    <row r="1265" spans="1:41" ht="15.75" hidden="1" customHeight="1" x14ac:dyDescent="0.45">
      <c r="A1265" s="2" t="s">
        <v>220</v>
      </c>
      <c r="B1265" s="2" t="s">
        <v>221</v>
      </c>
      <c r="C1265" s="2">
        <v>0.03</v>
      </c>
      <c r="D1265" s="2"/>
      <c r="E1265" s="2" t="s">
        <v>109</v>
      </c>
      <c r="F1265" s="2" t="s">
        <v>84</v>
      </c>
      <c r="H1265" s="2">
        <v>0.9</v>
      </c>
      <c r="J1265" s="2">
        <v>0.9</v>
      </c>
      <c r="K1265" s="2">
        <v>43.5555555555555</v>
      </c>
      <c r="L1265" s="2"/>
      <c r="M1265" s="2">
        <v>1.1706281947614401</v>
      </c>
      <c r="N1265" s="2">
        <v>192.833333333333</v>
      </c>
      <c r="O1265" s="2">
        <v>11.5662343819321</v>
      </c>
      <c r="P1265" s="2">
        <v>22.6666666666666</v>
      </c>
      <c r="Q1265" s="2">
        <v>2.4888640871780598</v>
      </c>
      <c r="R1265" s="2">
        <v>2.6111111111111098</v>
      </c>
      <c r="S1265" s="2">
        <v>0.25458753860865702</v>
      </c>
      <c r="T1265" s="2">
        <v>3.7222222222222201</v>
      </c>
      <c r="U1265" s="2">
        <v>1.3471506281091199</v>
      </c>
      <c r="V1265" s="2">
        <v>0.66666666666666596</v>
      </c>
      <c r="W1265" s="2">
        <v>0.28867513459481198</v>
      </c>
      <c r="X1265" s="2">
        <v>2.2777777777777701</v>
      </c>
      <c r="Y1265" s="2">
        <v>0.50917507721731403</v>
      </c>
      <c r="Z1265" s="7">
        <v>134.313630647189</v>
      </c>
      <c r="AA1265" s="2">
        <v>8.0561949840293199</v>
      </c>
      <c r="AB1265" s="7">
        <v>122.5</v>
      </c>
      <c r="AC1265" s="2">
        <v>3.2923917977665602</v>
      </c>
      <c r="AD1265" s="2">
        <v>76.136363636363598</v>
      </c>
      <c r="AE1265" s="2">
        <v>27.5553537567775</v>
      </c>
      <c r="AF1265" s="2">
        <v>135.099337748344</v>
      </c>
      <c r="AG1265" s="2">
        <v>14.8342892613261</v>
      </c>
      <c r="AH1265" s="2">
        <v>111.904761904761</v>
      </c>
      <c r="AI1265" s="2">
        <v>10.910894511799601</v>
      </c>
      <c r="AJ1265" s="2">
        <v>109.09090909090899</v>
      </c>
      <c r="AK1265" s="2">
        <v>47.237749297332897</v>
      </c>
      <c r="AL1265" s="2">
        <v>101.234567901234</v>
      </c>
      <c r="AM1265" s="2">
        <v>22.630003431880599</v>
      </c>
      <c r="AN1265"/>
      <c r="AO1265"/>
    </row>
    <row r="1266" spans="1:41" ht="15.75" hidden="1" customHeight="1" x14ac:dyDescent="0.45">
      <c r="A1266" s="2" t="s">
        <v>220</v>
      </c>
      <c r="B1266" s="2" t="s">
        <v>221</v>
      </c>
      <c r="C1266" s="2">
        <v>0.1</v>
      </c>
      <c r="D1266" s="2"/>
      <c r="E1266" s="2" t="s">
        <v>109</v>
      </c>
      <c r="F1266" s="2" t="s">
        <v>84</v>
      </c>
      <c r="H1266" s="2">
        <v>0.9</v>
      </c>
      <c r="J1266" s="2">
        <v>0.9</v>
      </c>
      <c r="K1266" s="2">
        <v>44.8333333333333</v>
      </c>
      <c r="L1266" s="2"/>
      <c r="M1266" s="2">
        <v>0.99999999999977196</v>
      </c>
      <c r="N1266" s="2">
        <v>231.333333333333</v>
      </c>
      <c r="O1266" s="2">
        <v>18.454899981666799</v>
      </c>
      <c r="P1266" s="2">
        <v>20.5555555555555</v>
      </c>
      <c r="Q1266" s="2">
        <v>1.50308325094095</v>
      </c>
      <c r="R1266" s="2">
        <v>2</v>
      </c>
      <c r="S1266" s="2">
        <v>0.44095855184409699</v>
      </c>
      <c r="T1266" s="2">
        <v>4.5</v>
      </c>
      <c r="U1266" s="2">
        <v>0.66666666666666796</v>
      </c>
      <c r="V1266" s="2">
        <v>0.83333333333333304</v>
      </c>
      <c r="W1266" s="2">
        <v>0.16666666666666699</v>
      </c>
      <c r="X1266" s="2">
        <v>2.2222222222222201</v>
      </c>
      <c r="Y1266" s="2">
        <v>0.25458753860865901</v>
      </c>
      <c r="Z1266" s="7">
        <v>161.12992164070801</v>
      </c>
      <c r="AA1266" s="2">
        <v>12.854336835445601</v>
      </c>
      <c r="AB1266" s="7">
        <v>126.09375</v>
      </c>
      <c r="AC1266" s="2">
        <v>2.8124999999993601</v>
      </c>
      <c r="AD1266" s="2">
        <v>92.045454545454504</v>
      </c>
      <c r="AE1266" s="2">
        <v>13.636363636363599</v>
      </c>
      <c r="AF1266" s="2">
        <v>122.51655629139</v>
      </c>
      <c r="AG1266" s="2">
        <v>8.9587743433566995</v>
      </c>
      <c r="AH1266" s="2">
        <v>85.714285714285694</v>
      </c>
      <c r="AI1266" s="2">
        <v>18.898223650461301</v>
      </c>
      <c r="AJ1266" s="2">
        <v>136.363636363636</v>
      </c>
      <c r="AK1266" s="2">
        <v>27.272727272727298</v>
      </c>
      <c r="AL1266" s="2">
        <v>98.765432098765402</v>
      </c>
      <c r="AM1266" s="2">
        <v>11.315001715940401</v>
      </c>
      <c r="AN1266"/>
      <c r="AO1266"/>
    </row>
    <row r="1267" spans="1:41" ht="15.75" hidden="1" customHeight="1" x14ac:dyDescent="0.45">
      <c r="A1267" s="2" t="s">
        <v>220</v>
      </c>
      <c r="B1267" s="2" t="s">
        <v>221</v>
      </c>
      <c r="C1267" s="2">
        <v>0.3</v>
      </c>
      <c r="D1267" s="2"/>
      <c r="E1267" s="2" t="s">
        <v>109</v>
      </c>
      <c r="F1267" s="2" t="s">
        <v>84</v>
      </c>
      <c r="H1267" s="2">
        <v>0.9</v>
      </c>
      <c r="J1267" s="2">
        <v>0.9</v>
      </c>
      <c r="K1267" s="2">
        <v>45.2222222222222</v>
      </c>
      <c r="L1267" s="2"/>
      <c r="M1267" s="2">
        <v>2.58378132316302</v>
      </c>
      <c r="N1267" s="2">
        <v>211.777777777777</v>
      </c>
      <c r="O1267" s="2">
        <v>6.0330877789205504</v>
      </c>
      <c r="P1267" s="2">
        <v>21.4444444444444</v>
      </c>
      <c r="Q1267" s="2">
        <v>1.67774098561567</v>
      </c>
      <c r="R1267" s="2">
        <v>2.6666666666666599</v>
      </c>
      <c r="S1267" s="2">
        <v>0.33333333333333798</v>
      </c>
      <c r="T1267" s="2">
        <v>6.7777777777777697</v>
      </c>
      <c r="U1267" s="2">
        <v>2.1688023662159002</v>
      </c>
      <c r="V1267" s="2">
        <v>0.44444444444444398</v>
      </c>
      <c r="W1267" s="2">
        <v>0.25458753860865702</v>
      </c>
      <c r="X1267" s="2">
        <v>2.4444444444444402</v>
      </c>
      <c r="Y1267" s="2">
        <v>0.19245008972987299</v>
      </c>
      <c r="Z1267" s="7">
        <v>147.50894843765099</v>
      </c>
      <c r="AA1267" s="2">
        <v>4.2022087654278701</v>
      </c>
      <c r="AB1267" s="7">
        <v>127.1875</v>
      </c>
      <c r="AC1267" s="2">
        <v>7.2668849713960197</v>
      </c>
      <c r="AD1267" s="2">
        <v>138.636363636363</v>
      </c>
      <c r="AE1267" s="2">
        <v>44.361866581688901</v>
      </c>
      <c r="AF1267" s="2">
        <v>127.81456953642299</v>
      </c>
      <c r="AG1267" s="2">
        <v>9.9997807089676094</v>
      </c>
      <c r="AH1267" s="2">
        <v>114.28571428571399</v>
      </c>
      <c r="AI1267" s="2">
        <v>14.2857142857144</v>
      </c>
      <c r="AJ1267" s="2">
        <v>72.727272727272705</v>
      </c>
      <c r="AK1267" s="2">
        <v>41.659779045053</v>
      </c>
      <c r="AL1267" s="2">
        <v>108.64197530864099</v>
      </c>
      <c r="AM1267" s="2">
        <v>8.5533373213276995</v>
      </c>
      <c r="AN1267"/>
      <c r="AO1267"/>
    </row>
    <row r="1268" spans="1:41" ht="15.75" hidden="1" customHeight="1" x14ac:dyDescent="0.45">
      <c r="A1268" s="2" t="s">
        <v>220</v>
      </c>
      <c r="B1268" s="2" t="s">
        <v>221</v>
      </c>
      <c r="C1268" s="2">
        <v>1</v>
      </c>
      <c r="D1268" s="2"/>
      <c r="E1268" s="2" t="s">
        <v>109</v>
      </c>
      <c r="F1268" s="2" t="s">
        <v>84</v>
      </c>
      <c r="H1268" s="2">
        <v>0.9</v>
      </c>
      <c r="J1268" s="2">
        <v>0.9</v>
      </c>
      <c r="K1268" s="2">
        <v>3.1666666666666599</v>
      </c>
      <c r="L1268" s="2"/>
      <c r="M1268" s="2">
        <v>2.3511226632776401</v>
      </c>
      <c r="N1268" s="2">
        <v>46.8888888888888</v>
      </c>
      <c r="O1268" s="2">
        <v>9.7201585111293998</v>
      </c>
      <c r="P1268" s="2">
        <v>8.7222222222222197</v>
      </c>
      <c r="Q1268" s="2">
        <v>3.5368431205326698</v>
      </c>
      <c r="R1268" s="2">
        <v>0</v>
      </c>
      <c r="S1268" s="2">
        <v>0</v>
      </c>
      <c r="T1268" s="2">
        <v>17.0555555555555</v>
      </c>
      <c r="U1268" s="2">
        <v>8.0714402771839904</v>
      </c>
      <c r="V1268" s="2">
        <v>0.44444444444444398</v>
      </c>
      <c r="W1268" s="2">
        <v>0.38490017945975002</v>
      </c>
      <c r="X1268" s="2">
        <v>3.6666666666666599</v>
      </c>
      <c r="Y1268" s="2">
        <v>0.28867513459480998</v>
      </c>
      <c r="Z1268" s="7">
        <v>32.659378930057002</v>
      </c>
      <c r="AA1268" s="2">
        <v>6.7703532243524798</v>
      </c>
      <c r="AB1268" s="7">
        <v>8.90625</v>
      </c>
      <c r="AC1268" s="2">
        <v>6.6125324904683804</v>
      </c>
      <c r="AD1268" s="2">
        <v>348.86363636363598</v>
      </c>
      <c r="AE1268" s="2">
        <v>165.097642033309</v>
      </c>
      <c r="AF1268" s="2">
        <v>51.986754966887403</v>
      </c>
      <c r="AG1268" s="2">
        <v>21.080521910459598</v>
      </c>
      <c r="AH1268" s="2">
        <v>0</v>
      </c>
      <c r="AI1268" s="2">
        <v>0</v>
      </c>
      <c r="AJ1268" s="2">
        <v>72.727272727272705</v>
      </c>
      <c r="AK1268" s="2">
        <v>62.9836657297773</v>
      </c>
      <c r="AL1268" s="2">
        <v>162.96296296296299</v>
      </c>
      <c r="AM1268" s="2">
        <v>12.8300059819915</v>
      </c>
      <c r="AN1268"/>
      <c r="AO1268"/>
    </row>
    <row r="1269" spans="1:41" ht="15.75" hidden="1" customHeight="1" x14ac:dyDescent="0.45">
      <c r="A1269" s="2" t="s">
        <v>220</v>
      </c>
      <c r="B1269" s="2" t="s">
        <v>221</v>
      </c>
      <c r="C1269" s="2">
        <v>3</v>
      </c>
      <c r="D1269" s="2"/>
      <c r="E1269" s="2" t="s">
        <v>109</v>
      </c>
      <c r="F1269" s="2" t="s">
        <v>84</v>
      </c>
      <c r="H1269" s="2">
        <v>0.9</v>
      </c>
      <c r="J1269" s="2">
        <v>0.9</v>
      </c>
      <c r="K1269" s="2">
        <v>0</v>
      </c>
      <c r="L1269" s="2"/>
      <c r="M1269" s="2">
        <v>0</v>
      </c>
      <c r="N1269" s="2">
        <v>13.1666666666666</v>
      </c>
      <c r="O1269" s="2">
        <v>4.2064764880413197</v>
      </c>
      <c r="P1269" s="2">
        <v>0</v>
      </c>
      <c r="Q1269" s="2">
        <v>0</v>
      </c>
      <c r="R1269" s="2">
        <v>1.1111111111111101</v>
      </c>
      <c r="S1269" s="2">
        <v>1.9245008972987501</v>
      </c>
      <c r="T1269" s="2">
        <v>92.7222222222222</v>
      </c>
      <c r="U1269" s="2">
        <v>3.0837086858614402</v>
      </c>
      <c r="V1269" s="2">
        <v>0</v>
      </c>
      <c r="W1269" s="2">
        <v>0</v>
      </c>
      <c r="X1269" s="2">
        <v>0.33333333333333298</v>
      </c>
      <c r="Y1269" s="2">
        <v>0.57735026918962495</v>
      </c>
      <c r="Z1269" s="7">
        <v>9.1709393441037008</v>
      </c>
      <c r="AA1269" s="2">
        <v>2.9299246119664799</v>
      </c>
      <c r="AB1269" s="7">
        <v>0</v>
      </c>
      <c r="AC1269" s="2">
        <v>0</v>
      </c>
      <c r="AD1269" s="2">
        <v>1896.5909090908999</v>
      </c>
      <c r="AE1269" s="2">
        <v>63.075859483529499</v>
      </c>
      <c r="AF1269" s="2">
        <v>0</v>
      </c>
      <c r="AG1269" s="2">
        <v>0</v>
      </c>
      <c r="AH1269" s="2">
        <v>47.619047619047599</v>
      </c>
      <c r="AI1269" s="2">
        <v>82.478609884232199</v>
      </c>
      <c r="AJ1269" s="2">
        <v>0</v>
      </c>
      <c r="AK1269" s="2">
        <v>0</v>
      </c>
      <c r="AL1269" s="2">
        <v>14.814814814814801</v>
      </c>
      <c r="AM1269" s="2">
        <v>25.660011963983301</v>
      </c>
      <c r="AN1269"/>
      <c r="AO1269"/>
    </row>
    <row r="1270" spans="1:41" ht="15.75" hidden="1" customHeight="1" x14ac:dyDescent="0.45">
      <c r="A1270" s="2" t="s">
        <v>220</v>
      </c>
      <c r="B1270" s="2" t="s">
        <v>221</v>
      </c>
      <c r="C1270" s="2">
        <v>10</v>
      </c>
      <c r="D1270" s="2"/>
      <c r="E1270" s="2" t="s">
        <v>109</v>
      </c>
      <c r="F1270" s="2" t="s">
        <v>84</v>
      </c>
      <c r="H1270" s="2">
        <v>0.9</v>
      </c>
      <c r="J1270" s="2">
        <v>0.9</v>
      </c>
      <c r="K1270" s="2">
        <v>0.33333333333333298</v>
      </c>
      <c r="L1270" s="2"/>
      <c r="M1270" s="2">
        <v>0.57735026918962495</v>
      </c>
      <c r="N1270" s="2">
        <v>14.2222222222222</v>
      </c>
      <c r="O1270" s="2">
        <v>2.8398617598071101</v>
      </c>
      <c r="P1270" s="2">
        <v>0</v>
      </c>
      <c r="Q1270" s="2">
        <v>0</v>
      </c>
      <c r="R1270" s="2">
        <v>0</v>
      </c>
      <c r="S1270" s="2">
        <v>0</v>
      </c>
      <c r="T1270" s="2">
        <v>89.3333333333333</v>
      </c>
      <c r="U1270" s="2">
        <v>4.35889894354088</v>
      </c>
      <c r="V1270" s="2">
        <v>0</v>
      </c>
      <c r="W1270" s="2">
        <v>0</v>
      </c>
      <c r="X1270" s="2">
        <v>2.6666666666666599</v>
      </c>
      <c r="Y1270" s="2">
        <v>1.20185042515466</v>
      </c>
      <c r="Z1270" s="7">
        <v>9.9061623294959809</v>
      </c>
      <c r="AA1270" s="2">
        <v>1.9780405021390299</v>
      </c>
      <c r="AB1270" s="7">
        <v>0.9375</v>
      </c>
      <c r="AC1270" s="2">
        <v>1.6237976320958201</v>
      </c>
      <c r="AD1270" s="2">
        <v>1827.27272727272</v>
      </c>
      <c r="AE1270" s="2">
        <v>89.159296572427095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118.51851851851799</v>
      </c>
      <c r="AM1270" s="2">
        <v>53.4155744513183</v>
      </c>
      <c r="AN1270"/>
      <c r="AO1270"/>
    </row>
    <row r="1271" spans="1:41" ht="15.75" hidden="1" customHeight="1" x14ac:dyDescent="0.45">
      <c r="A1271" s="2" t="s">
        <v>220</v>
      </c>
      <c r="B1271" s="2" t="s">
        <v>221</v>
      </c>
      <c r="C1271" s="2">
        <v>3.0000000000000001E-3</v>
      </c>
      <c r="D1271" s="2"/>
      <c r="E1271" s="2" t="s">
        <v>109</v>
      </c>
      <c r="F1271" s="2" t="s">
        <v>84</v>
      </c>
      <c r="H1271" s="2">
        <v>1.2</v>
      </c>
      <c r="J1271" s="2">
        <v>1.2</v>
      </c>
      <c r="K1271" s="2">
        <v>33.8333333333333</v>
      </c>
      <c r="L1271" s="2"/>
      <c r="M1271" s="2">
        <v>0.57735026918975696</v>
      </c>
      <c r="N1271" s="2">
        <v>255.388888888888</v>
      </c>
      <c r="O1271" s="2">
        <v>62.434929089175299</v>
      </c>
      <c r="P1271" s="2">
        <v>13.7222222222222</v>
      </c>
      <c r="Q1271" s="2">
        <v>1.4174834246858801</v>
      </c>
      <c r="R1271" s="2">
        <v>1.94444444444444</v>
      </c>
      <c r="S1271" s="2">
        <v>0.67357531405456195</v>
      </c>
      <c r="T1271" s="2">
        <v>8.2777777777777697</v>
      </c>
      <c r="U1271" s="2">
        <v>2.42861033271048</v>
      </c>
      <c r="V1271" s="2">
        <v>1</v>
      </c>
      <c r="W1271" s="2">
        <v>0.33333333333333298</v>
      </c>
      <c r="X1271" s="2">
        <v>3.6111111111111098</v>
      </c>
      <c r="Y1271" s="2">
        <v>0.94770678384622098</v>
      </c>
      <c r="Z1271" s="7">
        <v>107.76534020981001</v>
      </c>
      <c r="AA1271" s="2">
        <v>26.3453958531361</v>
      </c>
      <c r="AB1271" s="7">
        <v>96.590007930214099</v>
      </c>
      <c r="AC1271" s="2">
        <v>1.6482640516123099</v>
      </c>
      <c r="AD1271" s="2">
        <v>103.83275261324</v>
      </c>
      <c r="AE1271" s="2">
        <v>30.463404870236001</v>
      </c>
      <c r="AF1271" s="2">
        <v>98.8</v>
      </c>
      <c r="AG1271" s="2">
        <v>10.205880657738399</v>
      </c>
      <c r="AH1271" s="2">
        <v>106.870229007633</v>
      </c>
      <c r="AI1271" s="2">
        <v>37.020933291548403</v>
      </c>
      <c r="AJ1271" s="2">
        <v>153.191489361702</v>
      </c>
      <c r="AK1271" s="2">
        <v>51.063829787233999</v>
      </c>
      <c r="AL1271" s="2">
        <v>94.545454545454504</v>
      </c>
      <c r="AM1271" s="2">
        <v>24.812686704337398</v>
      </c>
      <c r="AN1271"/>
      <c r="AO1271"/>
    </row>
    <row r="1272" spans="1:41" ht="15.75" hidden="1" customHeight="1" x14ac:dyDescent="0.45">
      <c r="A1272" s="2" t="s">
        <v>220</v>
      </c>
      <c r="B1272" s="2" t="s">
        <v>221</v>
      </c>
      <c r="C1272" s="2">
        <v>0.01</v>
      </c>
      <c r="D1272" s="2"/>
      <c r="E1272" s="2" t="s">
        <v>109</v>
      </c>
      <c r="F1272" s="2" t="s">
        <v>84</v>
      </c>
      <c r="H1272" s="2">
        <v>1.2</v>
      </c>
      <c r="J1272" s="2">
        <v>1.2</v>
      </c>
      <c r="K1272" s="2">
        <v>38.9444444444444</v>
      </c>
      <c r="L1272" s="2"/>
      <c r="M1272" s="2">
        <v>2.9360467248275199</v>
      </c>
      <c r="N1272" s="2">
        <v>301.944444444444</v>
      </c>
      <c r="O1272" s="2">
        <v>9.9865650491763596</v>
      </c>
      <c r="P1272" s="2">
        <v>13.2222222222222</v>
      </c>
      <c r="Q1272" s="2">
        <v>1.5485955405295699</v>
      </c>
      <c r="R1272" s="2">
        <v>2.1111111111111098</v>
      </c>
      <c r="S1272" s="2">
        <v>0.53575837561071904</v>
      </c>
      <c r="T1272" s="2">
        <v>9.3333333333333304</v>
      </c>
      <c r="U1272" s="2">
        <v>0.44095855184414501</v>
      </c>
      <c r="V1272" s="2">
        <v>0.83333333333333304</v>
      </c>
      <c r="W1272" s="2">
        <v>0.44095855184409799</v>
      </c>
      <c r="X1272" s="2">
        <v>3.6666666666666599</v>
      </c>
      <c r="Y1272" s="2">
        <v>0.28867513459480998</v>
      </c>
      <c r="Z1272" s="7">
        <v>127.410185782101</v>
      </c>
      <c r="AA1272" s="2">
        <v>4.21398747899371</v>
      </c>
      <c r="AB1272" s="7">
        <v>111.18160190325101</v>
      </c>
      <c r="AC1272" s="2">
        <v>8.3820525054552597</v>
      </c>
      <c r="AD1272" s="2">
        <v>117.07317073170699</v>
      </c>
      <c r="AE1272" s="2">
        <v>5.53118740989171</v>
      </c>
      <c r="AF1272" s="2">
        <v>95.199999999999903</v>
      </c>
      <c r="AG1272" s="2">
        <v>11.149887891812901</v>
      </c>
      <c r="AH1272" s="2">
        <v>116.03053435114499</v>
      </c>
      <c r="AI1272" s="2">
        <v>29.446261865627299</v>
      </c>
      <c r="AJ1272" s="2">
        <v>127.659574468085</v>
      </c>
      <c r="AK1272" s="2">
        <v>67.5510973037768</v>
      </c>
      <c r="AL1272" s="2">
        <v>96</v>
      </c>
      <c r="AM1272" s="2">
        <v>7.55803988757323</v>
      </c>
      <c r="AN1272"/>
      <c r="AO1272"/>
    </row>
    <row r="1273" spans="1:41" ht="15.75" hidden="1" customHeight="1" x14ac:dyDescent="0.45">
      <c r="A1273" s="2" t="s">
        <v>220</v>
      </c>
      <c r="B1273" s="2" t="s">
        <v>221</v>
      </c>
      <c r="C1273" s="2">
        <v>0.03</v>
      </c>
      <c r="D1273" s="2"/>
      <c r="E1273" s="2" t="s">
        <v>109</v>
      </c>
      <c r="F1273" s="2" t="s">
        <v>84</v>
      </c>
      <c r="H1273" s="2">
        <v>1.2</v>
      </c>
      <c r="J1273" s="2">
        <v>1.2</v>
      </c>
      <c r="K1273" s="2">
        <v>17.8333333333333</v>
      </c>
      <c r="L1273" s="2"/>
      <c r="M1273" s="2">
        <v>16.933694221876099</v>
      </c>
      <c r="N1273" s="2">
        <v>297.77777777777698</v>
      </c>
      <c r="O1273" s="2">
        <v>41.521524984482703</v>
      </c>
      <c r="P1273" s="2">
        <v>13.4444444444444</v>
      </c>
      <c r="Q1273" s="2">
        <v>0.67357531405455695</v>
      </c>
      <c r="R1273" s="2">
        <v>2.6111111111111098</v>
      </c>
      <c r="S1273" s="2">
        <v>0.38490017945975302</v>
      </c>
      <c r="T1273" s="2">
        <v>8.55555555555555</v>
      </c>
      <c r="U1273" s="2">
        <v>0.83887049280785597</v>
      </c>
      <c r="V1273" s="2">
        <v>0.55555555555555503</v>
      </c>
      <c r="W1273" s="2">
        <v>0.19245008972987501</v>
      </c>
      <c r="X1273" s="2">
        <v>3.05555555555555</v>
      </c>
      <c r="Y1273" s="2">
        <v>0.96225044864937503</v>
      </c>
      <c r="Z1273" s="7">
        <v>125.651995545918</v>
      </c>
      <c r="AA1273" s="2">
        <v>17.520657556600501</v>
      </c>
      <c r="AB1273" s="7">
        <v>50.911974623314798</v>
      </c>
      <c r="AC1273" s="2">
        <v>48.343615542231497</v>
      </c>
      <c r="AD1273" s="2">
        <v>107.31707317073101</v>
      </c>
      <c r="AE1273" s="2">
        <v>10.5224173313877</v>
      </c>
      <c r="AF1273" s="2">
        <v>96.799999999999898</v>
      </c>
      <c r="AG1273" s="2">
        <v>4.8497422611928096</v>
      </c>
      <c r="AH1273" s="2">
        <v>143.511450381679</v>
      </c>
      <c r="AI1273" s="2">
        <v>21.1548190237421</v>
      </c>
      <c r="AJ1273" s="2">
        <v>85.106382978723303</v>
      </c>
      <c r="AK1273" s="2">
        <v>29.481715873512702</v>
      </c>
      <c r="AL1273" s="2">
        <v>80</v>
      </c>
      <c r="AM1273" s="2">
        <v>25.193466291910902</v>
      </c>
      <c r="AN1273"/>
      <c r="AO1273"/>
    </row>
    <row r="1274" spans="1:41" ht="15.75" hidden="1" customHeight="1" x14ac:dyDescent="0.45">
      <c r="A1274" s="2" t="s">
        <v>220</v>
      </c>
      <c r="B1274" s="2" t="s">
        <v>221</v>
      </c>
      <c r="C1274" s="2">
        <v>0.1</v>
      </c>
      <c r="D1274" s="2"/>
      <c r="E1274" s="2" t="s">
        <v>109</v>
      </c>
      <c r="F1274" s="2" t="s">
        <v>84</v>
      </c>
      <c r="H1274" s="2">
        <v>1.2</v>
      </c>
      <c r="J1274" s="2">
        <v>1.2</v>
      </c>
      <c r="K1274" s="2">
        <v>43.7777777777777</v>
      </c>
      <c r="L1274" s="2"/>
      <c r="M1274" s="2">
        <v>3.6717136981907701</v>
      </c>
      <c r="N1274" s="2">
        <v>324.05555555555497</v>
      </c>
      <c r="O1274" s="2">
        <v>12.7631558851318</v>
      </c>
      <c r="P1274" s="2">
        <v>13.8888888888888</v>
      </c>
      <c r="Q1274" s="2">
        <v>0.85526690657447202</v>
      </c>
      <c r="R1274" s="2">
        <v>2.4444444444444402</v>
      </c>
      <c r="S1274" s="2">
        <v>0.19245008972988201</v>
      </c>
      <c r="T1274" s="2">
        <v>10.6666666666666</v>
      </c>
      <c r="U1274" s="2">
        <v>0.92796072713836897</v>
      </c>
      <c r="V1274" s="2">
        <v>0.72222222222222199</v>
      </c>
      <c r="W1274" s="2">
        <v>0.25458753860865702</v>
      </c>
      <c r="X1274" s="2">
        <v>2.9444444444444402</v>
      </c>
      <c r="Y1274" s="2">
        <v>0.97657754618038595</v>
      </c>
      <c r="Z1274" s="7">
        <v>136.74031530211499</v>
      </c>
      <c r="AA1274" s="2">
        <v>5.3856134544305796</v>
      </c>
      <c r="AB1274" s="7">
        <v>124.98017446471</v>
      </c>
      <c r="AC1274" s="2">
        <v>10.482291287459701</v>
      </c>
      <c r="AD1274" s="2">
        <v>133.797909407665</v>
      </c>
      <c r="AE1274" s="2">
        <v>11.639925497206001</v>
      </c>
      <c r="AF1274" s="2">
        <v>100</v>
      </c>
      <c r="AG1274" s="2">
        <v>6.1579217273361904</v>
      </c>
      <c r="AH1274" s="2">
        <v>134.351145038168</v>
      </c>
      <c r="AI1274" s="2">
        <v>10.5774095118714</v>
      </c>
      <c r="AJ1274" s="2">
        <v>110.63829787234</v>
      </c>
      <c r="AK1274" s="2">
        <v>39.0006442123901</v>
      </c>
      <c r="AL1274" s="2">
        <v>77.090909090909093</v>
      </c>
      <c r="AM1274" s="2">
        <v>25.568575754541001</v>
      </c>
      <c r="AN1274"/>
      <c r="AO1274"/>
    </row>
    <row r="1275" spans="1:41" ht="15.75" hidden="1" customHeight="1" x14ac:dyDescent="0.45">
      <c r="A1275" s="2" t="s">
        <v>220</v>
      </c>
      <c r="B1275" s="2" t="s">
        <v>221</v>
      </c>
      <c r="C1275" s="2">
        <v>0.3</v>
      </c>
      <c r="D1275" s="2"/>
      <c r="E1275" s="2" t="s">
        <v>109</v>
      </c>
      <c r="F1275" s="2" t="s">
        <v>84</v>
      </c>
      <c r="H1275" s="2">
        <v>1.2</v>
      </c>
      <c r="J1275" s="2">
        <v>1.2</v>
      </c>
      <c r="K1275" s="2">
        <v>49</v>
      </c>
      <c r="L1275" s="2"/>
      <c r="M1275" s="2">
        <v>0.166666666668182</v>
      </c>
      <c r="N1275" s="2">
        <v>339.83333333333297</v>
      </c>
      <c r="O1275" s="2">
        <v>38.676363726585599</v>
      </c>
      <c r="P1275" s="2">
        <v>12.3888888888888</v>
      </c>
      <c r="Q1275" s="2">
        <v>2.1495046802392199</v>
      </c>
      <c r="R1275" s="2">
        <v>2.6666666666666599</v>
      </c>
      <c r="S1275" s="2">
        <v>0.16666666666667901</v>
      </c>
      <c r="T1275" s="2">
        <v>10.2777777777777</v>
      </c>
      <c r="U1275" s="2">
        <v>2.2194427061597901</v>
      </c>
      <c r="V1275" s="2">
        <v>0.61111111111111105</v>
      </c>
      <c r="W1275" s="2">
        <v>0.25458753860865702</v>
      </c>
      <c r="X1275" s="2">
        <v>2.9444444444444402</v>
      </c>
      <c r="Y1275" s="2">
        <v>0.34694433324436003</v>
      </c>
      <c r="Z1275" s="7">
        <v>143.39799566312999</v>
      </c>
      <c r="AA1275" s="2">
        <v>16.320097218040001</v>
      </c>
      <c r="AB1275" s="7">
        <v>139.88897700237899</v>
      </c>
      <c r="AC1275" s="2">
        <v>0.47581284695119502</v>
      </c>
      <c r="AD1275" s="2">
        <v>128.919860627177</v>
      </c>
      <c r="AE1275" s="2">
        <v>27.839699450087998</v>
      </c>
      <c r="AF1275" s="2">
        <v>89.2</v>
      </c>
      <c r="AG1275" s="2">
        <v>15.476433697722401</v>
      </c>
      <c r="AH1275" s="2">
        <v>146.564885496183</v>
      </c>
      <c r="AI1275" s="2">
        <v>9.1603053435121602</v>
      </c>
      <c r="AJ1275" s="2">
        <v>93.617021276595693</v>
      </c>
      <c r="AK1275" s="2">
        <v>39.0006442123901</v>
      </c>
      <c r="AL1275" s="2">
        <v>77.090909090909093</v>
      </c>
      <c r="AM1275" s="2">
        <v>9.0836334522159792</v>
      </c>
      <c r="AN1275"/>
      <c r="AO1275"/>
    </row>
    <row r="1276" spans="1:41" ht="15.75" hidden="1" customHeight="1" x14ac:dyDescent="0.45">
      <c r="A1276" s="2" t="s">
        <v>220</v>
      </c>
      <c r="B1276" s="2" t="s">
        <v>221</v>
      </c>
      <c r="C1276" s="2">
        <v>1</v>
      </c>
      <c r="D1276" s="2"/>
      <c r="E1276" s="2" t="s">
        <v>109</v>
      </c>
      <c r="F1276" s="2" t="s">
        <v>84</v>
      </c>
      <c r="H1276" s="2">
        <v>1.2</v>
      </c>
      <c r="J1276" s="2">
        <v>1.2</v>
      </c>
      <c r="K1276" s="2">
        <v>30.1666666666666</v>
      </c>
      <c r="L1276" s="2"/>
      <c r="M1276" s="2">
        <v>3.6324157862839099</v>
      </c>
      <c r="N1276" s="2">
        <v>196.944444444444</v>
      </c>
      <c r="O1276" s="2">
        <v>26.717313016372401</v>
      </c>
      <c r="P1276" s="2">
        <v>13.5</v>
      </c>
      <c r="Q1276" s="2">
        <v>1.1666666666666501</v>
      </c>
      <c r="R1276" s="2">
        <v>1.6666666666666601</v>
      </c>
      <c r="S1276" s="2">
        <v>0.44095855184409799</v>
      </c>
      <c r="T1276" s="2">
        <v>7.1666666666666599</v>
      </c>
      <c r="U1276" s="2">
        <v>1.4433756729740601</v>
      </c>
      <c r="V1276" s="2">
        <v>0.38888888888888801</v>
      </c>
      <c r="W1276" s="2">
        <v>0.25458753860865702</v>
      </c>
      <c r="X1276" s="2">
        <v>3.2777777777777701</v>
      </c>
      <c r="Y1276" s="2">
        <v>1.0046189622236199</v>
      </c>
      <c r="Z1276" s="7">
        <v>83.103791830275995</v>
      </c>
      <c r="AA1276" s="2">
        <v>11.273788531787</v>
      </c>
      <c r="AB1276" s="7">
        <v>86.122125297382993</v>
      </c>
      <c r="AC1276" s="2">
        <v>10.370100579398899</v>
      </c>
      <c r="AD1276" s="2">
        <v>89.895470383275196</v>
      </c>
      <c r="AE1276" s="2">
        <v>18.1050607062948</v>
      </c>
      <c r="AF1276" s="2">
        <v>97.2</v>
      </c>
      <c r="AG1276" s="2">
        <v>8.3999999999999204</v>
      </c>
      <c r="AH1276" s="2">
        <v>91.603053435114504</v>
      </c>
      <c r="AI1276" s="2">
        <v>24.2358898723474</v>
      </c>
      <c r="AJ1276" s="2">
        <v>59.574468085106297</v>
      </c>
      <c r="AK1276" s="2">
        <v>39.0006442123901</v>
      </c>
      <c r="AL1276" s="2">
        <v>85.818181818181799</v>
      </c>
      <c r="AM1276" s="2">
        <v>26.302751010945599</v>
      </c>
      <c r="AN1276"/>
      <c r="AO1276"/>
    </row>
    <row r="1277" spans="1:41" ht="15.75" hidden="1" customHeight="1" x14ac:dyDescent="0.45">
      <c r="A1277" s="2" t="s">
        <v>220</v>
      </c>
      <c r="B1277" s="2" t="s">
        <v>221</v>
      </c>
      <c r="C1277" s="2">
        <v>3</v>
      </c>
      <c r="D1277" s="2"/>
      <c r="E1277" s="2" t="s">
        <v>109</v>
      </c>
      <c r="F1277" s="2" t="s">
        <v>84</v>
      </c>
      <c r="H1277" s="2">
        <v>1.2</v>
      </c>
      <c r="J1277" s="2">
        <v>1.2</v>
      </c>
      <c r="K1277" s="2">
        <v>0</v>
      </c>
      <c r="L1277" s="2"/>
      <c r="M1277" s="2">
        <v>0</v>
      </c>
      <c r="N1277" s="2">
        <v>12.1111111111111</v>
      </c>
      <c r="O1277" s="2">
        <v>2.5239592648001201</v>
      </c>
      <c r="P1277" s="2">
        <v>1.9722222222222201</v>
      </c>
      <c r="Q1277" s="2">
        <v>2.0922033397389499</v>
      </c>
      <c r="R1277" s="2">
        <v>0</v>
      </c>
      <c r="S1277" s="2">
        <v>0</v>
      </c>
      <c r="T1277" s="2">
        <v>77.3055555555555</v>
      </c>
      <c r="U1277" s="2">
        <v>6.56925357956223</v>
      </c>
      <c r="V1277" s="2">
        <v>0</v>
      </c>
      <c r="W1277" s="2">
        <v>0</v>
      </c>
      <c r="X1277" s="2">
        <v>1.5833333333333299</v>
      </c>
      <c r="Y1277" s="2">
        <v>2.7424137786507199</v>
      </c>
      <c r="Z1277" s="7">
        <v>5.11047295317353</v>
      </c>
      <c r="AA1277" s="2">
        <v>1.06502412861518</v>
      </c>
      <c r="AB1277" s="7">
        <v>0</v>
      </c>
      <c r="AC1277" s="2">
        <v>0</v>
      </c>
      <c r="AD1277" s="2">
        <v>969.68641114982597</v>
      </c>
      <c r="AE1277" s="2">
        <v>82.401787060710902</v>
      </c>
      <c r="AF1277" s="2">
        <v>14.2</v>
      </c>
      <c r="AG1277" s="2">
        <v>15.063864046120401</v>
      </c>
      <c r="AH1277" s="2">
        <v>0</v>
      </c>
      <c r="AI1277" s="2">
        <v>0</v>
      </c>
      <c r="AJ1277" s="2">
        <v>0</v>
      </c>
      <c r="AK1277" s="2">
        <v>0</v>
      </c>
      <c r="AL1277" s="2">
        <v>41.454545454545404</v>
      </c>
      <c r="AM1277" s="2">
        <v>71.801378931946203</v>
      </c>
      <c r="AN1277"/>
      <c r="AO1277"/>
    </row>
    <row r="1278" spans="1:41" ht="15.75" hidden="1" customHeight="1" x14ac:dyDescent="0.45">
      <c r="A1278" s="2" t="s">
        <v>220</v>
      </c>
      <c r="B1278" s="2" t="s">
        <v>221</v>
      </c>
      <c r="C1278" s="2">
        <v>10</v>
      </c>
      <c r="D1278" s="2"/>
      <c r="E1278" s="2" t="s">
        <v>109</v>
      </c>
      <c r="F1278" s="2" t="s">
        <v>84</v>
      </c>
      <c r="H1278" s="2">
        <v>1.2</v>
      </c>
      <c r="J1278" s="2">
        <v>1.2</v>
      </c>
      <c r="K1278" s="2">
        <v>0</v>
      </c>
      <c r="L1278" s="2"/>
      <c r="M1278" s="2">
        <v>0</v>
      </c>
      <c r="N1278" s="2">
        <v>12.5555555555555</v>
      </c>
      <c r="O1278" s="2">
        <v>0.58531409738069695</v>
      </c>
      <c r="P1278" s="2">
        <v>0</v>
      </c>
      <c r="Q1278" s="2">
        <v>0</v>
      </c>
      <c r="R1278" s="2">
        <v>0</v>
      </c>
      <c r="S1278" s="2">
        <v>0</v>
      </c>
      <c r="T1278" s="2">
        <v>81.6111111111111</v>
      </c>
      <c r="U1278" s="2">
        <v>5.2236995546295004</v>
      </c>
      <c r="V1278" s="2">
        <v>0</v>
      </c>
      <c r="W1278" s="2">
        <v>0</v>
      </c>
      <c r="X1278" s="2">
        <v>1.82222222222222</v>
      </c>
      <c r="Y1278" s="2">
        <v>1.16682538602889</v>
      </c>
      <c r="Z1278" s="7">
        <v>5.2980132450331103</v>
      </c>
      <c r="AA1278" s="2">
        <v>0.24698244746768</v>
      </c>
      <c r="AB1278" s="7">
        <v>0</v>
      </c>
      <c r="AC1278" s="2">
        <v>0</v>
      </c>
      <c r="AD1278" s="2">
        <v>1023.69337979094</v>
      </c>
      <c r="AE1278" s="2">
        <v>65.523757479673193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47.709090909090897</v>
      </c>
      <c r="AM1278" s="2">
        <v>30.549610106938299</v>
      </c>
      <c r="AN1278"/>
      <c r="AO1278"/>
    </row>
    <row r="1279" spans="1:41" ht="15.75" hidden="1" customHeight="1" x14ac:dyDescent="0.45">
      <c r="A1279" s="2" t="s">
        <v>222</v>
      </c>
      <c r="B1279" s="2" t="s">
        <v>82</v>
      </c>
      <c r="C1279" s="2">
        <v>3.0000000000000001E-3</v>
      </c>
      <c r="D1279" s="2"/>
      <c r="E1279" s="2" t="s">
        <v>83</v>
      </c>
      <c r="F1279" s="2" t="s">
        <v>84</v>
      </c>
      <c r="H1279" s="2">
        <v>1</v>
      </c>
      <c r="J1279" s="2">
        <v>1</v>
      </c>
      <c r="K1279" s="2">
        <v>32.442164671555503</v>
      </c>
      <c r="L1279" s="2"/>
      <c r="M1279" s="2">
        <v>3.3422247065822601</v>
      </c>
      <c r="N1279" s="2">
        <v>233.277777777777</v>
      </c>
      <c r="O1279" s="2">
        <v>30.266103763732701</v>
      </c>
      <c r="P1279" s="2">
        <v>15.7515319286666</v>
      </c>
      <c r="Q1279" s="2">
        <v>2.21810065674461</v>
      </c>
      <c r="R1279" s="2">
        <v>2.2003878473827698</v>
      </c>
      <c r="S1279" s="2">
        <v>1.1456742462535701</v>
      </c>
      <c r="T1279" s="2">
        <v>2.9510461850049898</v>
      </c>
      <c r="U1279" s="2">
        <v>1.0458650328458901</v>
      </c>
      <c r="V1279" s="2">
        <v>0.31439028283944398</v>
      </c>
      <c r="W1279" s="2">
        <v>0.22052425130856201</v>
      </c>
      <c r="X1279" s="2">
        <v>2.8434159686055498</v>
      </c>
      <c r="Y1279" s="2">
        <v>0.31581479620073299</v>
      </c>
      <c r="Z1279" s="7">
        <v>100.72376711854901</v>
      </c>
      <c r="AA1279" s="2">
        <v>12.185540881380501</v>
      </c>
      <c r="AB1279" s="7">
        <v>96.824611779520396</v>
      </c>
      <c r="AC1279" s="2">
        <v>7.8375415748042903</v>
      </c>
      <c r="AD1279" s="2">
        <v>63.260308310360401</v>
      </c>
      <c r="AE1279" s="2">
        <v>17.224997455275499</v>
      </c>
      <c r="AF1279" s="2">
        <v>102.75774278074501</v>
      </c>
      <c r="AG1279" s="2">
        <v>10.8754160720784</v>
      </c>
      <c r="AH1279" s="2">
        <v>117.620328711361</v>
      </c>
      <c r="AI1279" s="2">
        <v>15.3485401461328</v>
      </c>
      <c r="AJ1279" s="2">
        <v>47.679960313021098</v>
      </c>
      <c r="AK1279" s="2">
        <v>34.125460650844303</v>
      </c>
      <c r="AL1279" s="2">
        <v>87.307698232085599</v>
      </c>
      <c r="AM1279" s="2">
        <v>13.992389479123901</v>
      </c>
      <c r="AN1279"/>
      <c r="AO1279"/>
    </row>
    <row r="1280" spans="1:41" ht="15.75" hidden="1" customHeight="1" x14ac:dyDescent="0.45">
      <c r="A1280" s="2" t="s">
        <v>222</v>
      </c>
      <c r="B1280" s="2" t="s">
        <v>82</v>
      </c>
      <c r="C1280" s="2">
        <v>0.01</v>
      </c>
      <c r="D1280" s="2"/>
      <c r="E1280" s="2" t="s">
        <v>83</v>
      </c>
      <c r="F1280" s="2" t="s">
        <v>84</v>
      </c>
      <c r="H1280" s="2">
        <v>1</v>
      </c>
      <c r="J1280" s="2">
        <v>1</v>
      </c>
      <c r="K1280" s="2">
        <v>30.8524337382777</v>
      </c>
      <c r="L1280" s="2"/>
      <c r="M1280" s="2">
        <v>2.4933976950067001</v>
      </c>
      <c r="N1280" s="2">
        <v>248.444444444444</v>
      </c>
      <c r="O1280" s="2">
        <v>26.6532952587132</v>
      </c>
      <c r="P1280" s="2">
        <v>13.795331649594401</v>
      </c>
      <c r="Q1280" s="2">
        <v>2.45678049546785</v>
      </c>
      <c r="R1280" s="2">
        <v>2.43659638948222</v>
      </c>
      <c r="S1280" s="2">
        <v>0.87204339595481095</v>
      </c>
      <c r="T1280" s="2">
        <v>4.2163858260699998</v>
      </c>
      <c r="U1280" s="2">
        <v>1.1913283033876201</v>
      </c>
      <c r="V1280" s="2">
        <v>0.58749079801888804</v>
      </c>
      <c r="W1280" s="2">
        <v>0.14542242848716</v>
      </c>
      <c r="X1280" s="2">
        <v>4.1187142866333302</v>
      </c>
      <c r="Y1280" s="2">
        <v>0.26054998257572798</v>
      </c>
      <c r="Z1280" s="7">
        <v>107.17472903910701</v>
      </c>
      <c r="AA1280" s="2">
        <v>8.2052129481945997</v>
      </c>
      <c r="AB1280" s="7">
        <v>92.420581814734106</v>
      </c>
      <c r="AC1280" s="2">
        <v>11.106403043282</v>
      </c>
      <c r="AD1280" s="2">
        <v>94.538889076366999</v>
      </c>
      <c r="AE1280" s="2">
        <v>38.1064435167143</v>
      </c>
      <c r="AF1280" s="2">
        <v>90.275468855604203</v>
      </c>
      <c r="AG1280" s="2">
        <v>16.787051467363099</v>
      </c>
      <c r="AH1280" s="2">
        <v>138.544914872367</v>
      </c>
      <c r="AI1280" s="2">
        <v>39.740135513928998</v>
      </c>
      <c r="AJ1280" s="2">
        <v>88.185912202687007</v>
      </c>
      <c r="AK1280" s="2">
        <v>56.963473974596901</v>
      </c>
      <c r="AL1280" s="2">
        <v>127.947205688322</v>
      </c>
      <c r="AM1280" s="2">
        <v>29.8161174577019</v>
      </c>
      <c r="AN1280"/>
      <c r="AO1280"/>
    </row>
    <row r="1281" spans="1:41" ht="15.75" hidden="1" customHeight="1" x14ac:dyDescent="0.45">
      <c r="A1281" s="2" t="s">
        <v>222</v>
      </c>
      <c r="B1281" s="2" t="s">
        <v>82</v>
      </c>
      <c r="C1281" s="2">
        <v>0.03</v>
      </c>
      <c r="D1281" s="2"/>
      <c r="E1281" s="2" t="s">
        <v>83</v>
      </c>
      <c r="F1281" s="2" t="s">
        <v>84</v>
      </c>
      <c r="H1281" s="2">
        <v>1</v>
      </c>
      <c r="J1281" s="2">
        <v>1</v>
      </c>
      <c r="K1281" s="2">
        <v>31.897192649055501</v>
      </c>
      <c r="L1281" s="2"/>
      <c r="M1281" s="2">
        <v>1.3175344707477401</v>
      </c>
      <c r="N1281" s="2">
        <v>256.944444444444</v>
      </c>
      <c r="O1281" s="2">
        <v>40.292104731618203</v>
      </c>
      <c r="P1281" s="2">
        <v>15.149959504222201</v>
      </c>
      <c r="Q1281" s="2">
        <v>1.73955673345689</v>
      </c>
      <c r="R1281" s="2">
        <v>2.1761834913949998</v>
      </c>
      <c r="S1281" s="2">
        <v>0.66307071132085205</v>
      </c>
      <c r="T1281" s="2">
        <v>4.3973797560133301</v>
      </c>
      <c r="U1281" s="2">
        <v>1.24926408837097</v>
      </c>
      <c r="V1281" s="2">
        <v>0.45825502752277703</v>
      </c>
      <c r="W1281" s="2">
        <v>0.44169208026047102</v>
      </c>
      <c r="X1281" s="2">
        <v>3.1855170821200001</v>
      </c>
      <c r="Y1281" s="2">
        <v>0.87261980848285703</v>
      </c>
      <c r="Z1281" s="7">
        <v>111.120201838357</v>
      </c>
      <c r="AA1281" s="2">
        <v>18.182220221526499</v>
      </c>
      <c r="AB1281" s="7">
        <v>95.283912110678997</v>
      </c>
      <c r="AC1281" s="2">
        <v>2.4289666304608799</v>
      </c>
      <c r="AD1281" s="2">
        <v>96.149468906935397</v>
      </c>
      <c r="AE1281" s="2">
        <v>29.7588781701923</v>
      </c>
      <c r="AF1281" s="2">
        <v>99.071797743495395</v>
      </c>
      <c r="AG1281" s="2">
        <v>11.0580406288241</v>
      </c>
      <c r="AH1281" s="2">
        <v>127.62195873190301</v>
      </c>
      <c r="AI1281" s="2">
        <v>43.2511216602025</v>
      </c>
      <c r="AJ1281" s="2">
        <v>61.464657399237304</v>
      </c>
      <c r="AK1281" s="2">
        <v>50.1343720380371</v>
      </c>
      <c r="AL1281" s="2">
        <v>103.85958593696201</v>
      </c>
      <c r="AM1281" s="2">
        <v>54.463638925531903</v>
      </c>
      <c r="AN1281"/>
      <c r="AO1281"/>
    </row>
    <row r="1282" spans="1:41" ht="15.75" hidden="1" customHeight="1" x14ac:dyDescent="0.45">
      <c r="A1282" s="2" t="s">
        <v>222</v>
      </c>
      <c r="B1282" s="2" t="s">
        <v>82</v>
      </c>
      <c r="C1282" s="2">
        <v>0.1</v>
      </c>
      <c r="D1282" s="2"/>
      <c r="E1282" s="2" t="s">
        <v>83</v>
      </c>
      <c r="F1282" s="2" t="s">
        <v>84</v>
      </c>
      <c r="H1282" s="2">
        <v>1</v>
      </c>
      <c r="J1282" s="2">
        <v>1</v>
      </c>
      <c r="K1282" s="2">
        <v>31.4985045996666</v>
      </c>
      <c r="L1282" s="2"/>
      <c r="M1282" s="2">
        <v>2.16890559796731</v>
      </c>
      <c r="N1282" s="2">
        <v>223.388888888888</v>
      </c>
      <c r="O1282" s="2">
        <v>26.5844217819661</v>
      </c>
      <c r="P1282" s="2">
        <v>17.408920508961099</v>
      </c>
      <c r="Q1282" s="2">
        <v>3.8564652326434201</v>
      </c>
      <c r="R1282" s="2">
        <v>2.1567628775177701</v>
      </c>
      <c r="S1282" s="2">
        <v>1.0138560429175001</v>
      </c>
      <c r="T1282" s="2">
        <v>4.0550949850388802</v>
      </c>
      <c r="U1282" s="2">
        <v>0.62657056026199398</v>
      </c>
      <c r="V1282" s="2">
        <v>0.40714360511833297</v>
      </c>
      <c r="W1282" s="2">
        <v>0.19195903694965299</v>
      </c>
      <c r="X1282" s="2">
        <v>3.54767696845555</v>
      </c>
      <c r="Y1282" s="2">
        <v>0.50222715678260099</v>
      </c>
      <c r="Z1282" s="7">
        <v>96.352345225973707</v>
      </c>
      <c r="AA1282" s="2">
        <v>8.7834655055140303</v>
      </c>
      <c r="AB1282" s="7">
        <v>94.178634686336395</v>
      </c>
      <c r="AC1282" s="2">
        <v>7.6238929820019603</v>
      </c>
      <c r="AD1282" s="2">
        <v>91.568608380193794</v>
      </c>
      <c r="AE1282" s="2">
        <v>29.5452753897017</v>
      </c>
      <c r="AF1282" s="2">
        <v>112.909299304182</v>
      </c>
      <c r="AG1282" s="2">
        <v>17.303988819464401</v>
      </c>
      <c r="AH1282" s="2">
        <v>117.05455167616699</v>
      </c>
      <c r="AI1282" s="2">
        <v>21.704921864316098</v>
      </c>
      <c r="AJ1282" s="2">
        <v>67.738956666032905</v>
      </c>
      <c r="AK1282" s="2">
        <v>61.121502793258401</v>
      </c>
      <c r="AL1282" s="2">
        <v>108.141261981517</v>
      </c>
      <c r="AM1282" s="2">
        <v>11.8019678485258</v>
      </c>
      <c r="AN1282"/>
      <c r="AO1282"/>
    </row>
    <row r="1283" spans="1:41" ht="15.75" hidden="1" customHeight="1" x14ac:dyDescent="0.45">
      <c r="A1283" s="2" t="s">
        <v>222</v>
      </c>
      <c r="B1283" s="2" t="s">
        <v>82</v>
      </c>
      <c r="C1283" s="2">
        <v>0.3</v>
      </c>
      <c r="D1283" s="2"/>
      <c r="E1283" s="2" t="s">
        <v>83</v>
      </c>
      <c r="F1283" s="2" t="s">
        <v>84</v>
      </c>
      <c r="H1283" s="2">
        <v>1</v>
      </c>
      <c r="J1283" s="2">
        <v>1</v>
      </c>
      <c r="K1283" s="2">
        <v>26.4092560892222</v>
      </c>
      <c r="L1283" s="2"/>
      <c r="M1283" s="2">
        <v>1.27184384931495</v>
      </c>
      <c r="N1283" s="2">
        <v>191.5</v>
      </c>
      <c r="O1283" s="2">
        <v>22.8053356329902</v>
      </c>
      <c r="P1283" s="2">
        <v>16.170295092011099</v>
      </c>
      <c r="Q1283" s="2">
        <v>2.20259964687139</v>
      </c>
      <c r="R1283" s="2">
        <v>2.27463316806055</v>
      </c>
      <c r="S1283" s="2">
        <v>0.83950234216517405</v>
      </c>
      <c r="T1283" s="2">
        <v>4.1033488182666602</v>
      </c>
      <c r="U1283" s="2">
        <v>0.32444155360714799</v>
      </c>
      <c r="V1283" s="2">
        <v>0.51634112772277696</v>
      </c>
      <c r="W1283" s="2">
        <v>0.16694245690050299</v>
      </c>
      <c r="X1283" s="2">
        <v>3.7778014686783301</v>
      </c>
      <c r="Y1283" s="2">
        <v>0.709050402821091</v>
      </c>
      <c r="Z1283" s="7">
        <v>82.639339260433303</v>
      </c>
      <c r="AA1283" s="2">
        <v>8.3289162478124101</v>
      </c>
      <c r="AB1283" s="7">
        <v>78.865663039679305</v>
      </c>
      <c r="AC1283" s="2">
        <v>1.3386446161463199</v>
      </c>
      <c r="AD1283" s="2">
        <v>90.272483397981901</v>
      </c>
      <c r="AE1283" s="2">
        <v>13.2975504085291</v>
      </c>
      <c r="AF1283" s="2">
        <v>105.35584866489199</v>
      </c>
      <c r="AG1283" s="2">
        <v>7.79216756260357</v>
      </c>
      <c r="AH1283" s="2">
        <v>132.948315141347</v>
      </c>
      <c r="AI1283" s="2">
        <v>52.487573065583099</v>
      </c>
      <c r="AJ1283" s="2">
        <v>73.410914235514397</v>
      </c>
      <c r="AK1283" s="2">
        <v>37.530706903981503</v>
      </c>
      <c r="AL1283" s="2">
        <v>117.492042932296</v>
      </c>
      <c r="AM1283" s="2">
        <v>32.593014976278397</v>
      </c>
      <c r="AN1283"/>
      <c r="AO1283"/>
    </row>
    <row r="1284" spans="1:41" ht="15.75" hidden="1" customHeight="1" x14ac:dyDescent="0.45">
      <c r="A1284" s="2" t="s">
        <v>222</v>
      </c>
      <c r="B1284" s="2" t="s">
        <v>82</v>
      </c>
      <c r="C1284" s="2">
        <v>1</v>
      </c>
      <c r="D1284" s="2"/>
      <c r="E1284" s="2" t="s">
        <v>83</v>
      </c>
      <c r="F1284" s="2" t="s">
        <v>84</v>
      </c>
      <c r="H1284" s="2">
        <v>1</v>
      </c>
      <c r="J1284" s="2">
        <v>1</v>
      </c>
      <c r="K1284" s="2">
        <v>9.9877268661777698</v>
      </c>
      <c r="L1284" s="2"/>
      <c r="M1284" s="2">
        <v>4.0334485620313796</v>
      </c>
      <c r="N1284" s="2">
        <v>109.888888888888</v>
      </c>
      <c r="O1284" s="2">
        <v>6.0583581689844603</v>
      </c>
      <c r="P1284" s="2">
        <v>16.052961219638799</v>
      </c>
      <c r="Q1284" s="2">
        <v>3.1647458096423202</v>
      </c>
      <c r="R1284" s="2">
        <v>7.9098377943455498</v>
      </c>
      <c r="S1284" s="2">
        <v>9.9190898268696994</v>
      </c>
      <c r="T1284" s="2">
        <v>9.5484497981777707</v>
      </c>
      <c r="U1284" s="2">
        <v>5.0177002539454296</v>
      </c>
      <c r="V1284" s="2">
        <v>1.1245243146527699</v>
      </c>
      <c r="W1284" s="2">
        <v>0.89094588612361802</v>
      </c>
      <c r="X1284" s="2">
        <v>5.3933065365944399</v>
      </c>
      <c r="Y1284" s="2">
        <v>1.2793395978312001</v>
      </c>
      <c r="Z1284" s="7">
        <v>47.5024814110417</v>
      </c>
      <c r="AA1284" s="2">
        <v>2.9235025320813799</v>
      </c>
      <c r="AB1284" s="7">
        <v>29.4293692637848</v>
      </c>
      <c r="AC1284" s="2">
        <v>10.076068238869301</v>
      </c>
      <c r="AD1284" s="2">
        <v>198.619633919048</v>
      </c>
      <c r="AE1284" s="2">
        <v>67.744454646052105</v>
      </c>
      <c r="AF1284" s="2">
        <v>104.187183754629</v>
      </c>
      <c r="AG1284" s="2">
        <v>11.9112954881756</v>
      </c>
      <c r="AH1284" s="2">
        <v>491.52059248044498</v>
      </c>
      <c r="AI1284" s="2">
        <v>641.03779280061303</v>
      </c>
      <c r="AJ1284" s="2">
        <v>126.59454505329199</v>
      </c>
      <c r="AK1284" s="2">
        <v>95.721889873352595</v>
      </c>
      <c r="AL1284" s="2">
        <v>161.526972799498</v>
      </c>
      <c r="AM1284" s="2">
        <v>4.2221783843644802</v>
      </c>
      <c r="AN1284"/>
      <c r="AO1284"/>
    </row>
    <row r="1285" spans="1:41" ht="15.75" hidden="1" customHeight="1" x14ac:dyDescent="0.45">
      <c r="A1285" s="2" t="s">
        <v>222</v>
      </c>
      <c r="B1285" s="2" t="s">
        <v>82</v>
      </c>
      <c r="C1285" s="2">
        <v>3</v>
      </c>
      <c r="D1285" s="2"/>
      <c r="E1285" s="2" t="s">
        <v>83</v>
      </c>
      <c r="F1285" s="2" t="s">
        <v>84</v>
      </c>
      <c r="H1285" s="2">
        <v>1</v>
      </c>
      <c r="J1285" s="2">
        <v>1</v>
      </c>
      <c r="K1285" s="2">
        <v>1.09501634367777</v>
      </c>
      <c r="L1285" s="2"/>
      <c r="M1285" s="2">
        <v>1.3909175871950501</v>
      </c>
      <c r="N1285" s="2">
        <v>31.677777777777699</v>
      </c>
      <c r="O1285" s="2">
        <v>13.6400689690881</v>
      </c>
      <c r="P1285" s="2">
        <v>9.0147104513177698</v>
      </c>
      <c r="Q1285" s="2">
        <v>4.3168305785195997</v>
      </c>
      <c r="R1285" s="2">
        <v>80.107218575044399</v>
      </c>
      <c r="S1285" s="2">
        <v>7.9683340039172901</v>
      </c>
      <c r="T1285" s="2">
        <v>9.7985858048233307</v>
      </c>
      <c r="U1285" s="2">
        <v>2.92804239109915</v>
      </c>
      <c r="V1285" s="2">
        <v>1.0979311115966599</v>
      </c>
      <c r="W1285" s="2">
        <v>1.29398105594446</v>
      </c>
      <c r="X1285" s="2">
        <v>8.9130357013255495</v>
      </c>
      <c r="Y1285" s="2">
        <v>3.8867006995977902</v>
      </c>
      <c r="Z1285" s="7">
        <v>13.6509219759108</v>
      </c>
      <c r="AA1285" s="2">
        <v>5.8554196534443497</v>
      </c>
      <c r="AB1285" s="7">
        <v>3.3973476044536199</v>
      </c>
      <c r="AC1285" s="2">
        <v>4.4519949969788399</v>
      </c>
      <c r="AD1285" s="2">
        <v>209.49306221734</v>
      </c>
      <c r="AE1285" s="2">
        <v>26.463864198666599</v>
      </c>
      <c r="AF1285" s="2">
        <v>60.363395745955302</v>
      </c>
      <c r="AG1285" s="2">
        <v>31.136663333530699</v>
      </c>
      <c r="AH1285" s="2">
        <v>5086.1109338905399</v>
      </c>
      <c r="AI1285" s="2">
        <v>2445.7174671344201</v>
      </c>
      <c r="AJ1285" s="2">
        <v>123.984417761065</v>
      </c>
      <c r="AK1285" s="2">
        <v>156.80894198592</v>
      </c>
      <c r="AL1285" s="2">
        <v>283.46295904900597</v>
      </c>
      <c r="AM1285" s="2">
        <v>149.767351860356</v>
      </c>
      <c r="AN1285"/>
      <c r="AO1285"/>
    </row>
    <row r="1286" spans="1:41" ht="15.75" hidden="1" customHeight="1" x14ac:dyDescent="0.45">
      <c r="A1286" s="2" t="s">
        <v>222</v>
      </c>
      <c r="B1286" s="2" t="s">
        <v>82</v>
      </c>
      <c r="C1286" s="2">
        <v>10</v>
      </c>
      <c r="D1286" s="2"/>
      <c r="E1286" s="2" t="s">
        <v>83</v>
      </c>
      <c r="F1286" s="2" t="s">
        <v>84</v>
      </c>
      <c r="H1286" s="2">
        <v>1</v>
      </c>
      <c r="J1286" s="2">
        <v>1</v>
      </c>
      <c r="K1286" s="2">
        <v>0</v>
      </c>
      <c r="L1286" s="2"/>
      <c r="M1286" s="2">
        <v>0</v>
      </c>
      <c r="N1286" s="2">
        <v>48.8333333333333</v>
      </c>
      <c r="O1286" s="2">
        <v>8.5358720182012906</v>
      </c>
      <c r="P1286" s="2">
        <v>2.3329553215666601</v>
      </c>
      <c r="Q1286" s="2">
        <v>1.91500578027246</v>
      </c>
      <c r="R1286" s="2">
        <v>94.783082933555505</v>
      </c>
      <c r="S1286" s="2">
        <v>7.3494259509519502</v>
      </c>
      <c r="T1286" s="2">
        <v>5.65152755078888</v>
      </c>
      <c r="U1286" s="2">
        <v>2.4770707776315102</v>
      </c>
      <c r="V1286" s="2">
        <v>8.4175084177777706E-2</v>
      </c>
      <c r="W1286" s="2">
        <v>0.14579552252729799</v>
      </c>
      <c r="X1286" s="2">
        <v>1.3041824796055499</v>
      </c>
      <c r="Y1286" s="2">
        <v>0.17312814848564201</v>
      </c>
      <c r="Z1286" s="7">
        <v>21.0430553725419</v>
      </c>
      <c r="AA1286" s="2">
        <v>3.0560923841624499</v>
      </c>
      <c r="AB1286" s="7">
        <v>0</v>
      </c>
      <c r="AC1286" s="2">
        <v>0</v>
      </c>
      <c r="AD1286" s="2">
        <v>123.743302507078</v>
      </c>
      <c r="AE1286" s="2">
        <v>60.787536226040302</v>
      </c>
      <c r="AF1286" s="2">
        <v>15.925395099745799</v>
      </c>
      <c r="AG1286" s="2">
        <v>13.452239182607601</v>
      </c>
      <c r="AH1286" s="2">
        <v>5979.53615627816</v>
      </c>
      <c r="AI1286" s="2">
        <v>2694.8145274516</v>
      </c>
      <c r="AJ1286" s="2">
        <v>18.776050299105801</v>
      </c>
      <c r="AK1286" s="2">
        <v>32.521073083520101</v>
      </c>
      <c r="AL1286" s="2">
        <v>39.839454532936898</v>
      </c>
      <c r="AM1286" s="2">
        <v>4.9695861916443897</v>
      </c>
      <c r="AN1286"/>
      <c r="AO1286"/>
    </row>
    <row r="1287" spans="1:41" ht="15.75" hidden="1" customHeight="1" x14ac:dyDescent="0.45">
      <c r="A1287" s="2" t="s">
        <v>222</v>
      </c>
      <c r="B1287" s="2" t="s">
        <v>82</v>
      </c>
      <c r="C1287" s="2">
        <v>3.0000000000000001E-3</v>
      </c>
      <c r="D1287" s="2"/>
      <c r="E1287" s="2" t="s">
        <v>83</v>
      </c>
      <c r="F1287" s="2" t="s">
        <v>84</v>
      </c>
      <c r="H1287" s="2">
        <v>1.7</v>
      </c>
      <c r="J1287" s="2">
        <v>1.746428154</v>
      </c>
      <c r="K1287" s="2">
        <v>40.658689461666597</v>
      </c>
      <c r="L1287" s="2"/>
      <c r="M1287" s="2">
        <v>3.51178751495496</v>
      </c>
      <c r="N1287" s="2">
        <v>261.388888888888</v>
      </c>
      <c r="O1287" s="2">
        <v>33.766491169884802</v>
      </c>
      <c r="P1287" s="2">
        <v>34.010403993333298</v>
      </c>
      <c r="Q1287" s="2">
        <v>3.37817912473291</v>
      </c>
      <c r="R1287" s="2">
        <v>3.3308081949444399</v>
      </c>
      <c r="S1287" s="2">
        <v>9.82817405027199E-2</v>
      </c>
      <c r="T1287" s="2">
        <v>4.4081997920555498</v>
      </c>
      <c r="U1287" s="2">
        <v>1.12889758706301</v>
      </c>
      <c r="V1287" s="2">
        <v>0.42829001799999999</v>
      </c>
      <c r="W1287" s="2">
        <v>0.209993496115121</v>
      </c>
      <c r="X1287" s="2">
        <v>3.34930573772222</v>
      </c>
      <c r="Y1287" s="2">
        <v>0.68407673415105896</v>
      </c>
      <c r="Z1287" s="7">
        <v>93.725099601593598</v>
      </c>
      <c r="AA1287" s="2">
        <v>12.1075067939826</v>
      </c>
      <c r="AB1287" s="7">
        <v>101.849869662361</v>
      </c>
      <c r="AC1287" s="2">
        <v>8.7970149902960095</v>
      </c>
      <c r="AD1287" s="2">
        <v>99.566082243081695</v>
      </c>
      <c r="AE1287" s="2">
        <v>25.4979164510871</v>
      </c>
      <c r="AF1287" s="2">
        <v>100.57507897525601</v>
      </c>
      <c r="AG1287" s="2">
        <v>9.9899028641110394</v>
      </c>
      <c r="AH1287" s="2">
        <v>89.170961921502396</v>
      </c>
      <c r="AI1287" s="2">
        <v>2.6311564122031901</v>
      </c>
      <c r="AJ1287" s="2">
        <v>91.067655857289907</v>
      </c>
      <c r="AK1287" s="2">
        <v>44.651088357798201</v>
      </c>
      <c r="AL1287" s="2">
        <v>99.475811201661799</v>
      </c>
      <c r="AM1287" s="2">
        <v>20.317371235311199</v>
      </c>
      <c r="AN1287"/>
      <c r="AO1287"/>
    </row>
    <row r="1288" spans="1:41" ht="15.75" hidden="1" customHeight="1" x14ac:dyDescent="0.45">
      <c r="A1288" s="2" t="s">
        <v>222</v>
      </c>
      <c r="B1288" s="2" t="s">
        <v>82</v>
      </c>
      <c r="C1288" s="2">
        <v>0.01</v>
      </c>
      <c r="D1288" s="2"/>
      <c r="E1288" s="2" t="s">
        <v>83</v>
      </c>
      <c r="F1288" s="2" t="s">
        <v>84</v>
      </c>
      <c r="H1288" s="2">
        <v>1.7</v>
      </c>
      <c r="J1288" s="2">
        <v>1.746428154</v>
      </c>
      <c r="K1288" s="2">
        <v>40.591147565555502</v>
      </c>
      <c r="L1288" s="2"/>
      <c r="M1288" s="2">
        <v>2.0828278302354399</v>
      </c>
      <c r="N1288" s="2">
        <v>321.83333333333297</v>
      </c>
      <c r="O1288" s="2">
        <v>24.4426767037586</v>
      </c>
      <c r="P1288" s="2">
        <v>30.987761916666599</v>
      </c>
      <c r="Q1288" s="2">
        <v>1.7515106247449801</v>
      </c>
      <c r="R1288" s="2">
        <v>4.1946395526666604</v>
      </c>
      <c r="S1288" s="2">
        <v>0.953433718100554</v>
      </c>
      <c r="T1288" s="2">
        <v>4.5353851246111097</v>
      </c>
      <c r="U1288" s="2">
        <v>2.5111677572951598</v>
      </c>
      <c r="V1288" s="2">
        <v>0.27823740327777702</v>
      </c>
      <c r="W1288" s="2">
        <v>0.174448537654839</v>
      </c>
      <c r="X1288" s="2">
        <v>3.6128933011666602</v>
      </c>
      <c r="Y1288" s="2">
        <v>0.23133217808442699</v>
      </c>
      <c r="Z1288" s="7">
        <v>115.398406374502</v>
      </c>
      <c r="AA1288" s="2">
        <v>8.7643063878019092</v>
      </c>
      <c r="AB1288" s="7">
        <v>101.68067745752801</v>
      </c>
      <c r="AC1288" s="2">
        <v>5.2174761618576699</v>
      </c>
      <c r="AD1288" s="2">
        <v>102.43876176730799</v>
      </c>
      <c r="AE1288" s="2">
        <v>56.7186487099844</v>
      </c>
      <c r="AF1288" s="2">
        <v>91.636565171236796</v>
      </c>
      <c r="AG1288" s="2">
        <v>5.1795421025947697</v>
      </c>
      <c r="AH1288" s="2">
        <v>112.297082850039</v>
      </c>
      <c r="AI1288" s="2">
        <v>25.5249167155478</v>
      </c>
      <c r="AJ1288" s="2">
        <v>59.161846000171401</v>
      </c>
      <c r="AK1288" s="2">
        <v>37.093134848541702</v>
      </c>
      <c r="AL1288" s="2">
        <v>107.30447443804201</v>
      </c>
      <c r="AM1288" s="2">
        <v>6.8706645119969201</v>
      </c>
      <c r="AN1288"/>
      <c r="AO1288"/>
    </row>
    <row r="1289" spans="1:41" ht="15.75" hidden="1" customHeight="1" x14ac:dyDescent="0.45">
      <c r="A1289" s="2" t="s">
        <v>222</v>
      </c>
      <c r="B1289" s="2" t="s">
        <v>82</v>
      </c>
      <c r="C1289" s="2">
        <v>0.03</v>
      </c>
      <c r="D1289" s="2"/>
      <c r="E1289" s="2" t="s">
        <v>83</v>
      </c>
      <c r="F1289" s="2" t="s">
        <v>84</v>
      </c>
      <c r="H1289" s="2">
        <v>1.7</v>
      </c>
      <c r="J1289" s="2">
        <v>1.746428154</v>
      </c>
      <c r="K1289" s="2">
        <v>38.433233118888801</v>
      </c>
      <c r="L1289" s="2"/>
      <c r="M1289" s="2">
        <v>1.9191798143081999</v>
      </c>
      <c r="N1289" s="2">
        <v>301.666666666666</v>
      </c>
      <c r="O1289" s="2">
        <v>53.0282943342511</v>
      </c>
      <c r="P1289" s="2">
        <v>31.9106724822222</v>
      </c>
      <c r="Q1289" s="2">
        <v>4.7355844822031203</v>
      </c>
      <c r="R1289" s="2">
        <v>3.56479604683333</v>
      </c>
      <c r="S1289" s="2">
        <v>0.88728644390762401</v>
      </c>
      <c r="T1289" s="2">
        <v>4.7255504247777704</v>
      </c>
      <c r="U1289" s="2">
        <v>0.91234894719597204</v>
      </c>
      <c r="V1289" s="2">
        <v>0.35761719749999998</v>
      </c>
      <c r="W1289" s="2">
        <v>0.111927332328459</v>
      </c>
      <c r="X1289" s="2">
        <v>3.3824384950555499</v>
      </c>
      <c r="Y1289" s="2">
        <v>0.54717563786919399</v>
      </c>
      <c r="Z1289" s="7">
        <v>108.16733067729</v>
      </c>
      <c r="AA1289" s="2">
        <v>19.014129442560101</v>
      </c>
      <c r="AB1289" s="7">
        <v>96.275109593794099</v>
      </c>
      <c r="AC1289" s="2">
        <v>4.8075384753907402</v>
      </c>
      <c r="AD1289" s="2">
        <v>106.733942296625</v>
      </c>
      <c r="AE1289" s="2">
        <v>20.606826957937098</v>
      </c>
      <c r="AF1289" s="2">
        <v>94.365783061034406</v>
      </c>
      <c r="AG1289" s="2">
        <v>14.0040025218441</v>
      </c>
      <c r="AH1289" s="2">
        <v>95.435183878968303</v>
      </c>
      <c r="AI1289" s="2">
        <v>23.754050390305199</v>
      </c>
      <c r="AJ1289" s="2">
        <v>76.040436390881396</v>
      </c>
      <c r="AK1289" s="2">
        <v>23.799199965273701</v>
      </c>
      <c r="AL1289" s="2">
        <v>100.45986824845799</v>
      </c>
      <c r="AM1289" s="2">
        <v>16.251350192903502</v>
      </c>
      <c r="AN1289"/>
      <c r="AO1289"/>
    </row>
    <row r="1290" spans="1:41" ht="15.75" hidden="1" customHeight="1" x14ac:dyDescent="0.45">
      <c r="A1290" s="2" t="s">
        <v>222</v>
      </c>
      <c r="B1290" s="2" t="s">
        <v>82</v>
      </c>
      <c r="C1290" s="2">
        <v>0.1</v>
      </c>
      <c r="D1290" s="2"/>
      <c r="E1290" s="2" t="s">
        <v>83</v>
      </c>
      <c r="F1290" s="2" t="s">
        <v>84</v>
      </c>
      <c r="H1290" s="2">
        <v>1.7</v>
      </c>
      <c r="J1290" s="2">
        <v>1.746428154</v>
      </c>
      <c r="K1290" s="2">
        <v>41.691324011666602</v>
      </c>
      <c r="L1290" s="2"/>
      <c r="M1290" s="2">
        <v>5.4684446730851803</v>
      </c>
      <c r="N1290" s="2">
        <v>303.83333333333297</v>
      </c>
      <c r="O1290" s="2">
        <v>54.025714042276</v>
      </c>
      <c r="P1290" s="2">
        <v>33.9063491372222</v>
      </c>
      <c r="Q1290" s="2">
        <v>4.64784990136818</v>
      </c>
      <c r="R1290" s="2">
        <v>2.6566052244444398</v>
      </c>
      <c r="S1290" s="2">
        <v>0.246959382350006</v>
      </c>
      <c r="T1290" s="2">
        <v>4.7677559487222201</v>
      </c>
      <c r="U1290" s="2">
        <v>1.1462531115060599</v>
      </c>
      <c r="V1290" s="2">
        <v>0.61685016599999998</v>
      </c>
      <c r="W1290" s="2">
        <v>0.113231764305082</v>
      </c>
      <c r="X1290" s="2">
        <v>2.9248831103888802</v>
      </c>
      <c r="Y1290" s="2">
        <v>0.31040044104960002</v>
      </c>
      <c r="Z1290" s="7">
        <v>108.944223107569</v>
      </c>
      <c r="AA1290" s="2">
        <v>19.371769975318099</v>
      </c>
      <c r="AB1290" s="7">
        <v>104.436615465507</v>
      </c>
      <c r="AC1290" s="2">
        <v>13.698434076058099</v>
      </c>
      <c r="AD1290" s="2">
        <v>107.687220021409</v>
      </c>
      <c r="AE1290" s="2">
        <v>25.889918097015901</v>
      </c>
      <c r="AF1290" s="2">
        <v>100.267369446925</v>
      </c>
      <c r="AG1290" s="2">
        <v>13.744555077524801</v>
      </c>
      <c r="AH1290" s="2">
        <v>71.121490474581705</v>
      </c>
      <c r="AI1290" s="2">
        <v>6.6114901822070999</v>
      </c>
      <c r="AJ1290" s="2">
        <v>131.16135392349901</v>
      </c>
      <c r="AK1290" s="2">
        <v>24.0765624004082</v>
      </c>
      <c r="AL1290" s="2">
        <v>86.870277860583101</v>
      </c>
      <c r="AM1290" s="2">
        <v>9.2190256992667194</v>
      </c>
      <c r="AN1290"/>
      <c r="AO1290"/>
    </row>
    <row r="1291" spans="1:41" ht="15.75" hidden="1" customHeight="1" x14ac:dyDescent="0.45">
      <c r="A1291" s="2" t="s">
        <v>222</v>
      </c>
      <c r="B1291" s="2" t="s">
        <v>82</v>
      </c>
      <c r="C1291" s="2">
        <v>0.3</v>
      </c>
      <c r="D1291" s="2"/>
      <c r="E1291" s="2" t="s">
        <v>83</v>
      </c>
      <c r="F1291" s="2" t="s">
        <v>84</v>
      </c>
      <c r="H1291" s="2">
        <v>1.7</v>
      </c>
      <c r="J1291" s="2">
        <v>1.746428154</v>
      </c>
      <c r="K1291" s="2">
        <v>36.233732316111102</v>
      </c>
      <c r="L1291" s="2"/>
      <c r="M1291" s="2">
        <v>4.9104870997588996</v>
      </c>
      <c r="N1291" s="2">
        <v>269.55555555555497</v>
      </c>
      <c r="O1291" s="2">
        <v>7.37174284634128</v>
      </c>
      <c r="P1291" s="2">
        <v>36.223066372222199</v>
      </c>
      <c r="Q1291" s="2">
        <v>0.62278032512913495</v>
      </c>
      <c r="R1291" s="2">
        <v>4.1949009343888797</v>
      </c>
      <c r="S1291" s="2">
        <v>0.59826707782378996</v>
      </c>
      <c r="T1291" s="2">
        <v>3.9269984918888801</v>
      </c>
      <c r="U1291" s="2">
        <v>1.19758231041232</v>
      </c>
      <c r="V1291" s="2">
        <v>0.56146840777777696</v>
      </c>
      <c r="W1291" s="2">
        <v>0.26507378353359501</v>
      </c>
      <c r="X1291" s="2">
        <v>3.4501840320555499</v>
      </c>
      <c r="Y1291" s="2">
        <v>8.8234457357732596E-2</v>
      </c>
      <c r="Z1291" s="7">
        <v>96.653386454183206</v>
      </c>
      <c r="AA1291" s="2">
        <v>2.64325440705464</v>
      </c>
      <c r="AB1291" s="7">
        <v>90.765368058804796</v>
      </c>
      <c r="AC1291" s="2">
        <v>12.300752378176901</v>
      </c>
      <c r="AD1291" s="2">
        <v>88.697398769565396</v>
      </c>
      <c r="AE1291" s="2">
        <v>27.049268280957701</v>
      </c>
      <c r="AF1291" s="2">
        <v>107.118332432226</v>
      </c>
      <c r="AG1291" s="2">
        <v>1.84167704671712</v>
      </c>
      <c r="AH1291" s="2">
        <v>112.304080448891</v>
      </c>
      <c r="AI1291" s="2">
        <v>16.016548445054902</v>
      </c>
      <c r="AJ1291" s="2">
        <v>119.385485501198</v>
      </c>
      <c r="AK1291" s="2">
        <v>56.362854797207198</v>
      </c>
      <c r="AL1291" s="2">
        <v>102.47193963760201</v>
      </c>
      <c r="AM1291" s="2">
        <v>2.6206010764392098</v>
      </c>
      <c r="AN1291"/>
      <c r="AO1291"/>
    </row>
    <row r="1292" spans="1:41" ht="15.75" hidden="1" customHeight="1" x14ac:dyDescent="0.45">
      <c r="A1292" s="2" t="s">
        <v>222</v>
      </c>
      <c r="B1292" s="2" t="s">
        <v>82</v>
      </c>
      <c r="C1292" s="2">
        <v>1</v>
      </c>
      <c r="D1292" s="2"/>
      <c r="E1292" s="2" t="s">
        <v>83</v>
      </c>
      <c r="F1292" s="2" t="s">
        <v>84</v>
      </c>
      <c r="H1292" s="2">
        <v>1.7</v>
      </c>
      <c r="J1292" s="2">
        <v>1.746428154</v>
      </c>
      <c r="K1292" s="2">
        <v>29.42519742</v>
      </c>
      <c r="L1292" s="2"/>
      <c r="M1292" s="2">
        <v>1.8512547459170801</v>
      </c>
      <c r="N1292" s="2">
        <v>192</v>
      </c>
      <c r="O1292" s="2">
        <v>6.0023143684566298</v>
      </c>
      <c r="P1292" s="2">
        <v>42.2836566</v>
      </c>
      <c r="Q1292" s="2">
        <v>3.4193172019833802</v>
      </c>
      <c r="R1292" s="2">
        <v>5.1251127436666604</v>
      </c>
      <c r="S1292" s="2">
        <v>1.7250436144104799</v>
      </c>
      <c r="T1292" s="2">
        <v>4.3813698139444401</v>
      </c>
      <c r="U1292" s="2">
        <v>1.4433191495873601</v>
      </c>
      <c r="V1292" s="2">
        <v>0.873690280777777</v>
      </c>
      <c r="W1292" s="2">
        <v>0.13022372571005</v>
      </c>
      <c r="X1292" s="2">
        <v>3.6542339843888798</v>
      </c>
      <c r="Y1292" s="2">
        <v>0.872069913941108</v>
      </c>
      <c r="Z1292" s="7">
        <v>68.844621513944205</v>
      </c>
      <c r="AA1292" s="2">
        <v>2.1522242755422201</v>
      </c>
      <c r="AB1292" s="7">
        <v>73.710012833586703</v>
      </c>
      <c r="AC1292" s="2">
        <v>4.6373864253851602</v>
      </c>
      <c r="AD1292" s="2">
        <v>98.960085252653698</v>
      </c>
      <c r="AE1292" s="2">
        <v>32.5996188761262</v>
      </c>
      <c r="AF1292" s="2">
        <v>125.04062294412</v>
      </c>
      <c r="AG1292" s="2">
        <v>10.1115557962304</v>
      </c>
      <c r="AH1292" s="2">
        <v>137.20731022655801</v>
      </c>
      <c r="AI1292" s="2">
        <v>46.182124412628802</v>
      </c>
      <c r="AJ1292" s="2">
        <v>185.77347701745799</v>
      </c>
      <c r="AK1292" s="2">
        <v>27.689577013249501</v>
      </c>
      <c r="AL1292" s="2">
        <v>108.532310390086</v>
      </c>
      <c r="AM1292" s="2">
        <v>25.900848983960302</v>
      </c>
      <c r="AN1292"/>
      <c r="AO1292"/>
    </row>
    <row r="1293" spans="1:41" ht="15.75" hidden="1" customHeight="1" x14ac:dyDescent="0.45">
      <c r="A1293" s="2" t="s">
        <v>222</v>
      </c>
      <c r="B1293" s="2" t="s">
        <v>82</v>
      </c>
      <c r="C1293" s="2">
        <v>3</v>
      </c>
      <c r="D1293" s="2"/>
      <c r="E1293" s="2" t="s">
        <v>83</v>
      </c>
      <c r="F1293" s="2" t="s">
        <v>84</v>
      </c>
      <c r="H1293" s="2">
        <v>1.7</v>
      </c>
      <c r="J1293" s="2">
        <v>1.746428154</v>
      </c>
      <c r="K1293" s="2">
        <v>3.88182121777777</v>
      </c>
      <c r="L1293" s="2"/>
      <c r="M1293" s="2">
        <v>1.2104552059343601</v>
      </c>
      <c r="N1293" s="2">
        <v>83.5555555555555</v>
      </c>
      <c r="O1293" s="2">
        <v>13.1385071591246</v>
      </c>
      <c r="P1293" s="2">
        <v>39.009274959444397</v>
      </c>
      <c r="Q1293" s="2">
        <v>2.8872041807911799</v>
      </c>
      <c r="R1293" s="2">
        <v>66.217729731666594</v>
      </c>
      <c r="S1293" s="2">
        <v>3.9363282122515701</v>
      </c>
      <c r="T1293" s="2">
        <v>5.5977797221666599</v>
      </c>
      <c r="U1293" s="2">
        <v>0.54749772390023399</v>
      </c>
      <c r="V1293" s="2">
        <v>0.249208068</v>
      </c>
      <c r="W1293" s="2">
        <v>0.174129277823343</v>
      </c>
      <c r="X1293" s="2">
        <v>5.5405923534444401</v>
      </c>
      <c r="Y1293" s="2">
        <v>0.75162011305899001</v>
      </c>
      <c r="Z1293" s="7">
        <v>29.960159362549799</v>
      </c>
      <c r="AA1293" s="2">
        <v>4.7110185032717897</v>
      </c>
      <c r="AB1293" s="7">
        <v>9.7239480740275397</v>
      </c>
      <c r="AC1293" s="2">
        <v>3.0321859014363</v>
      </c>
      <c r="AD1293" s="2">
        <v>126.43460425735501</v>
      </c>
      <c r="AE1293" s="2">
        <v>12.3660918236946</v>
      </c>
      <c r="AF1293" s="2">
        <v>115.357668511748</v>
      </c>
      <c r="AG1293" s="2">
        <v>8.5379988005341794</v>
      </c>
      <c r="AH1293" s="2">
        <v>1772.75253056991</v>
      </c>
      <c r="AI1293" s="2">
        <v>105.381682937487</v>
      </c>
      <c r="AJ1293" s="2">
        <v>52.989314762605801</v>
      </c>
      <c r="AK1293" s="2">
        <v>37.025250370169999</v>
      </c>
      <c r="AL1293" s="2">
        <v>164.55795978525299</v>
      </c>
      <c r="AM1293" s="2">
        <v>22.323438442760899</v>
      </c>
      <c r="AN1293"/>
      <c r="AO1293"/>
    </row>
    <row r="1294" spans="1:41" ht="15.75" hidden="1" customHeight="1" x14ac:dyDescent="0.45">
      <c r="A1294" s="2" t="s">
        <v>222</v>
      </c>
      <c r="B1294" s="2" t="s">
        <v>82</v>
      </c>
      <c r="C1294" s="2">
        <v>10</v>
      </c>
      <c r="D1294" s="2"/>
      <c r="E1294" s="2" t="s">
        <v>83</v>
      </c>
      <c r="F1294" s="2" t="s">
        <v>84</v>
      </c>
      <c r="H1294" s="2">
        <v>1.7</v>
      </c>
      <c r="J1294" s="2">
        <v>1.746428154</v>
      </c>
      <c r="K1294" s="2">
        <v>0</v>
      </c>
      <c r="L1294" s="2"/>
      <c r="M1294" s="2">
        <v>0</v>
      </c>
      <c r="N1294" s="2">
        <v>23.8888888888888</v>
      </c>
      <c r="O1294" s="2">
        <v>2.8690558519278202</v>
      </c>
      <c r="P1294" s="2">
        <v>0</v>
      </c>
      <c r="Q1294" s="2">
        <v>0</v>
      </c>
      <c r="R1294" s="2">
        <v>97.427152518888803</v>
      </c>
      <c r="S1294" s="2">
        <v>1.0389668925276601</v>
      </c>
      <c r="T1294" s="2">
        <v>6.0644544942777703</v>
      </c>
      <c r="U1294" s="2">
        <v>2.2210307180478801</v>
      </c>
      <c r="V1294" s="2">
        <v>0</v>
      </c>
      <c r="W1294" s="2">
        <v>0</v>
      </c>
      <c r="X1294" s="2">
        <v>0.71977137194444396</v>
      </c>
      <c r="Y1294" s="2">
        <v>7.6428856008157006E-2</v>
      </c>
      <c r="Z1294" s="7">
        <v>8.56573705179283</v>
      </c>
      <c r="AA1294" s="2">
        <v>1.02874512618926</v>
      </c>
      <c r="AB1294" s="7">
        <v>0</v>
      </c>
      <c r="AC1294" s="2">
        <v>0</v>
      </c>
      <c r="AD1294" s="2">
        <v>136.97518339002599</v>
      </c>
      <c r="AE1294" s="2">
        <v>50.165450199444898</v>
      </c>
      <c r="AF1294" s="2">
        <v>0</v>
      </c>
      <c r="AG1294" s="2">
        <v>0</v>
      </c>
      <c r="AH1294" s="2">
        <v>2608.2777508979698</v>
      </c>
      <c r="AI1294" s="2">
        <v>27.8147740094747</v>
      </c>
      <c r="AJ1294" s="2">
        <v>0</v>
      </c>
      <c r="AK1294" s="2">
        <v>0</v>
      </c>
      <c r="AL1294" s="2">
        <v>21.377517226181901</v>
      </c>
      <c r="AM1294" s="2">
        <v>2.26996967311706</v>
      </c>
      <c r="AN1294"/>
      <c r="AO1294"/>
    </row>
    <row r="1295" spans="1:41" ht="15.75" hidden="1" customHeight="1" x14ac:dyDescent="0.45">
      <c r="A1295" s="2" t="s">
        <v>222</v>
      </c>
      <c r="B1295" s="2" t="s">
        <v>82</v>
      </c>
      <c r="C1295" s="2">
        <v>3.0000000000000001E-3</v>
      </c>
      <c r="D1295" s="2"/>
      <c r="E1295" s="2" t="s">
        <v>85</v>
      </c>
      <c r="F1295" s="2" t="s">
        <v>84</v>
      </c>
      <c r="G1295" s="2" t="s">
        <v>86</v>
      </c>
      <c r="H1295" s="2">
        <v>4.8</v>
      </c>
      <c r="I1295" s="2">
        <v>3539</v>
      </c>
      <c r="J1295" s="2">
        <v>4.8</v>
      </c>
      <c r="K1295" s="2">
        <v>4.7126955058999904</v>
      </c>
      <c r="L1295" s="2"/>
      <c r="M1295" s="2">
        <v>1.04480156311395</v>
      </c>
      <c r="N1295" s="2">
        <v>152.611111111111</v>
      </c>
      <c r="O1295" s="2">
        <v>15.0870928402513</v>
      </c>
      <c r="P1295" s="2">
        <v>0.15656054114555501</v>
      </c>
      <c r="Q1295" s="2">
        <v>6.4690674043795707E-2</v>
      </c>
      <c r="R1295" s="2">
        <v>0.24230989495333299</v>
      </c>
      <c r="S1295" s="2">
        <v>0.174661491071501</v>
      </c>
      <c r="T1295" s="2">
        <v>5.3502842712222201</v>
      </c>
      <c r="U1295" s="2">
        <v>0.67576195602814304</v>
      </c>
      <c r="V1295" s="2">
        <v>0</v>
      </c>
      <c r="W1295" s="2">
        <v>0</v>
      </c>
      <c r="X1295" s="2">
        <v>0.448851674203333</v>
      </c>
      <c r="Y1295" s="2">
        <v>0.38505466652037801</v>
      </c>
      <c r="Z1295" s="7">
        <v>98.839337315077898</v>
      </c>
      <c r="AA1295" s="2">
        <v>10.199930733152099</v>
      </c>
      <c r="AB1295" s="7">
        <v>113.80317079632501</v>
      </c>
      <c r="AC1295" s="2">
        <v>29.983385373591702</v>
      </c>
      <c r="AD1295" s="2">
        <v>73.501400130351101</v>
      </c>
      <c r="AE1295" s="2">
        <v>28.584875679798099</v>
      </c>
      <c r="AF1295" s="2">
        <v>85.908197056249406</v>
      </c>
      <c r="AG1295" s="2">
        <v>75.311788189038396</v>
      </c>
      <c r="AH1295" s="2">
        <v>99.7993308785842</v>
      </c>
      <c r="AI1295" s="2">
        <v>96.264909954331401</v>
      </c>
      <c r="AJ1295" s="2">
        <v>0</v>
      </c>
      <c r="AK1295" s="2">
        <v>0</v>
      </c>
      <c r="AL1295" s="2">
        <v>122.857912533945</v>
      </c>
      <c r="AM1295" s="2">
        <v>120.948741289973</v>
      </c>
      <c r="AN1295"/>
      <c r="AO1295"/>
    </row>
    <row r="1296" spans="1:41" ht="15.75" hidden="1" customHeight="1" x14ac:dyDescent="0.45">
      <c r="A1296" s="2" t="s">
        <v>222</v>
      </c>
      <c r="B1296" s="2" t="s">
        <v>82</v>
      </c>
      <c r="C1296" s="2">
        <v>0.01</v>
      </c>
      <c r="D1296" s="2"/>
      <c r="E1296" s="2" t="s">
        <v>85</v>
      </c>
      <c r="F1296" s="2" t="s">
        <v>84</v>
      </c>
      <c r="G1296" s="2" t="s">
        <v>86</v>
      </c>
      <c r="H1296" s="2">
        <v>4.8</v>
      </c>
      <c r="I1296" s="2">
        <v>3539</v>
      </c>
      <c r="J1296" s="2">
        <v>4.8</v>
      </c>
      <c r="K1296" s="2">
        <v>4.4326146240888802</v>
      </c>
      <c r="L1296" s="2"/>
      <c r="M1296" s="2">
        <v>1.34413041774415</v>
      </c>
      <c r="N1296" s="2">
        <v>134.944444444444</v>
      </c>
      <c r="O1296" s="2">
        <v>16.155780985741799</v>
      </c>
      <c r="P1296" s="2">
        <v>0.30083732499833299</v>
      </c>
      <c r="Q1296" s="2">
        <v>0.338726373242694</v>
      </c>
      <c r="R1296" s="2">
        <v>0.11657696284111101</v>
      </c>
      <c r="S1296" s="2">
        <v>2.1765551157602002E-3</v>
      </c>
      <c r="T1296" s="2">
        <v>6.27138449018888</v>
      </c>
      <c r="U1296" s="2">
        <v>0.94923750226833203</v>
      </c>
      <c r="V1296" s="2">
        <v>0</v>
      </c>
      <c r="W1296" s="2">
        <v>0</v>
      </c>
      <c r="X1296" s="2">
        <v>0.34036379193111099</v>
      </c>
      <c r="Y1296" s="2">
        <v>0.21553996070187501</v>
      </c>
      <c r="Z1296" s="7">
        <v>87.382692053476205</v>
      </c>
      <c r="AA1296" s="2">
        <v>10.638035217993201</v>
      </c>
      <c r="AB1296" s="7">
        <v>107.07056682468</v>
      </c>
      <c r="AC1296" s="2">
        <v>34.360925041783801</v>
      </c>
      <c r="AD1296" s="2">
        <v>86.517647696399806</v>
      </c>
      <c r="AE1296" s="2">
        <v>36.622851743611797</v>
      </c>
      <c r="AF1296" s="2">
        <v>114.647383507105</v>
      </c>
      <c r="AG1296" s="2">
        <v>143.50412219686299</v>
      </c>
      <c r="AH1296" s="2">
        <v>40.671455199062002</v>
      </c>
      <c r="AI1296" s="2">
        <v>14.609536211329299</v>
      </c>
      <c r="AJ1296" s="2">
        <v>0</v>
      </c>
      <c r="AK1296" s="2">
        <v>0</v>
      </c>
      <c r="AL1296" s="2">
        <v>80.572183653165794</v>
      </c>
      <c r="AM1296" s="2">
        <v>29.6389613656413</v>
      </c>
      <c r="AN1296"/>
      <c r="AO1296"/>
    </row>
    <row r="1297" spans="1:41" ht="15.75" hidden="1" customHeight="1" x14ac:dyDescent="0.45">
      <c r="A1297" s="2" t="s">
        <v>222</v>
      </c>
      <c r="B1297" s="2" t="s">
        <v>82</v>
      </c>
      <c r="C1297" s="2">
        <v>0.03</v>
      </c>
      <c r="D1297" s="2"/>
      <c r="E1297" s="2" t="s">
        <v>85</v>
      </c>
      <c r="F1297" s="2" t="s">
        <v>84</v>
      </c>
      <c r="G1297" s="2" t="s">
        <v>86</v>
      </c>
      <c r="H1297" s="2">
        <v>4.8</v>
      </c>
      <c r="I1297" s="2">
        <v>3539</v>
      </c>
      <c r="J1297" s="2">
        <v>4.8</v>
      </c>
      <c r="K1297" s="2">
        <v>4.7394985471722197</v>
      </c>
      <c r="L1297" s="2"/>
      <c r="M1297" s="2">
        <v>0.59823954681303304</v>
      </c>
      <c r="N1297" s="2">
        <v>147.333333333333</v>
      </c>
      <c r="O1297" s="2">
        <v>2.8480012484395298</v>
      </c>
      <c r="P1297" s="2">
        <v>0.18803770853499999</v>
      </c>
      <c r="Q1297" s="2">
        <v>9.0401065843648098E-2</v>
      </c>
      <c r="R1297" s="2">
        <v>0.18065839441111101</v>
      </c>
      <c r="S1297" s="2">
        <v>0.12025629988127801</v>
      </c>
      <c r="T1297" s="2">
        <v>4.1927211131916602</v>
      </c>
      <c r="U1297" s="2">
        <v>0.31845433449966298</v>
      </c>
      <c r="V1297" s="2">
        <v>0</v>
      </c>
      <c r="W1297" s="2">
        <v>0</v>
      </c>
      <c r="X1297" s="2">
        <v>0.47071281404277698</v>
      </c>
      <c r="Y1297" s="2">
        <v>0.10344380275484399</v>
      </c>
      <c r="Z1297" s="7">
        <v>95.503126631214698</v>
      </c>
      <c r="AA1297" s="2">
        <v>6.18286397164559</v>
      </c>
      <c r="AB1297" s="7">
        <v>114.874379302403</v>
      </c>
      <c r="AC1297" s="2">
        <v>24.094102514065199</v>
      </c>
      <c r="AD1297" s="2">
        <v>57.0142604373494</v>
      </c>
      <c r="AE1297" s="2">
        <v>20.489945340561601</v>
      </c>
      <c r="AF1297" s="2">
        <v>90.196975059169702</v>
      </c>
      <c r="AG1297" s="2">
        <v>48.337004106643398</v>
      </c>
      <c r="AH1297" s="2">
        <v>54.587455440516699</v>
      </c>
      <c r="AI1297" s="2">
        <v>17.506021377545899</v>
      </c>
      <c r="AJ1297" s="2">
        <v>0</v>
      </c>
      <c r="AK1297" s="2">
        <v>0</v>
      </c>
      <c r="AL1297" s="2">
        <v>118.93685988355701</v>
      </c>
      <c r="AM1297" s="2">
        <v>6.3321210867769997</v>
      </c>
      <c r="AN1297"/>
      <c r="AO1297"/>
    </row>
    <row r="1298" spans="1:41" ht="15.75" hidden="1" customHeight="1" x14ac:dyDescent="0.45">
      <c r="A1298" s="2" t="s">
        <v>222</v>
      </c>
      <c r="B1298" s="2" t="s">
        <v>82</v>
      </c>
      <c r="C1298" s="2">
        <v>0.1</v>
      </c>
      <c r="D1298" s="2"/>
      <c r="E1298" s="2" t="s">
        <v>85</v>
      </c>
      <c r="F1298" s="2" t="s">
        <v>84</v>
      </c>
      <c r="G1298" s="2" t="s">
        <v>86</v>
      </c>
      <c r="H1298" s="2">
        <v>4.8</v>
      </c>
      <c r="I1298" s="2">
        <v>3539</v>
      </c>
      <c r="J1298" s="2">
        <v>4.8</v>
      </c>
      <c r="K1298" s="2">
        <v>4.1912694707666596</v>
      </c>
      <c r="L1298" s="2"/>
      <c r="M1298" s="2">
        <v>1.02919278318456</v>
      </c>
      <c r="N1298" s="2">
        <v>149.222222222222</v>
      </c>
      <c r="O1298" s="2">
        <v>12.236481580972599</v>
      </c>
      <c r="P1298" s="2">
        <v>0.28988397565444401</v>
      </c>
      <c r="Q1298" s="2">
        <v>9.3296464513425603E-2</v>
      </c>
      <c r="R1298" s="2">
        <v>0.48798704497555501</v>
      </c>
      <c r="S1298" s="2">
        <v>0.572755218165095</v>
      </c>
      <c r="T1298" s="2">
        <v>5.3361212384555499</v>
      </c>
      <c r="U1298" s="2">
        <v>1.87426527515575</v>
      </c>
      <c r="V1298" s="2">
        <v>0</v>
      </c>
      <c r="W1298" s="2">
        <v>0</v>
      </c>
      <c r="X1298" s="2">
        <v>0.31037351252611101</v>
      </c>
      <c r="Y1298" s="2">
        <v>9.2201928861859003E-2</v>
      </c>
      <c r="Z1298" s="7">
        <v>96.841384473457097</v>
      </c>
      <c r="AA1298" s="2">
        <v>11.3091443102048</v>
      </c>
      <c r="AB1298" s="7">
        <v>102.01479239087401</v>
      </c>
      <c r="AC1298" s="2">
        <v>33.082787317008901</v>
      </c>
      <c r="AD1298" s="2">
        <v>72.104583690215605</v>
      </c>
      <c r="AE1298" s="2">
        <v>34.815958814700402</v>
      </c>
      <c r="AF1298" s="2">
        <v>144.167360634955</v>
      </c>
      <c r="AG1298" s="2">
        <v>81.097878295982099</v>
      </c>
      <c r="AH1298" s="2">
        <v>135.56721919435299</v>
      </c>
      <c r="AI1298" s="2">
        <v>123.504356323393</v>
      </c>
      <c r="AJ1298" s="2">
        <v>0</v>
      </c>
      <c r="AK1298" s="2">
        <v>0</v>
      </c>
      <c r="AL1298" s="2">
        <v>84.281804204314497</v>
      </c>
      <c r="AM1298" s="2">
        <v>38.838517683836599</v>
      </c>
      <c r="AN1298"/>
      <c r="AO1298"/>
    </row>
    <row r="1299" spans="1:41" ht="15.75" hidden="1" customHeight="1" x14ac:dyDescent="0.45">
      <c r="A1299" s="2" t="s">
        <v>222</v>
      </c>
      <c r="B1299" s="2" t="s">
        <v>82</v>
      </c>
      <c r="C1299" s="2">
        <v>0.3</v>
      </c>
      <c r="D1299" s="2"/>
      <c r="E1299" s="2" t="s">
        <v>85</v>
      </c>
      <c r="F1299" s="2" t="s">
        <v>84</v>
      </c>
      <c r="G1299" s="2" t="s">
        <v>86</v>
      </c>
      <c r="H1299" s="2">
        <v>4.8</v>
      </c>
      <c r="I1299" s="2">
        <v>3539</v>
      </c>
      <c r="J1299" s="2">
        <v>4.8</v>
      </c>
      <c r="K1299" s="2">
        <v>3.9927648792277699</v>
      </c>
      <c r="L1299" s="2"/>
      <c r="M1299" s="2">
        <v>1.4280553364838899</v>
      </c>
      <c r="N1299" s="2">
        <v>136.277777777777</v>
      </c>
      <c r="O1299" s="2">
        <v>8.5996339284706895</v>
      </c>
      <c r="P1299" s="2">
        <v>0.270460945624444</v>
      </c>
      <c r="Q1299" s="2">
        <v>0.16512697886981401</v>
      </c>
      <c r="R1299" s="2">
        <v>0.24809396185055499</v>
      </c>
      <c r="S1299" s="2">
        <v>0.127689699409087</v>
      </c>
      <c r="T1299" s="2">
        <v>5.7852746871500003</v>
      </c>
      <c r="U1299" s="2">
        <v>1.4597805303201901</v>
      </c>
      <c r="V1299" s="2">
        <v>0</v>
      </c>
      <c r="W1299" s="2">
        <v>0</v>
      </c>
      <c r="X1299" s="2">
        <v>0.248505118421111</v>
      </c>
      <c r="Y1299" s="2">
        <v>0.12828279862088199</v>
      </c>
      <c r="Z1299" s="7">
        <v>88.339650494870995</v>
      </c>
      <c r="AA1299" s="2">
        <v>7.9299795749011803</v>
      </c>
      <c r="AB1299" s="7">
        <v>94.200328845302494</v>
      </c>
      <c r="AC1299" s="2">
        <v>25.927606994057601</v>
      </c>
      <c r="AD1299" s="2">
        <v>78.513189132688595</v>
      </c>
      <c r="AE1299" s="2">
        <v>32.5626243844914</v>
      </c>
      <c r="AF1299" s="2">
        <v>111.94077082424</v>
      </c>
      <c r="AG1299" s="2">
        <v>57.852762990903003</v>
      </c>
      <c r="AH1299" s="2">
        <v>90.132486520447003</v>
      </c>
      <c r="AI1299" s="2">
        <v>71.584320174882805</v>
      </c>
      <c r="AJ1299" s="2">
        <v>0</v>
      </c>
      <c r="AK1299" s="2">
        <v>0</v>
      </c>
      <c r="AL1299" s="2">
        <v>60.3531107689303</v>
      </c>
      <c r="AM1299" s="2">
        <v>19.899077933811501</v>
      </c>
      <c r="AN1299"/>
      <c r="AO1299"/>
    </row>
    <row r="1300" spans="1:41" ht="15.75" hidden="1" customHeight="1" x14ac:dyDescent="0.45">
      <c r="A1300" s="2" t="s">
        <v>222</v>
      </c>
      <c r="B1300" s="2" t="s">
        <v>82</v>
      </c>
      <c r="C1300" s="2">
        <v>1</v>
      </c>
      <c r="D1300" s="2"/>
      <c r="E1300" s="2" t="s">
        <v>85</v>
      </c>
      <c r="F1300" s="2" t="s">
        <v>84</v>
      </c>
      <c r="G1300" s="2" t="s">
        <v>86</v>
      </c>
      <c r="H1300" s="2">
        <v>4.8</v>
      </c>
      <c r="I1300" s="2">
        <v>3539</v>
      </c>
      <c r="J1300" s="2">
        <v>4.8</v>
      </c>
      <c r="K1300" s="2">
        <v>4.31510693487777</v>
      </c>
      <c r="L1300" s="2"/>
      <c r="M1300" s="2">
        <v>1.06567709378114</v>
      </c>
      <c r="N1300" s="2">
        <v>127</v>
      </c>
      <c r="O1300" s="2">
        <v>21.8218799475308</v>
      </c>
      <c r="P1300" s="2">
        <v>0.51350203532722205</v>
      </c>
      <c r="Q1300" s="2">
        <v>9.3016905739786701E-2</v>
      </c>
      <c r="R1300" s="2">
        <v>19.819245559483299</v>
      </c>
      <c r="S1300" s="2">
        <v>17.378045915942799</v>
      </c>
      <c r="T1300" s="2">
        <v>6.16703845101111</v>
      </c>
      <c r="U1300" s="2">
        <v>2.57837697447362</v>
      </c>
      <c r="V1300" s="2">
        <v>0</v>
      </c>
      <c r="W1300" s="2">
        <v>0</v>
      </c>
      <c r="X1300" s="2">
        <v>0.59902383513666602</v>
      </c>
      <c r="Y1300" s="2">
        <v>0.46856160450432899</v>
      </c>
      <c r="Z1300" s="7">
        <v>82.228399016626298</v>
      </c>
      <c r="AA1300" s="2">
        <v>14.076357647776</v>
      </c>
      <c r="AB1300" s="7">
        <v>104.656772443878</v>
      </c>
      <c r="AC1300" s="2">
        <v>32.489982700908499</v>
      </c>
      <c r="AD1300" s="2">
        <v>87.263571614303899</v>
      </c>
      <c r="AE1300" s="2">
        <v>49.461692398802199</v>
      </c>
      <c r="AF1300" s="2">
        <v>247.649919849187</v>
      </c>
      <c r="AG1300" s="2">
        <v>115.474415846298</v>
      </c>
      <c r="AH1300" s="2">
        <v>7244.2082895073399</v>
      </c>
      <c r="AI1300" s="2">
        <v>6395.9552199408499</v>
      </c>
      <c r="AJ1300" s="2">
        <v>0</v>
      </c>
      <c r="AK1300" s="2">
        <v>0</v>
      </c>
      <c r="AL1300" s="2">
        <v>165.181857953811</v>
      </c>
      <c r="AM1300" s="2">
        <v>149.05960607799901</v>
      </c>
      <c r="AN1300"/>
      <c r="AO1300"/>
    </row>
    <row r="1301" spans="1:41" ht="15.75" hidden="1" customHeight="1" x14ac:dyDescent="0.45">
      <c r="A1301" s="2" t="s">
        <v>222</v>
      </c>
      <c r="B1301" s="2" t="s">
        <v>82</v>
      </c>
      <c r="C1301" s="2">
        <v>3</v>
      </c>
      <c r="D1301" s="2"/>
      <c r="E1301" s="2" t="s">
        <v>85</v>
      </c>
      <c r="F1301" s="2" t="s">
        <v>84</v>
      </c>
      <c r="G1301" s="2" t="s">
        <v>86</v>
      </c>
      <c r="H1301" s="2">
        <v>4.8</v>
      </c>
      <c r="I1301" s="2">
        <v>3539</v>
      </c>
      <c r="J1301" s="2">
        <v>4.8</v>
      </c>
      <c r="K1301" s="2">
        <v>0.37134241602000001</v>
      </c>
      <c r="L1301" s="2"/>
      <c r="M1301" s="2">
        <v>9.3664896564442504E-2</v>
      </c>
      <c r="N1301" s="2">
        <v>92.088888888888803</v>
      </c>
      <c r="O1301" s="2">
        <v>8.6269173928876395</v>
      </c>
      <c r="P1301" s="2">
        <v>0.101085288414444</v>
      </c>
      <c r="Q1301" s="2">
        <v>8.7640044594083893E-2</v>
      </c>
      <c r="R1301" s="2">
        <v>97.830792639799995</v>
      </c>
      <c r="S1301" s="2">
        <v>0.97567552947337899</v>
      </c>
      <c r="T1301" s="2">
        <v>7.9547053536766601</v>
      </c>
      <c r="U1301" s="2">
        <v>1.7344612482180699</v>
      </c>
      <c r="V1301" s="2">
        <v>0</v>
      </c>
      <c r="W1301" s="2">
        <v>0</v>
      </c>
      <c r="X1301" s="2">
        <v>0.45234355724266601</v>
      </c>
      <c r="Y1301" s="2">
        <v>0.15380004493043101</v>
      </c>
      <c r="Z1301" s="7">
        <v>59.736791280728603</v>
      </c>
      <c r="AA1301" s="2">
        <v>7.3607761496873998</v>
      </c>
      <c r="AB1301" s="7">
        <v>9.0581039768187708</v>
      </c>
      <c r="AC1301" s="2">
        <v>2.9073637855288301</v>
      </c>
      <c r="AD1301" s="2">
        <v>110.784133128527</v>
      </c>
      <c r="AE1301" s="2">
        <v>49.3249323823865</v>
      </c>
      <c r="AF1301" s="2">
        <v>53.123090551989002</v>
      </c>
      <c r="AG1301" s="2">
        <v>58.877041015730903</v>
      </c>
      <c r="AH1301" s="2">
        <v>34340.889895774002</v>
      </c>
      <c r="AI1301" s="2">
        <v>12983.8494393192</v>
      </c>
      <c r="AJ1301" s="2">
        <v>0</v>
      </c>
      <c r="AK1301" s="2">
        <v>0</v>
      </c>
      <c r="AL1301" s="2">
        <v>112.192816401451</v>
      </c>
      <c r="AM1301" s="2">
        <v>10.312803350791301</v>
      </c>
      <c r="AN1301"/>
      <c r="AO1301"/>
    </row>
    <row r="1302" spans="1:41" ht="15.75" hidden="1" customHeight="1" x14ac:dyDescent="0.45">
      <c r="A1302" s="2" t="s">
        <v>222</v>
      </c>
      <c r="B1302" s="2" t="s">
        <v>82</v>
      </c>
      <c r="C1302" s="2">
        <v>10</v>
      </c>
      <c r="D1302" s="2"/>
      <c r="E1302" s="2" t="s">
        <v>85</v>
      </c>
      <c r="F1302" s="2" t="s">
        <v>84</v>
      </c>
      <c r="G1302" s="2" t="s">
        <v>86</v>
      </c>
      <c r="H1302" s="2">
        <v>4.8</v>
      </c>
      <c r="I1302" s="2">
        <v>3539</v>
      </c>
      <c r="J1302" s="2">
        <v>4.8</v>
      </c>
      <c r="K1302" s="2">
        <v>5.3418803418888799E-2</v>
      </c>
      <c r="L1302" s="2"/>
      <c r="M1302" s="2">
        <v>9.2524081601049593E-2</v>
      </c>
      <c r="N1302" s="2">
        <v>52.2222222222222</v>
      </c>
      <c r="O1302" s="2">
        <v>6.5177819449166297</v>
      </c>
      <c r="P1302" s="2">
        <v>0</v>
      </c>
      <c r="Q1302" s="2">
        <v>0</v>
      </c>
      <c r="R1302" s="2">
        <v>99.777297865555497</v>
      </c>
      <c r="S1302" s="2">
        <v>0.23713755030283801</v>
      </c>
      <c r="T1302" s="2">
        <v>14.864695286738799</v>
      </c>
      <c r="U1302" s="2">
        <v>2.8016688099246299</v>
      </c>
      <c r="V1302" s="2">
        <v>0</v>
      </c>
      <c r="W1302" s="2">
        <v>0</v>
      </c>
      <c r="X1302" s="2">
        <v>0.63001601400555496</v>
      </c>
      <c r="Y1302" s="2">
        <v>0.65653588770244897</v>
      </c>
      <c r="Z1302" s="7">
        <v>33.949092545861298</v>
      </c>
      <c r="AA1302" s="2">
        <v>5.6450619824696799</v>
      </c>
      <c r="AB1302" s="7">
        <v>1.2868003186116199</v>
      </c>
      <c r="AC1302" s="2">
        <v>2.2288035310311498</v>
      </c>
      <c r="AD1302" s="2">
        <v>205.77534847983199</v>
      </c>
      <c r="AE1302" s="2">
        <v>93.328970695078098</v>
      </c>
      <c r="AF1302" s="2">
        <v>0</v>
      </c>
      <c r="AG1302" s="2">
        <v>0</v>
      </c>
      <c r="AH1302" s="2">
        <v>34954.896538594097</v>
      </c>
      <c r="AI1302" s="2">
        <v>13011.647277747399</v>
      </c>
      <c r="AJ1302" s="2">
        <v>0</v>
      </c>
      <c r="AK1302" s="2">
        <v>0</v>
      </c>
      <c r="AL1302" s="2">
        <v>179.281009044569</v>
      </c>
      <c r="AM1302" s="2">
        <v>200.813204767114</v>
      </c>
      <c r="AN1302"/>
      <c r="AO1302"/>
    </row>
    <row r="1303" spans="1:41" ht="15.75" hidden="1" customHeight="1" x14ac:dyDescent="0.45">
      <c r="A1303" s="2" t="s">
        <v>223</v>
      </c>
      <c r="B1303" s="2" t="s">
        <v>224</v>
      </c>
      <c r="C1303" s="2">
        <v>3.0000000000000001E-3</v>
      </c>
      <c r="D1303" s="2"/>
      <c r="E1303" s="2" t="s">
        <v>83</v>
      </c>
      <c r="F1303" s="2" t="s">
        <v>84</v>
      </c>
      <c r="H1303" s="2">
        <v>9.3000000000000007</v>
      </c>
      <c r="J1303" s="2">
        <v>9.2991368459999997</v>
      </c>
      <c r="K1303" s="2">
        <v>42.421484358333302</v>
      </c>
      <c r="L1303" s="2"/>
      <c r="M1303" s="2">
        <v>2.85697672454</v>
      </c>
      <c r="N1303" s="2">
        <v>306.888888888888</v>
      </c>
      <c r="O1303" s="2">
        <v>53.719004844482001</v>
      </c>
      <c r="P1303" s="2">
        <v>33.760788821111099</v>
      </c>
      <c r="Q1303" s="2">
        <v>3.8611127315097402</v>
      </c>
      <c r="R1303" s="2">
        <v>2.6824537316111101</v>
      </c>
      <c r="S1303" s="2">
        <v>0.695474627545839</v>
      </c>
      <c r="T1303" s="2">
        <v>4.07499824511111</v>
      </c>
      <c r="U1303" s="2">
        <v>1.81236423360929</v>
      </c>
      <c r="V1303" s="2">
        <v>0.316142059944444</v>
      </c>
      <c r="W1303" s="2">
        <v>0.24985116080094799</v>
      </c>
      <c r="X1303" s="2">
        <v>3.5125199430555498</v>
      </c>
      <c r="Y1303" s="2">
        <v>0.78011103124062098</v>
      </c>
      <c r="Z1303" s="7">
        <v>110.03984063745</v>
      </c>
      <c r="AA1303" s="2">
        <v>19.261794565750499</v>
      </c>
      <c r="AB1303" s="7">
        <v>106.265664486153</v>
      </c>
      <c r="AC1303" s="2">
        <v>7.1567163348228702</v>
      </c>
      <c r="AD1303" s="2">
        <v>92.040204517126199</v>
      </c>
      <c r="AE1303" s="2">
        <v>40.935078909801</v>
      </c>
      <c r="AF1303" s="2">
        <v>99.836920567476099</v>
      </c>
      <c r="AG1303" s="2">
        <v>11.418027200737701</v>
      </c>
      <c r="AH1303" s="2">
        <v>71.813495571658393</v>
      </c>
      <c r="AI1303" s="2">
        <v>18.618947084491399</v>
      </c>
      <c r="AJ1303" s="2">
        <v>67.221544063712798</v>
      </c>
      <c r="AK1303" s="2">
        <v>53.126056109403002</v>
      </c>
      <c r="AL1303" s="2">
        <v>104.323342823606</v>
      </c>
      <c r="AM1303" s="2">
        <v>23.169630883802501</v>
      </c>
      <c r="AN1303"/>
      <c r="AO1303"/>
    </row>
    <row r="1304" spans="1:41" ht="15.75" hidden="1" customHeight="1" x14ac:dyDescent="0.45">
      <c r="A1304" s="2" t="s">
        <v>223</v>
      </c>
      <c r="B1304" s="2" t="s">
        <v>224</v>
      </c>
      <c r="C1304" s="2">
        <v>0.01</v>
      </c>
      <c r="D1304" s="2"/>
      <c r="E1304" s="2" t="s">
        <v>83</v>
      </c>
      <c r="F1304" s="2" t="s">
        <v>84</v>
      </c>
      <c r="H1304" s="2">
        <v>9.3000000000000007</v>
      </c>
      <c r="J1304" s="2">
        <v>9.2991368459999997</v>
      </c>
      <c r="K1304" s="2">
        <v>42.649640368888797</v>
      </c>
      <c r="L1304" s="2"/>
      <c r="M1304" s="2">
        <v>1.0408879649159</v>
      </c>
      <c r="N1304" s="2">
        <v>291.83333333333297</v>
      </c>
      <c r="O1304" s="2">
        <v>37.091104054746197</v>
      </c>
      <c r="P1304" s="2">
        <v>34.448669021111101</v>
      </c>
      <c r="Q1304" s="2">
        <v>3.3997250987334402</v>
      </c>
      <c r="R1304" s="2">
        <v>3.3135333246666598</v>
      </c>
      <c r="S1304" s="2">
        <v>0.783328136780581</v>
      </c>
      <c r="T1304" s="2">
        <v>4.3130201520555502</v>
      </c>
      <c r="U1304" s="2">
        <v>0.88506925477962295</v>
      </c>
      <c r="V1304" s="2">
        <v>0.41400533805555501</v>
      </c>
      <c r="W1304" s="2">
        <v>0.15833110451143301</v>
      </c>
      <c r="X1304" s="2">
        <v>3.2479121170555501</v>
      </c>
      <c r="Y1304" s="2">
        <v>0.81077101035155197</v>
      </c>
      <c r="Z1304" s="7">
        <v>104.641434262948</v>
      </c>
      <c r="AA1304" s="2">
        <v>13.299599063454799</v>
      </c>
      <c r="AB1304" s="7">
        <v>106.837194465241</v>
      </c>
      <c r="AC1304" s="2">
        <v>2.6074205775805099</v>
      </c>
      <c r="AD1304" s="2">
        <v>97.416301309561902</v>
      </c>
      <c r="AE1304" s="2">
        <v>19.990672467029601</v>
      </c>
      <c r="AF1304" s="2">
        <v>101.87111003062</v>
      </c>
      <c r="AG1304" s="2">
        <v>10.053618309453199</v>
      </c>
      <c r="AH1304" s="2">
        <v>88.708486537276798</v>
      </c>
      <c r="AI1304" s="2">
        <v>20.970923382175599</v>
      </c>
      <c r="AJ1304" s="2">
        <v>88.030292709563696</v>
      </c>
      <c r="AK1304" s="2">
        <v>33.666071893255904</v>
      </c>
      <c r="AL1304" s="2">
        <v>96.464377353478895</v>
      </c>
      <c r="AM1304" s="2">
        <v>24.080245361046401</v>
      </c>
      <c r="AN1304"/>
      <c r="AO1304"/>
    </row>
    <row r="1305" spans="1:41" ht="15.75" hidden="1" customHeight="1" x14ac:dyDescent="0.45">
      <c r="A1305" s="2" t="s">
        <v>223</v>
      </c>
      <c r="B1305" s="2" t="s">
        <v>224</v>
      </c>
      <c r="C1305" s="2">
        <v>0.03</v>
      </c>
      <c r="D1305" s="2"/>
      <c r="E1305" s="2" t="s">
        <v>83</v>
      </c>
      <c r="F1305" s="2" t="s">
        <v>84</v>
      </c>
      <c r="H1305" s="2">
        <v>9.3000000000000007</v>
      </c>
      <c r="J1305" s="2">
        <v>9.2991368459999997</v>
      </c>
      <c r="K1305" s="2">
        <v>39.973261864444403</v>
      </c>
      <c r="L1305" s="2"/>
      <c r="M1305" s="2">
        <v>1.1151046193035301</v>
      </c>
      <c r="N1305" s="2">
        <v>287.33333333333297</v>
      </c>
      <c r="O1305" s="2">
        <v>14.7563545633737</v>
      </c>
      <c r="P1305" s="2">
        <v>33.841660474444403</v>
      </c>
      <c r="Q1305" s="2">
        <v>0.85810158410967097</v>
      </c>
      <c r="R1305" s="2">
        <v>3.3236525066666598</v>
      </c>
      <c r="S1305" s="2">
        <v>1.0754258662326801</v>
      </c>
      <c r="T1305" s="2">
        <v>4.0997336168333298</v>
      </c>
      <c r="U1305" s="2">
        <v>1.8623312785652799</v>
      </c>
      <c r="V1305" s="2">
        <v>0.35144213566666599</v>
      </c>
      <c r="W1305" s="2">
        <v>0.20072458899037901</v>
      </c>
      <c r="X1305" s="2">
        <v>3.3093970056111099</v>
      </c>
      <c r="Y1305" s="2">
        <v>0.192284814361629</v>
      </c>
      <c r="Z1305" s="7">
        <v>103.027888446215</v>
      </c>
      <c r="AA1305" s="2">
        <v>5.2911231502136804</v>
      </c>
      <c r="AB1305" s="7">
        <v>100.132876016861</v>
      </c>
      <c r="AC1305" s="2">
        <v>2.7933330276923898</v>
      </c>
      <c r="AD1305" s="2">
        <v>92.598891548427801</v>
      </c>
      <c r="AE1305" s="2">
        <v>42.063662717753097</v>
      </c>
      <c r="AF1305" s="2">
        <v>100.07607306100201</v>
      </c>
      <c r="AG1305" s="2">
        <v>2.5375656992354299</v>
      </c>
      <c r="AH1305" s="2">
        <v>88.979392917946896</v>
      </c>
      <c r="AI1305" s="2">
        <v>28.790837945213099</v>
      </c>
      <c r="AJ1305" s="2">
        <v>74.727427956639801</v>
      </c>
      <c r="AK1305" s="2">
        <v>42.680233075784301</v>
      </c>
      <c r="AL1305" s="2">
        <v>98.290504809333996</v>
      </c>
      <c r="AM1305" s="2">
        <v>5.7109411287702398</v>
      </c>
      <c r="AN1305"/>
      <c r="AO1305"/>
    </row>
    <row r="1306" spans="1:41" ht="15.75" hidden="1" customHeight="1" x14ac:dyDescent="0.45">
      <c r="A1306" s="2" t="s">
        <v>223</v>
      </c>
      <c r="B1306" s="2" t="s">
        <v>224</v>
      </c>
      <c r="C1306" s="2">
        <v>0.1</v>
      </c>
      <c r="D1306" s="2"/>
      <c r="E1306" s="2" t="s">
        <v>83</v>
      </c>
      <c r="F1306" s="2" t="s">
        <v>84</v>
      </c>
      <c r="H1306" s="2">
        <v>9.3000000000000007</v>
      </c>
      <c r="J1306" s="2">
        <v>9.2991368459999997</v>
      </c>
      <c r="K1306" s="2">
        <v>41.381635991111096</v>
      </c>
      <c r="L1306" s="2"/>
      <c r="M1306" s="2">
        <v>0.84350208265295301</v>
      </c>
      <c r="N1306" s="2">
        <v>314.27777777777698</v>
      </c>
      <c r="O1306" s="2">
        <v>73.546344673374506</v>
      </c>
      <c r="P1306" s="2">
        <v>32.3810198983333</v>
      </c>
      <c r="Q1306" s="2">
        <v>1.9140438312725301</v>
      </c>
      <c r="R1306" s="2">
        <v>3.2968115732777701</v>
      </c>
      <c r="S1306" s="2">
        <v>0.90849033429286097</v>
      </c>
      <c r="T1306" s="2">
        <v>2.7380659788888799</v>
      </c>
      <c r="U1306" s="2">
        <v>1.2663874635962999</v>
      </c>
      <c r="V1306" s="2">
        <v>0.4142574845</v>
      </c>
      <c r="W1306" s="2">
        <v>0.170722528980949</v>
      </c>
      <c r="X1306" s="2">
        <v>3.3939839548888799</v>
      </c>
      <c r="Y1306" s="2">
        <v>0.71012198486275002</v>
      </c>
      <c r="Z1306" s="7">
        <v>112.689243027888</v>
      </c>
      <c r="AA1306" s="2">
        <v>26.3711992852737</v>
      </c>
      <c r="AB1306" s="7">
        <v>103.660848097025</v>
      </c>
      <c r="AC1306" s="2">
        <v>2.1129696582849999</v>
      </c>
      <c r="AD1306" s="2">
        <v>61.843499682647597</v>
      </c>
      <c r="AE1306" s="2">
        <v>28.603340206874101</v>
      </c>
      <c r="AF1306" s="2">
        <v>95.756687695112106</v>
      </c>
      <c r="AG1306" s="2">
        <v>5.6601829701896804</v>
      </c>
      <c r="AH1306" s="2">
        <v>88.260819013634205</v>
      </c>
      <c r="AI1306" s="2">
        <v>24.321711808035499</v>
      </c>
      <c r="AJ1306" s="2">
        <v>88.083906813706307</v>
      </c>
      <c r="AK1306" s="2">
        <v>36.300870585135499</v>
      </c>
      <c r="AL1306" s="2">
        <v>100.80277333761801</v>
      </c>
      <c r="AM1306" s="2">
        <v>21.090926307729902</v>
      </c>
      <c r="AN1306"/>
      <c r="AO1306"/>
    </row>
    <row r="1307" spans="1:41" ht="15.75" hidden="1" customHeight="1" x14ac:dyDescent="0.45">
      <c r="A1307" s="2" t="s">
        <v>223</v>
      </c>
      <c r="B1307" s="2" t="s">
        <v>224</v>
      </c>
      <c r="C1307" s="2">
        <v>0.3</v>
      </c>
      <c r="D1307" s="2"/>
      <c r="E1307" s="2" t="s">
        <v>83</v>
      </c>
      <c r="F1307" s="2" t="s">
        <v>84</v>
      </c>
      <c r="H1307" s="2">
        <v>9.3000000000000007</v>
      </c>
      <c r="J1307" s="2">
        <v>9.2991368459999997</v>
      </c>
      <c r="K1307" s="2">
        <v>40.459091087777701</v>
      </c>
      <c r="L1307" s="2"/>
      <c r="M1307" s="2">
        <v>3.2737107394183602</v>
      </c>
      <c r="N1307" s="2">
        <v>271.05555555555497</v>
      </c>
      <c r="O1307" s="2">
        <v>40.487423744682403</v>
      </c>
      <c r="P1307" s="2">
        <v>33.293104100000001</v>
      </c>
      <c r="Q1307" s="2">
        <v>1.0835311584051901</v>
      </c>
      <c r="R1307" s="2">
        <v>3.5176092330555502</v>
      </c>
      <c r="S1307" s="2">
        <v>0.46887856343844903</v>
      </c>
      <c r="T1307" s="2">
        <v>3.84103029255555</v>
      </c>
      <c r="U1307" s="2">
        <v>0.83570639575976502</v>
      </c>
      <c r="V1307" s="2">
        <v>0.32641303955555501</v>
      </c>
      <c r="W1307" s="2">
        <v>0.14650749996253601</v>
      </c>
      <c r="X1307" s="2">
        <v>3.4246140650000001</v>
      </c>
      <c r="Y1307" s="2">
        <v>0.25985965104692998</v>
      </c>
      <c r="Z1307" s="7">
        <v>97.191235059760899</v>
      </c>
      <c r="AA1307" s="2">
        <v>14.5174029363403</v>
      </c>
      <c r="AB1307" s="7">
        <v>101.349876459566</v>
      </c>
      <c r="AC1307" s="2">
        <v>8.20063353090592</v>
      </c>
      <c r="AD1307" s="2">
        <v>86.755672620823603</v>
      </c>
      <c r="AE1307" s="2">
        <v>18.875735142777199</v>
      </c>
      <c r="AF1307" s="2">
        <v>98.453890016868996</v>
      </c>
      <c r="AG1307" s="2">
        <v>3.2042028036513299</v>
      </c>
      <c r="AH1307" s="2">
        <v>94.1719188308752</v>
      </c>
      <c r="AI1307" s="2">
        <v>12.552614884771501</v>
      </c>
      <c r="AJ1307" s="2">
        <v>69.405470835832702</v>
      </c>
      <c r="AK1307" s="2">
        <v>31.152009214233399</v>
      </c>
      <c r="AL1307" s="2">
        <v>101.712500692807</v>
      </c>
      <c r="AM1307" s="2">
        <v>7.7179426456463096</v>
      </c>
      <c r="AN1307"/>
      <c r="AO1307"/>
    </row>
    <row r="1308" spans="1:41" ht="15.75" hidden="1" customHeight="1" x14ac:dyDescent="0.45">
      <c r="A1308" s="2" t="s">
        <v>223</v>
      </c>
      <c r="B1308" s="2" t="s">
        <v>224</v>
      </c>
      <c r="C1308" s="2">
        <v>1</v>
      </c>
      <c r="D1308" s="2"/>
      <c r="E1308" s="2" t="s">
        <v>83</v>
      </c>
      <c r="F1308" s="2" t="s">
        <v>84</v>
      </c>
      <c r="H1308" s="2">
        <v>9.3000000000000007</v>
      </c>
      <c r="J1308" s="2">
        <v>9.2991368459999997</v>
      </c>
      <c r="K1308" s="2">
        <v>39.629826023333301</v>
      </c>
      <c r="L1308" s="2"/>
      <c r="M1308" s="2">
        <v>3.8550651794210999</v>
      </c>
      <c r="N1308" s="2">
        <v>246.722222222222</v>
      </c>
      <c r="O1308" s="2">
        <v>37.934275520421103</v>
      </c>
      <c r="P1308" s="2">
        <v>33.944307520555498</v>
      </c>
      <c r="Q1308" s="2">
        <v>2.1202510977190401</v>
      </c>
      <c r="R1308" s="2">
        <v>2.8568941315555501</v>
      </c>
      <c r="S1308" s="2">
        <v>0.219830834889921</v>
      </c>
      <c r="T1308" s="2">
        <v>4.9893383222222196</v>
      </c>
      <c r="U1308" s="2">
        <v>3.44002931293466</v>
      </c>
      <c r="V1308" s="2">
        <v>0.443043520388888</v>
      </c>
      <c r="W1308" s="2">
        <v>0.223472284178731</v>
      </c>
      <c r="X1308" s="2">
        <v>3.3935033719444401</v>
      </c>
      <c r="Y1308" s="2">
        <v>0.49985385815254102</v>
      </c>
      <c r="Z1308" s="7">
        <v>88.466135458167301</v>
      </c>
      <c r="AA1308" s="2">
        <v>13.6019314615056</v>
      </c>
      <c r="AB1308" s="7">
        <v>99.272570480266495</v>
      </c>
      <c r="AC1308" s="2">
        <v>9.6569242949685101</v>
      </c>
      <c r="AD1308" s="2">
        <v>112.69200425629801</v>
      </c>
      <c r="AE1308" s="2">
        <v>77.698438738538101</v>
      </c>
      <c r="AF1308" s="2">
        <v>100.37961943379</v>
      </c>
      <c r="AG1308" s="2">
        <v>6.2699761414850004</v>
      </c>
      <c r="AH1308" s="2">
        <v>76.483538801595003</v>
      </c>
      <c r="AI1308" s="2">
        <v>5.88521639789837</v>
      </c>
      <c r="AJ1308" s="2">
        <v>94.204705103768106</v>
      </c>
      <c r="AK1308" s="2">
        <v>47.517094057586</v>
      </c>
      <c r="AL1308" s="2">
        <v>100.788499818867</v>
      </c>
      <c r="AM1308" s="2">
        <v>14.8458731199081</v>
      </c>
      <c r="AN1308"/>
      <c r="AO1308"/>
    </row>
    <row r="1309" spans="1:41" ht="15.75" hidden="1" customHeight="1" x14ac:dyDescent="0.45">
      <c r="A1309" s="2" t="s">
        <v>223</v>
      </c>
      <c r="B1309" s="2" t="s">
        <v>224</v>
      </c>
      <c r="C1309" s="2">
        <v>3</v>
      </c>
      <c r="D1309" s="2"/>
      <c r="E1309" s="2" t="s">
        <v>83</v>
      </c>
      <c r="F1309" s="2" t="s">
        <v>84</v>
      </c>
      <c r="H1309" s="2">
        <v>9.3000000000000007</v>
      </c>
      <c r="J1309" s="2">
        <v>9.2991368459999997</v>
      </c>
      <c r="K1309" s="2">
        <v>38.2949509283333</v>
      </c>
      <c r="L1309" s="2"/>
      <c r="M1309" s="2">
        <v>3.07844006808876</v>
      </c>
      <c r="N1309" s="2">
        <v>259.11111111111097</v>
      </c>
      <c r="O1309" s="2">
        <v>27.229647513394401</v>
      </c>
      <c r="P1309" s="2">
        <v>34.235979734999901</v>
      </c>
      <c r="Q1309" s="2">
        <v>2.0498133264354301</v>
      </c>
      <c r="R1309" s="2">
        <v>2.1664813084999999</v>
      </c>
      <c r="S1309" s="2">
        <v>0.30836276645907101</v>
      </c>
      <c r="T1309" s="2">
        <v>4.5366174708333302</v>
      </c>
      <c r="U1309" s="2">
        <v>1.7393622208775099</v>
      </c>
      <c r="V1309" s="2">
        <v>0.47631552872222199</v>
      </c>
      <c r="W1309" s="2">
        <v>5.4287818242240597E-2</v>
      </c>
      <c r="X1309" s="2">
        <v>3.0881339214999999</v>
      </c>
      <c r="Y1309" s="2">
        <v>0.53860085069378005</v>
      </c>
      <c r="Z1309" s="7">
        <v>92.908366533864495</v>
      </c>
      <c r="AA1309" s="2">
        <v>9.7636186303007904</v>
      </c>
      <c r="AB1309" s="7">
        <v>95.928713207900103</v>
      </c>
      <c r="AC1309" s="2">
        <v>7.71148120732812</v>
      </c>
      <c r="AD1309" s="2">
        <v>102.466596232873</v>
      </c>
      <c r="AE1309" s="2">
        <v>39.2862143513793</v>
      </c>
      <c r="AF1309" s="2">
        <v>101.242148323725</v>
      </c>
      <c r="AG1309" s="2">
        <v>6.0616785743323502</v>
      </c>
      <c r="AH1309" s="2">
        <v>58.000104166046803</v>
      </c>
      <c r="AI1309" s="2">
        <v>8.2553551260220903</v>
      </c>
      <c r="AJ1309" s="2">
        <v>101.279359373625</v>
      </c>
      <c r="AK1309" s="2">
        <v>11.5432630720977</v>
      </c>
      <c r="AL1309" s="2">
        <v>91.718896689765003</v>
      </c>
      <c r="AM1309" s="2">
        <v>15.9966753507268</v>
      </c>
      <c r="AN1309"/>
      <c r="AO1309"/>
    </row>
    <row r="1310" spans="1:41" ht="15.75" hidden="1" customHeight="1" x14ac:dyDescent="0.45">
      <c r="A1310" s="2" t="s">
        <v>223</v>
      </c>
      <c r="B1310" s="2" t="s">
        <v>224</v>
      </c>
      <c r="C1310" s="2">
        <v>10</v>
      </c>
      <c r="D1310" s="2"/>
      <c r="E1310" s="2" t="s">
        <v>83</v>
      </c>
      <c r="F1310" s="2" t="s">
        <v>84</v>
      </c>
      <c r="H1310" s="2">
        <v>9.3000000000000007</v>
      </c>
      <c r="J1310" s="2">
        <v>9.2991368459999997</v>
      </c>
      <c r="K1310" s="2">
        <v>34.856796248888799</v>
      </c>
      <c r="L1310" s="2"/>
      <c r="M1310" s="2">
        <v>1.6845782768469899</v>
      </c>
      <c r="N1310" s="2">
        <v>128.388888888888</v>
      </c>
      <c r="O1310" s="2">
        <v>7.08741712342976</v>
      </c>
      <c r="P1310" s="2">
        <v>30.526889496666598</v>
      </c>
      <c r="Q1310" s="2">
        <v>1.84501245789472</v>
      </c>
      <c r="R1310" s="2">
        <v>2.8562613344444401</v>
      </c>
      <c r="S1310" s="2">
        <v>0.59465840909798595</v>
      </c>
      <c r="T1310" s="2">
        <v>7.5437058944999897</v>
      </c>
      <c r="U1310" s="2">
        <v>3.4491454888879698</v>
      </c>
      <c r="V1310" s="2">
        <v>0.4395828685</v>
      </c>
      <c r="W1310" s="2">
        <v>0.15194969108399201</v>
      </c>
      <c r="X1310" s="2">
        <v>3.7456270472222202</v>
      </c>
      <c r="Y1310" s="2">
        <v>6.6405007788079007E-2</v>
      </c>
      <c r="Z1310" s="7">
        <v>46.035856573705097</v>
      </c>
      <c r="AA1310" s="2">
        <v>2.54130494465609</v>
      </c>
      <c r="AB1310" s="7">
        <v>87.316148203545893</v>
      </c>
      <c r="AC1310" s="2">
        <v>4.2198624747773401</v>
      </c>
      <c r="AD1310" s="2">
        <v>170.38638830822299</v>
      </c>
      <c r="AE1310" s="2">
        <v>77.904341820867799</v>
      </c>
      <c r="AF1310" s="2">
        <v>90.2736798597861</v>
      </c>
      <c r="AG1310" s="2">
        <v>5.4560443827561498</v>
      </c>
      <c r="AH1310" s="2">
        <v>76.466597829975996</v>
      </c>
      <c r="AI1310" s="2">
        <v>15.919938720716999</v>
      </c>
      <c r="AJ1310" s="2">
        <v>93.468863869991694</v>
      </c>
      <c r="AK1310" s="2">
        <v>32.309186751250799</v>
      </c>
      <c r="AL1310" s="2">
        <v>111.246723398477</v>
      </c>
      <c r="AM1310" s="2">
        <v>1.9722570988888499</v>
      </c>
      <c r="AN1310"/>
      <c r="AO1310"/>
    </row>
    <row r="1311" spans="1:41" ht="15.75" hidden="1" customHeight="1" x14ac:dyDescent="0.45">
      <c r="A1311" s="2" t="s">
        <v>225</v>
      </c>
      <c r="B1311" s="2" t="s">
        <v>226</v>
      </c>
      <c r="C1311" s="2">
        <v>3.0000000000000001E-3</v>
      </c>
      <c r="D1311" s="2"/>
      <c r="E1311" s="2" t="s">
        <v>83</v>
      </c>
      <c r="F1311" s="2" t="s">
        <v>84</v>
      </c>
      <c r="H1311" s="2">
        <v>0</v>
      </c>
      <c r="K1311" s="2">
        <v>39.017075255000002</v>
      </c>
      <c r="L1311" s="2"/>
      <c r="M1311" s="2">
        <v>3.1991722778965999</v>
      </c>
      <c r="N1311" s="2">
        <v>251.222222222222</v>
      </c>
      <c r="O1311" s="2">
        <v>22.144935045019398</v>
      </c>
      <c r="P1311" s="2">
        <v>36.114461406111097</v>
      </c>
      <c r="Q1311" s="2">
        <v>0.789335541664134</v>
      </c>
      <c r="R1311" s="2">
        <v>4.1417823461111096</v>
      </c>
      <c r="S1311" s="2">
        <v>0.309029577474426</v>
      </c>
      <c r="T1311" s="2">
        <v>4.31070522805555</v>
      </c>
      <c r="U1311" s="2">
        <v>0.97327990550659704</v>
      </c>
      <c r="V1311" s="2">
        <v>0.29930625311111098</v>
      </c>
      <c r="W1311" s="2">
        <v>9.0215136498900603E-2</v>
      </c>
      <c r="X1311" s="2">
        <v>3.4199510809999998</v>
      </c>
      <c r="Y1311" s="2">
        <v>0.132502842521592</v>
      </c>
      <c r="Z1311" s="7">
        <v>90.079681274900395</v>
      </c>
      <c r="AA1311" s="2">
        <v>7.9404149563814803</v>
      </c>
      <c r="AB1311" s="7">
        <v>97.737632027587196</v>
      </c>
      <c r="AC1311" s="2">
        <v>8.0139149550899802</v>
      </c>
      <c r="AD1311" s="2">
        <v>97.364015132836002</v>
      </c>
      <c r="AE1311" s="2">
        <v>21.983047885409299</v>
      </c>
      <c r="AF1311" s="2">
        <v>106.797167383852</v>
      </c>
      <c r="AG1311" s="2">
        <v>2.33421174462991</v>
      </c>
      <c r="AH1311" s="2">
        <v>110.882012489579</v>
      </c>
      <c r="AI1311" s="2">
        <v>8.2732067032306897</v>
      </c>
      <c r="AJ1311" s="2">
        <v>63.6417327248041</v>
      </c>
      <c r="AK1311" s="2">
        <v>19.182518056725499</v>
      </c>
      <c r="AL1311" s="2">
        <v>101.574008076025</v>
      </c>
      <c r="AM1311" s="2">
        <v>3.9353910268357302</v>
      </c>
      <c r="AN1311"/>
      <c r="AO1311"/>
    </row>
    <row r="1312" spans="1:41" ht="15.75" hidden="1" customHeight="1" x14ac:dyDescent="0.45">
      <c r="A1312" s="2" t="s">
        <v>225</v>
      </c>
      <c r="B1312" s="2" t="s">
        <v>226</v>
      </c>
      <c r="C1312" s="2">
        <v>0.01</v>
      </c>
      <c r="D1312" s="2"/>
      <c r="E1312" s="2" t="s">
        <v>83</v>
      </c>
      <c r="F1312" s="2" t="s">
        <v>84</v>
      </c>
      <c r="H1312" s="2">
        <v>0</v>
      </c>
      <c r="K1312" s="2">
        <v>36.256267441666601</v>
      </c>
      <c r="L1312" s="2"/>
      <c r="M1312" s="2">
        <v>4.6449562619846096</v>
      </c>
      <c r="N1312" s="2">
        <v>268.444444444444</v>
      </c>
      <c r="O1312" s="2">
        <v>5.8030962361408802</v>
      </c>
      <c r="P1312" s="2">
        <v>34.845107400000003</v>
      </c>
      <c r="Q1312" s="2">
        <v>1.4549577602235699</v>
      </c>
      <c r="R1312" s="2">
        <v>3.5274796318333301</v>
      </c>
      <c r="S1312" s="2">
        <v>1.18888503114064</v>
      </c>
      <c r="T1312" s="2">
        <v>3.76173562516666</v>
      </c>
      <c r="U1312" s="2">
        <v>0.72923827436941602</v>
      </c>
      <c r="V1312" s="2">
        <v>0.41657544144444397</v>
      </c>
      <c r="W1312" s="2">
        <v>0.17031729728624401</v>
      </c>
      <c r="X1312" s="2">
        <v>3.1706960834444402</v>
      </c>
      <c r="Y1312" s="2">
        <v>2.4056217278469402E-2</v>
      </c>
      <c r="Z1312" s="7">
        <v>96.254980079681303</v>
      </c>
      <c r="AA1312" s="2">
        <v>2.0807914790943398</v>
      </c>
      <c r="AB1312" s="7">
        <v>90.821818466603204</v>
      </c>
      <c r="AC1312" s="2">
        <v>11.635598592437001</v>
      </c>
      <c r="AD1312" s="2">
        <v>84.964678621661307</v>
      </c>
      <c r="AE1312" s="2">
        <v>16.4709862133565</v>
      </c>
      <c r="AF1312" s="2">
        <v>103.04345191969</v>
      </c>
      <c r="AG1312" s="2">
        <v>4.30258022424053</v>
      </c>
      <c r="AH1312" s="2">
        <v>94.436164894307893</v>
      </c>
      <c r="AI1312" s="2">
        <v>31.828317824423799</v>
      </c>
      <c r="AJ1312" s="2">
        <v>88.576775889419096</v>
      </c>
      <c r="AK1312" s="2">
        <v>36.214705839367497</v>
      </c>
      <c r="AL1312" s="2">
        <v>94.171028169279296</v>
      </c>
      <c r="AM1312" s="2">
        <v>0.71447992975601204</v>
      </c>
      <c r="AN1312"/>
      <c r="AO1312"/>
    </row>
    <row r="1313" spans="1:41" ht="15.75" hidden="1" customHeight="1" x14ac:dyDescent="0.45">
      <c r="A1313" s="2" t="s">
        <v>225</v>
      </c>
      <c r="B1313" s="2" t="s">
        <v>226</v>
      </c>
      <c r="C1313" s="2">
        <v>0.03</v>
      </c>
      <c r="D1313" s="2"/>
      <c r="E1313" s="2" t="s">
        <v>83</v>
      </c>
      <c r="F1313" s="2" t="s">
        <v>84</v>
      </c>
      <c r="H1313" s="2">
        <v>0</v>
      </c>
      <c r="K1313" s="2">
        <v>41.658940638333299</v>
      </c>
      <c r="L1313" s="2"/>
      <c r="M1313" s="2">
        <v>2.2456295001362099</v>
      </c>
      <c r="N1313" s="2">
        <v>295.722222222222</v>
      </c>
      <c r="O1313" s="2">
        <v>90.654155591047697</v>
      </c>
      <c r="P1313" s="2">
        <v>33.247515862222201</v>
      </c>
      <c r="Q1313" s="2">
        <v>5.5658705938361797</v>
      </c>
      <c r="R1313" s="2">
        <v>3.3524604655555499</v>
      </c>
      <c r="S1313" s="2">
        <v>0.69344031176841603</v>
      </c>
      <c r="T1313" s="2">
        <v>4.5208572398333304</v>
      </c>
      <c r="U1313" s="2">
        <v>1.58386608528134</v>
      </c>
      <c r="V1313" s="2">
        <v>0.53490712111111105</v>
      </c>
      <c r="W1313" s="2">
        <v>0.45462237021080698</v>
      </c>
      <c r="X1313" s="2">
        <v>3.5988978847222199</v>
      </c>
      <c r="Y1313" s="2">
        <v>0.64079324771399804</v>
      </c>
      <c r="Z1313" s="7">
        <v>106.035856573705</v>
      </c>
      <c r="AA1313" s="2">
        <v>32.505474116311902</v>
      </c>
      <c r="AB1313" s="7">
        <v>104.355495232737</v>
      </c>
      <c r="AC1313" s="2">
        <v>5.6252937545973802</v>
      </c>
      <c r="AD1313" s="2">
        <v>102.11062678277101</v>
      </c>
      <c r="AE1313" s="2">
        <v>35.7740910911876</v>
      </c>
      <c r="AF1313" s="2">
        <v>98.319077133854094</v>
      </c>
      <c r="AG1313" s="2">
        <v>16.459312704749301</v>
      </c>
      <c r="AH1313" s="2">
        <v>89.750627181455798</v>
      </c>
      <c r="AI1313" s="2">
        <v>18.56448525898</v>
      </c>
      <c r="AJ1313" s="2">
        <v>113.737737452849</v>
      </c>
      <c r="AK1313" s="2">
        <v>96.666725385561506</v>
      </c>
      <c r="AL1313" s="2">
        <v>106.888804590935</v>
      </c>
      <c r="AM1313" s="2">
        <v>19.031833197839902</v>
      </c>
      <c r="AN1313"/>
      <c r="AO1313"/>
    </row>
    <row r="1314" spans="1:41" ht="15.75" hidden="1" customHeight="1" x14ac:dyDescent="0.45">
      <c r="A1314" s="2" t="s">
        <v>225</v>
      </c>
      <c r="B1314" s="2" t="s">
        <v>226</v>
      </c>
      <c r="C1314" s="2">
        <v>0.1</v>
      </c>
      <c r="D1314" s="2"/>
      <c r="E1314" s="2" t="s">
        <v>83</v>
      </c>
      <c r="F1314" s="2" t="s">
        <v>84</v>
      </c>
      <c r="H1314" s="2">
        <v>0</v>
      </c>
      <c r="K1314" s="2">
        <v>39.993156835555503</v>
      </c>
      <c r="L1314" s="2"/>
      <c r="M1314" s="2">
        <v>0.73749368488661005</v>
      </c>
      <c r="N1314" s="2">
        <v>260</v>
      </c>
      <c r="O1314" s="2">
        <v>31.524241113431898</v>
      </c>
      <c r="P1314" s="2">
        <v>36.895443181111098</v>
      </c>
      <c r="Q1314" s="2">
        <v>3.5640886325874499</v>
      </c>
      <c r="R1314" s="2">
        <v>3.49244381388888</v>
      </c>
      <c r="S1314" s="2">
        <v>0.50919134962357204</v>
      </c>
      <c r="T1314" s="2">
        <v>5.7006569149444397</v>
      </c>
      <c r="U1314" s="2">
        <v>2.2848551994864099</v>
      </c>
      <c r="V1314" s="2">
        <v>0.59284829327777699</v>
      </c>
      <c r="W1314" s="2">
        <v>7.6187181116394997E-2</v>
      </c>
      <c r="X1314" s="2">
        <v>3.51632618944444</v>
      </c>
      <c r="Y1314" s="2">
        <v>0.19402528272425201</v>
      </c>
      <c r="Z1314" s="7">
        <v>93.227091633466102</v>
      </c>
      <c r="AA1314" s="2">
        <v>11.3035127498361</v>
      </c>
      <c r="AB1314" s="7">
        <v>100.18271284735</v>
      </c>
      <c r="AC1314" s="2">
        <v>1.84741900629468</v>
      </c>
      <c r="AD1314" s="2">
        <v>128.758246451502</v>
      </c>
      <c r="AE1314" s="2">
        <v>51.607025869287199</v>
      </c>
      <c r="AF1314" s="2">
        <v>109.10667548949699</v>
      </c>
      <c r="AG1314" s="2">
        <v>10.539671794770699</v>
      </c>
      <c r="AH1314" s="2">
        <v>93.498201071427005</v>
      </c>
      <c r="AI1314" s="2">
        <v>13.6318514278182</v>
      </c>
      <c r="AJ1314" s="2">
        <v>126.05781614971499</v>
      </c>
      <c r="AK1314" s="2">
        <v>16.199742461998898</v>
      </c>
      <c r="AL1314" s="2">
        <v>104.43638996734801</v>
      </c>
      <c r="AM1314" s="2">
        <v>5.7626337826515597</v>
      </c>
      <c r="AN1314"/>
      <c r="AO1314"/>
    </row>
    <row r="1315" spans="1:41" ht="15.75" hidden="1" customHeight="1" x14ac:dyDescent="0.45">
      <c r="A1315" s="2" t="s">
        <v>225</v>
      </c>
      <c r="B1315" s="2" t="s">
        <v>226</v>
      </c>
      <c r="C1315" s="2">
        <v>0.3</v>
      </c>
      <c r="D1315" s="2"/>
      <c r="E1315" s="2" t="s">
        <v>83</v>
      </c>
      <c r="F1315" s="2" t="s">
        <v>84</v>
      </c>
      <c r="H1315" s="2">
        <v>0</v>
      </c>
      <c r="K1315" s="2">
        <v>38.832726202222197</v>
      </c>
      <c r="L1315" s="2"/>
      <c r="M1315" s="2">
        <v>4.8876102810524698</v>
      </c>
      <c r="N1315" s="2">
        <v>262.444444444444</v>
      </c>
      <c r="O1315" s="2">
        <v>17.600768080883601</v>
      </c>
      <c r="P1315" s="2">
        <v>38.489759763888799</v>
      </c>
      <c r="Q1315" s="2">
        <v>2.9334511958907101</v>
      </c>
      <c r="R1315" s="2">
        <v>3.62208712005555</v>
      </c>
      <c r="S1315" s="2">
        <v>0.56617021231908904</v>
      </c>
      <c r="T1315" s="2">
        <v>2.9432517119999999</v>
      </c>
      <c r="U1315" s="2">
        <v>0.43978733288758498</v>
      </c>
      <c r="V1315" s="2">
        <v>0.42761691277777703</v>
      </c>
      <c r="W1315" s="2">
        <v>8.5067458265019796E-2</v>
      </c>
      <c r="X1315" s="2">
        <v>3.2994625215000002</v>
      </c>
      <c r="Y1315" s="2">
        <v>0.86572310793151996</v>
      </c>
      <c r="Z1315" s="7">
        <v>94.103585657370502</v>
      </c>
      <c r="AA1315" s="2">
        <v>6.3110323795997001</v>
      </c>
      <c r="AB1315" s="7">
        <v>97.275838318877007</v>
      </c>
      <c r="AC1315" s="2">
        <v>12.243446030274599</v>
      </c>
      <c r="AD1315" s="2">
        <v>66.477940166689606</v>
      </c>
      <c r="AE1315" s="2">
        <v>9.9332842932085992</v>
      </c>
      <c r="AF1315" s="2">
        <v>113.82136562537001</v>
      </c>
      <c r="AG1315" s="2">
        <v>8.6747598103980099</v>
      </c>
      <c r="AH1315" s="2">
        <v>96.968955807503505</v>
      </c>
      <c r="AI1315" s="2">
        <v>15.1572649906478</v>
      </c>
      <c r="AJ1315" s="2">
        <v>90.924532944877996</v>
      </c>
      <c r="AK1315" s="2">
        <v>18.087963035209398</v>
      </c>
      <c r="AL1315" s="2">
        <v>97.9954463873176</v>
      </c>
      <c r="AM1315" s="2">
        <v>25.712346134180901</v>
      </c>
      <c r="AN1315"/>
      <c r="AO1315"/>
    </row>
    <row r="1316" spans="1:41" ht="15.75" hidden="1" customHeight="1" x14ac:dyDescent="0.45">
      <c r="A1316" s="2" t="s">
        <v>225</v>
      </c>
      <c r="B1316" s="2" t="s">
        <v>226</v>
      </c>
      <c r="C1316" s="2">
        <v>1</v>
      </c>
      <c r="D1316" s="2"/>
      <c r="E1316" s="2" t="s">
        <v>83</v>
      </c>
      <c r="F1316" s="2" t="s">
        <v>84</v>
      </c>
      <c r="H1316" s="2">
        <v>0</v>
      </c>
      <c r="K1316" s="2">
        <v>34.9048940922222</v>
      </c>
      <c r="L1316" s="2"/>
      <c r="M1316" s="2">
        <v>2.42403561926512</v>
      </c>
      <c r="N1316" s="2">
        <v>252.5</v>
      </c>
      <c r="O1316" s="2">
        <v>21.179785960517702</v>
      </c>
      <c r="P1316" s="2">
        <v>40.103351631111103</v>
      </c>
      <c r="Q1316" s="2">
        <v>0.137544590801016</v>
      </c>
      <c r="R1316" s="2">
        <v>3.12326954877777</v>
      </c>
      <c r="S1316" s="2">
        <v>0.74359512408102102</v>
      </c>
      <c r="T1316" s="2">
        <v>4.4976873849999999</v>
      </c>
      <c r="U1316" s="2">
        <v>0.86491270824009703</v>
      </c>
      <c r="V1316" s="2">
        <v>0.41696621477777701</v>
      </c>
      <c r="W1316" s="2">
        <v>0.27612348165848</v>
      </c>
      <c r="X1316" s="2">
        <v>3.2643809846666598</v>
      </c>
      <c r="Y1316" s="2">
        <v>7.0508641861714696E-2</v>
      </c>
      <c r="Z1316" s="7">
        <v>90.537848605577693</v>
      </c>
      <c r="AA1316" s="2">
        <v>7.5943455635322401</v>
      </c>
      <c r="AB1316" s="7">
        <v>87.436633126680405</v>
      </c>
      <c r="AC1316" s="2">
        <v>6.0722004360677397</v>
      </c>
      <c r="AD1316" s="2">
        <v>101.587299397281</v>
      </c>
      <c r="AE1316" s="2">
        <v>19.535405359103201</v>
      </c>
      <c r="AF1316" s="2">
        <v>118.593056355992</v>
      </c>
      <c r="AG1316" s="2">
        <v>0.40674489150858401</v>
      </c>
      <c r="AH1316" s="2">
        <v>83.614826704032595</v>
      </c>
      <c r="AI1316" s="2">
        <v>19.907208285089901</v>
      </c>
      <c r="AJ1316" s="2">
        <v>88.659866342015604</v>
      </c>
      <c r="AK1316" s="2">
        <v>58.712361122063797</v>
      </c>
      <c r="AL1316" s="2">
        <v>96.953509756871298</v>
      </c>
      <c r="AM1316" s="2">
        <v>2.0941367839089802</v>
      </c>
      <c r="AN1316"/>
      <c r="AO1316"/>
    </row>
    <row r="1317" spans="1:41" ht="15.75" hidden="1" customHeight="1" x14ac:dyDescent="0.45">
      <c r="A1317" s="2" t="s">
        <v>225</v>
      </c>
      <c r="B1317" s="2" t="s">
        <v>226</v>
      </c>
      <c r="C1317" s="2">
        <v>3</v>
      </c>
      <c r="D1317" s="2"/>
      <c r="E1317" s="2" t="s">
        <v>83</v>
      </c>
      <c r="F1317" s="2" t="s">
        <v>84</v>
      </c>
      <c r="H1317" s="2">
        <v>0</v>
      </c>
      <c r="K1317" s="2">
        <v>37.785968967222203</v>
      </c>
      <c r="L1317" s="2"/>
      <c r="M1317" s="2">
        <v>1.60329031202159</v>
      </c>
      <c r="N1317" s="2">
        <v>268.11111111111097</v>
      </c>
      <c r="O1317" s="2">
        <v>10.620124153559001</v>
      </c>
      <c r="P1317" s="2">
        <v>33.128158278888797</v>
      </c>
      <c r="Q1317" s="2">
        <v>0.94457544965927298</v>
      </c>
      <c r="R1317" s="2">
        <v>3.7121343348333302</v>
      </c>
      <c r="S1317" s="2">
        <v>0.73752050070446695</v>
      </c>
      <c r="T1317" s="2">
        <v>3.37964705072222</v>
      </c>
      <c r="U1317" s="2">
        <v>0.91839834384985097</v>
      </c>
      <c r="V1317" s="2">
        <v>0.31265055994444402</v>
      </c>
      <c r="W1317" s="2">
        <v>0.25303290592755601</v>
      </c>
      <c r="X1317" s="2">
        <v>3.54848552477777</v>
      </c>
      <c r="Y1317" s="2">
        <v>0.27553528559147999</v>
      </c>
      <c r="Z1317" s="7">
        <v>96.135458167330697</v>
      </c>
      <c r="AA1317" s="2">
        <v>3.8080126447024298</v>
      </c>
      <c r="AB1317" s="7">
        <v>94.653715241019299</v>
      </c>
      <c r="AC1317" s="2">
        <v>4.0162364176612799</v>
      </c>
      <c r="AD1317" s="2">
        <v>76.334610970045702</v>
      </c>
      <c r="AE1317" s="2">
        <v>20.7434620364666</v>
      </c>
      <c r="AF1317" s="2">
        <v>97.966114600024795</v>
      </c>
      <c r="AG1317" s="2">
        <v>2.7932849743917001</v>
      </c>
      <c r="AH1317" s="2">
        <v>99.379661044831195</v>
      </c>
      <c r="AI1317" s="2">
        <v>19.7445810852949</v>
      </c>
      <c r="AJ1317" s="2">
        <v>66.479143570909997</v>
      </c>
      <c r="AK1317" s="2">
        <v>53.802593170828303</v>
      </c>
      <c r="AL1317" s="2">
        <v>105.391535964908</v>
      </c>
      <c r="AM1317" s="2">
        <v>8.1835156881002806</v>
      </c>
      <c r="AN1317"/>
      <c r="AO1317"/>
    </row>
    <row r="1318" spans="1:41" ht="15.75" hidden="1" customHeight="1" x14ac:dyDescent="0.45">
      <c r="A1318" s="2" t="s">
        <v>225</v>
      </c>
      <c r="B1318" s="2" t="s">
        <v>226</v>
      </c>
      <c r="C1318" s="2">
        <v>10</v>
      </c>
      <c r="D1318" s="2"/>
      <c r="E1318" s="2" t="s">
        <v>83</v>
      </c>
      <c r="F1318" s="2" t="s">
        <v>84</v>
      </c>
      <c r="H1318" s="2">
        <v>0</v>
      </c>
      <c r="K1318" s="2">
        <v>35.979041018333298</v>
      </c>
      <c r="L1318" s="2"/>
      <c r="M1318" s="2">
        <v>8.2922655217876695</v>
      </c>
      <c r="N1318" s="2">
        <v>337.11111111111097</v>
      </c>
      <c r="O1318" s="2">
        <v>147.829888472953</v>
      </c>
      <c r="P1318" s="2">
        <v>31.267038912222201</v>
      </c>
      <c r="Q1318" s="2">
        <v>9.4853254438300798</v>
      </c>
      <c r="R1318" s="2">
        <v>2.7537865225555498</v>
      </c>
      <c r="S1318" s="2">
        <v>0.80845947243248295</v>
      </c>
      <c r="T1318" s="2">
        <v>13.1954119236111</v>
      </c>
      <c r="U1318" s="2">
        <v>12.344631558272299</v>
      </c>
      <c r="V1318" s="2">
        <v>0.361351243777777</v>
      </c>
      <c r="W1318" s="2">
        <v>0.23173209298000499</v>
      </c>
      <c r="X1318" s="2">
        <v>6.10180686566666</v>
      </c>
      <c r="Y1318" s="2">
        <v>2.0992877415090101</v>
      </c>
      <c r="Z1318" s="7">
        <v>120.876494023904</v>
      </c>
      <c r="AA1318" s="2">
        <v>53.006732918588902</v>
      </c>
      <c r="AB1318" s="7">
        <v>90.127367281449196</v>
      </c>
      <c r="AC1318" s="2">
        <v>20.77209506214</v>
      </c>
      <c r="AD1318" s="2">
        <v>298.039002493797</v>
      </c>
      <c r="AE1318" s="2">
        <v>278.82279818772599</v>
      </c>
      <c r="AF1318" s="2">
        <v>92.462439097623502</v>
      </c>
      <c r="AG1318" s="2">
        <v>28.0498683816345</v>
      </c>
      <c r="AH1318" s="2">
        <v>73.7231863172006</v>
      </c>
      <c r="AI1318" s="2">
        <v>21.643728672451299</v>
      </c>
      <c r="AJ1318" s="2">
        <v>76.834409696558296</v>
      </c>
      <c r="AK1318" s="2">
        <v>49.273383940021198</v>
      </c>
      <c r="AL1318" s="2">
        <v>181.22627054371401</v>
      </c>
      <c r="AM1318" s="2">
        <v>62.349742718421503</v>
      </c>
      <c r="AN1318"/>
      <c r="AO1318"/>
    </row>
    <row r="1319" spans="1:41" ht="15.75" hidden="1" customHeight="1" x14ac:dyDescent="0.45">
      <c r="A1319" s="2" t="s">
        <v>227</v>
      </c>
      <c r="B1319" s="2" t="s">
        <v>228</v>
      </c>
      <c r="C1319" s="2">
        <v>3.0000000000000001E-3</v>
      </c>
      <c r="D1319" s="2"/>
      <c r="E1319" s="2" t="s">
        <v>83</v>
      </c>
      <c r="F1319" s="2" t="s">
        <v>84</v>
      </c>
      <c r="H1319" s="2">
        <v>4.9000000000000004</v>
      </c>
      <c r="J1319" s="2">
        <v>4.9449568360000002</v>
      </c>
      <c r="K1319" s="2">
        <v>48.483121577611101</v>
      </c>
      <c r="L1319" s="2"/>
      <c r="M1319" s="2">
        <v>1.5181730592463101</v>
      </c>
      <c r="N1319" s="2">
        <v>345</v>
      </c>
      <c r="O1319" s="2">
        <v>19.371370627811199</v>
      </c>
      <c r="P1319" s="2">
        <v>19.5474609398333</v>
      </c>
      <c r="Q1319" s="2">
        <v>3.1452737887320001</v>
      </c>
      <c r="R1319" s="2">
        <v>5.0640832576388801</v>
      </c>
      <c r="S1319" s="2">
        <v>0.64858281842284105</v>
      </c>
      <c r="T1319" s="2">
        <v>3.0913937065083301</v>
      </c>
      <c r="U1319" s="2">
        <v>0.80878813548678696</v>
      </c>
      <c r="V1319" s="2">
        <v>0.32870903459944401</v>
      </c>
      <c r="W1319" s="2">
        <v>0.33127151543974198</v>
      </c>
      <c r="X1319" s="2">
        <v>3.7287898268888799</v>
      </c>
      <c r="Y1319" s="2">
        <v>0.56754575054911305</v>
      </c>
      <c r="Z1319" s="7">
        <v>96.271606852182003</v>
      </c>
      <c r="AA1319" s="2">
        <v>5.4055448616479698</v>
      </c>
      <c r="AB1319" s="7">
        <v>105.540054768622</v>
      </c>
      <c r="AC1319" s="2">
        <v>3.3048216081675199</v>
      </c>
      <c r="AD1319" s="2">
        <v>70.066415143839293</v>
      </c>
      <c r="AE1319" s="2">
        <v>18.3311770173833</v>
      </c>
      <c r="AF1319" s="2">
        <v>101.45174639077401</v>
      </c>
      <c r="AG1319" s="2">
        <v>16.3240392052018</v>
      </c>
      <c r="AH1319" s="2">
        <v>90.2924607054386</v>
      </c>
      <c r="AI1319" s="2">
        <v>11.564213238068101</v>
      </c>
      <c r="AJ1319" s="2">
        <v>81.450245472548602</v>
      </c>
      <c r="AK1319" s="2">
        <v>82.085198186018502</v>
      </c>
      <c r="AL1319" s="2">
        <v>110.86689733585401</v>
      </c>
      <c r="AM1319" s="2">
        <v>16.874653541958399</v>
      </c>
      <c r="AN1319"/>
      <c r="AO1319"/>
    </row>
    <row r="1320" spans="1:41" ht="15.75" hidden="1" customHeight="1" x14ac:dyDescent="0.45">
      <c r="A1320" s="2" t="s">
        <v>227</v>
      </c>
      <c r="B1320" s="2" t="s">
        <v>228</v>
      </c>
      <c r="C1320" s="2">
        <v>0.01</v>
      </c>
      <c r="D1320" s="2"/>
      <c r="E1320" s="2" t="s">
        <v>83</v>
      </c>
      <c r="F1320" s="2" t="s">
        <v>84</v>
      </c>
      <c r="H1320" s="2">
        <v>4.9000000000000004</v>
      </c>
      <c r="J1320" s="2">
        <v>4.9449568360000002</v>
      </c>
      <c r="K1320" s="2">
        <v>45.041297753833298</v>
      </c>
      <c r="L1320" s="2"/>
      <c r="M1320" s="2">
        <v>2.3952983790659701</v>
      </c>
      <c r="N1320" s="2">
        <v>383.222222222222</v>
      </c>
      <c r="O1320" s="2">
        <v>51.786241559074298</v>
      </c>
      <c r="P1320" s="2">
        <v>18.8538103500555</v>
      </c>
      <c r="Q1320" s="2">
        <v>2.7189381072681198</v>
      </c>
      <c r="R1320" s="2">
        <v>4.9408243619611101</v>
      </c>
      <c r="S1320" s="2">
        <v>1.1105408982718299</v>
      </c>
      <c r="T1320" s="2">
        <v>4.0289679065711104</v>
      </c>
      <c r="U1320" s="2">
        <v>1.4256680562121999</v>
      </c>
      <c r="V1320" s="2">
        <v>0.49588131742444402</v>
      </c>
      <c r="W1320" s="2">
        <v>0.208197255382219</v>
      </c>
      <c r="X1320" s="2">
        <v>3.5683492398222199</v>
      </c>
      <c r="Y1320" s="2">
        <v>0.81188738725549703</v>
      </c>
      <c r="Z1320" s="7">
        <v>106.93744670955699</v>
      </c>
      <c r="AA1320" s="2">
        <v>14.4508541673256</v>
      </c>
      <c r="AB1320" s="7">
        <v>98.0477509926789</v>
      </c>
      <c r="AC1320" s="2">
        <v>5.2141841096006196</v>
      </c>
      <c r="AD1320" s="2">
        <v>91.316527347745506</v>
      </c>
      <c r="AE1320" s="2">
        <v>32.312755788294602</v>
      </c>
      <c r="AF1320" s="2">
        <v>97.851684779983103</v>
      </c>
      <c r="AG1320" s="2">
        <v>14.1113477683783</v>
      </c>
      <c r="AH1320" s="2">
        <v>88.094758095041499</v>
      </c>
      <c r="AI1320" s="2">
        <v>19.800912685970399</v>
      </c>
      <c r="AJ1320" s="2">
        <v>122.873577474648</v>
      </c>
      <c r="AK1320" s="2">
        <v>51.588839285348101</v>
      </c>
      <c r="AL1320" s="2">
        <v>106.096569449161</v>
      </c>
      <c r="AM1320" s="2">
        <v>24.139584098316199</v>
      </c>
      <c r="AN1320"/>
      <c r="AO1320"/>
    </row>
    <row r="1321" spans="1:41" ht="15.75" hidden="1" customHeight="1" x14ac:dyDescent="0.45">
      <c r="A1321" s="2" t="s">
        <v>227</v>
      </c>
      <c r="B1321" s="2" t="s">
        <v>228</v>
      </c>
      <c r="C1321" s="2">
        <v>0.03</v>
      </c>
      <c r="D1321" s="2"/>
      <c r="E1321" s="2" t="s">
        <v>83</v>
      </c>
      <c r="F1321" s="2" t="s">
        <v>84</v>
      </c>
      <c r="H1321" s="2">
        <v>4.9000000000000004</v>
      </c>
      <c r="J1321" s="2">
        <v>4.9449568360000002</v>
      </c>
      <c r="K1321" s="2">
        <v>45.625678558966598</v>
      </c>
      <c r="L1321" s="2"/>
      <c r="M1321" s="2">
        <v>2.3395619812824</v>
      </c>
      <c r="N1321" s="2">
        <v>358.33333333333297</v>
      </c>
      <c r="O1321" s="2">
        <v>24.908722256359599</v>
      </c>
      <c r="P1321" s="2">
        <v>19.218959466933299</v>
      </c>
      <c r="Q1321" s="2">
        <v>1.20912685125963</v>
      </c>
      <c r="R1321" s="2">
        <v>4.78906163305777</v>
      </c>
      <c r="S1321" s="2">
        <v>0.75156961234859898</v>
      </c>
      <c r="T1321" s="2">
        <v>4.8207390746772196</v>
      </c>
      <c r="U1321" s="2">
        <v>3.0187010350358801</v>
      </c>
      <c r="V1321" s="2">
        <v>0.478482944523</v>
      </c>
      <c r="W1321" s="2">
        <v>0.178391026706339</v>
      </c>
      <c r="X1321" s="2">
        <v>3.5430401506277698</v>
      </c>
      <c r="Y1321" s="2">
        <v>8.3881007036344393E-2</v>
      </c>
      <c r="Z1321" s="7">
        <v>99.992248662894298</v>
      </c>
      <c r="AA1321" s="2">
        <v>6.95073251088247</v>
      </c>
      <c r="AB1321" s="7">
        <v>99.319855184253598</v>
      </c>
      <c r="AC1321" s="2">
        <v>5.0928548246190903</v>
      </c>
      <c r="AD1321" s="2">
        <v>109.26201492723099</v>
      </c>
      <c r="AE1321" s="2">
        <v>68.4188362907867</v>
      </c>
      <c r="AF1321" s="2">
        <v>99.746816619065598</v>
      </c>
      <c r="AG1321" s="2">
        <v>6.2753945919543197</v>
      </c>
      <c r="AH1321" s="2">
        <v>85.388832947506799</v>
      </c>
      <c r="AI1321" s="2">
        <v>13.4004648497875</v>
      </c>
      <c r="AJ1321" s="2">
        <v>118.562464622601</v>
      </c>
      <c r="AK1321" s="2">
        <v>44.203205223845202</v>
      </c>
      <c r="AL1321" s="2">
        <v>105.34406251697899</v>
      </c>
      <c r="AM1321" s="2">
        <v>2.4940067494460001</v>
      </c>
      <c r="AN1321"/>
      <c r="AO1321"/>
    </row>
    <row r="1322" spans="1:41" ht="15.75" hidden="1" customHeight="1" x14ac:dyDescent="0.45">
      <c r="A1322" s="2" t="s">
        <v>227</v>
      </c>
      <c r="B1322" s="2" t="s">
        <v>228</v>
      </c>
      <c r="C1322" s="2">
        <v>0.1</v>
      </c>
      <c r="D1322" s="2"/>
      <c r="E1322" s="2" t="s">
        <v>83</v>
      </c>
      <c r="F1322" s="2" t="s">
        <v>84</v>
      </c>
      <c r="H1322" s="2">
        <v>4.9000000000000004</v>
      </c>
      <c r="J1322" s="2">
        <v>4.9449568360000002</v>
      </c>
      <c r="K1322" s="2">
        <v>46.892810518622198</v>
      </c>
      <c r="L1322" s="2"/>
      <c r="M1322" s="2">
        <v>0.52941294521659898</v>
      </c>
      <c r="N1322" s="2">
        <v>389.29999999999899</v>
      </c>
      <c r="O1322" s="2">
        <v>31.969829527227301</v>
      </c>
      <c r="P1322" s="2">
        <v>17.676782968533299</v>
      </c>
      <c r="Q1322" s="2">
        <v>0.46673167315700698</v>
      </c>
      <c r="R1322" s="2">
        <v>5.0371220032866599</v>
      </c>
      <c r="S1322" s="2">
        <v>0.68865769250792297</v>
      </c>
      <c r="T1322" s="2">
        <v>5.0188288525555498</v>
      </c>
      <c r="U1322" s="2">
        <v>1.09339194784863</v>
      </c>
      <c r="V1322" s="2">
        <v>0.52990340178977702</v>
      </c>
      <c r="W1322" s="2">
        <v>0.13946821227621201</v>
      </c>
      <c r="X1322" s="2">
        <v>3.4945640896599999</v>
      </c>
      <c r="Y1322" s="2">
        <v>0.43373489562793899</v>
      </c>
      <c r="Z1322" s="7">
        <v>108.63343926827299</v>
      </c>
      <c r="AA1322" s="2">
        <v>8.9211213315261197</v>
      </c>
      <c r="AB1322" s="7">
        <v>102.078200193187</v>
      </c>
      <c r="AC1322" s="2">
        <v>1.1524478914571199</v>
      </c>
      <c r="AD1322" s="2">
        <v>113.75171825533</v>
      </c>
      <c r="AE1322" s="2">
        <v>24.781720287392002</v>
      </c>
      <c r="AF1322" s="2">
        <v>91.742887132414594</v>
      </c>
      <c r="AG1322" s="2">
        <v>2.4223475101657099</v>
      </c>
      <c r="AH1322" s="2">
        <v>89.811742305816097</v>
      </c>
      <c r="AI1322" s="2">
        <v>12.2787471052087</v>
      </c>
      <c r="AJ1322" s="2">
        <v>131.303851155507</v>
      </c>
      <c r="AK1322" s="2">
        <v>34.558588081881297</v>
      </c>
      <c r="AL1322" s="2">
        <v>103.902739534438</v>
      </c>
      <c r="AM1322" s="2">
        <v>12.896098835552101</v>
      </c>
      <c r="AN1322"/>
      <c r="AO1322"/>
    </row>
    <row r="1323" spans="1:41" ht="15.75" hidden="1" customHeight="1" x14ac:dyDescent="0.45">
      <c r="A1323" s="2" t="s">
        <v>227</v>
      </c>
      <c r="B1323" s="2" t="s">
        <v>228</v>
      </c>
      <c r="C1323" s="2">
        <v>0.3</v>
      </c>
      <c r="D1323" s="2"/>
      <c r="E1323" s="2" t="s">
        <v>83</v>
      </c>
      <c r="F1323" s="2" t="s">
        <v>84</v>
      </c>
      <c r="H1323" s="2">
        <v>4.9000000000000004</v>
      </c>
      <c r="J1323" s="2">
        <v>4.9449568360000002</v>
      </c>
      <c r="K1323" s="2">
        <v>47.003948465888797</v>
      </c>
      <c r="L1323" s="2"/>
      <c r="M1323" s="2">
        <v>1.59458084476423</v>
      </c>
      <c r="N1323" s="2">
        <v>356.444444444444</v>
      </c>
      <c r="O1323" s="2">
        <v>52.231411721016102</v>
      </c>
      <c r="P1323" s="2">
        <v>18.890386199722201</v>
      </c>
      <c r="Q1323" s="2">
        <v>3.3142324223364801</v>
      </c>
      <c r="R1323" s="2">
        <v>5.4815392064999902</v>
      </c>
      <c r="S1323" s="2">
        <v>0.63406334284893795</v>
      </c>
      <c r="T1323" s="2">
        <v>6.6868747320266602</v>
      </c>
      <c r="U1323" s="2">
        <v>5.9979004450356701</v>
      </c>
      <c r="V1323" s="2">
        <v>0.47523259380111099</v>
      </c>
      <c r="W1323" s="2">
        <v>0.14121511814000301</v>
      </c>
      <c r="X1323" s="2">
        <v>3.6711868484388801</v>
      </c>
      <c r="Y1323" s="2">
        <v>0.60440919397569803</v>
      </c>
      <c r="Z1323" s="7">
        <v>99.465157739710094</v>
      </c>
      <c r="AA1323" s="2">
        <v>14.575078071130701</v>
      </c>
      <c r="AB1323" s="7">
        <v>102.320129851586</v>
      </c>
      <c r="AC1323" s="2">
        <v>3.4711492208688202</v>
      </c>
      <c r="AD1323" s="2">
        <v>151.557965587702</v>
      </c>
      <c r="AE1323" s="2">
        <v>135.94236854675901</v>
      </c>
      <c r="AF1323" s="2">
        <v>98.041514233323895</v>
      </c>
      <c r="AG1323" s="2">
        <v>17.2009381794335</v>
      </c>
      <c r="AH1323" s="2">
        <v>97.735688421320901</v>
      </c>
      <c r="AI1323" s="2">
        <v>11.305331400819</v>
      </c>
      <c r="AJ1323" s="2">
        <v>117.757065816048</v>
      </c>
      <c r="AK1323" s="2">
        <v>34.991450876774003</v>
      </c>
      <c r="AL1323" s="2">
        <v>109.154206678954</v>
      </c>
      <c r="AM1323" s="2">
        <v>17.970702337294</v>
      </c>
      <c r="AN1323"/>
      <c r="AO1323"/>
    </row>
    <row r="1324" spans="1:41" ht="15.75" hidden="1" customHeight="1" x14ac:dyDescent="0.45">
      <c r="A1324" s="2" t="s">
        <v>227</v>
      </c>
      <c r="B1324" s="2" t="s">
        <v>228</v>
      </c>
      <c r="C1324" s="2">
        <v>1</v>
      </c>
      <c r="D1324" s="2"/>
      <c r="E1324" s="2" t="s">
        <v>83</v>
      </c>
      <c r="F1324" s="2" t="s">
        <v>84</v>
      </c>
      <c r="H1324" s="2">
        <v>4.9000000000000004</v>
      </c>
      <c r="J1324" s="2">
        <v>4.9449568360000002</v>
      </c>
      <c r="K1324" s="2">
        <v>46.762074279666599</v>
      </c>
      <c r="L1324" s="2"/>
      <c r="M1324" s="2">
        <v>3.1110686114668198</v>
      </c>
      <c r="N1324" s="2">
        <v>350.972222222222</v>
      </c>
      <c r="O1324" s="2">
        <v>36.698881050657</v>
      </c>
      <c r="P1324" s="2">
        <v>16.555766211249999</v>
      </c>
      <c r="Q1324" s="2">
        <v>1.98943129186184</v>
      </c>
      <c r="R1324" s="2">
        <v>5.3055915123472204</v>
      </c>
      <c r="S1324" s="2">
        <v>2.3606262396204198</v>
      </c>
      <c r="T1324" s="2">
        <v>7.6327510642891596</v>
      </c>
      <c r="U1324" s="2">
        <v>3.7713995877746198</v>
      </c>
      <c r="V1324" s="2">
        <v>0.53656976167444403</v>
      </c>
      <c r="W1324" s="2">
        <v>0.20174903130777599</v>
      </c>
      <c r="X1324" s="2">
        <v>3.1744110108944401</v>
      </c>
      <c r="Y1324" s="2">
        <v>0.55296115010120095</v>
      </c>
      <c r="Z1324" s="7">
        <v>97.9381443298969</v>
      </c>
      <c r="AA1324" s="2">
        <v>10.2407543432575</v>
      </c>
      <c r="AB1324" s="7">
        <v>101.793608166711</v>
      </c>
      <c r="AC1324" s="2">
        <v>6.7723022148552099</v>
      </c>
      <c r="AD1324" s="2">
        <v>172.99624555557199</v>
      </c>
      <c r="AE1324" s="2">
        <v>85.4787433363784</v>
      </c>
      <c r="AF1324" s="2">
        <v>85.924785839884905</v>
      </c>
      <c r="AG1324" s="2">
        <v>10.3251915686171</v>
      </c>
      <c r="AH1324" s="2">
        <v>94.598546030042499</v>
      </c>
      <c r="AI1324" s="2">
        <v>42.089898830086298</v>
      </c>
      <c r="AJ1324" s="2">
        <v>132.95569698833</v>
      </c>
      <c r="AK1324" s="2">
        <v>49.991044949194801</v>
      </c>
      <c r="AL1324" s="2">
        <v>94.383731984239802</v>
      </c>
      <c r="AM1324" s="2">
        <v>16.441014351869701</v>
      </c>
      <c r="AN1324"/>
      <c r="AO1324"/>
    </row>
    <row r="1325" spans="1:41" ht="15.75" hidden="1" customHeight="1" x14ac:dyDescent="0.45">
      <c r="A1325" s="2" t="s">
        <v>227</v>
      </c>
      <c r="B1325" s="2" t="s">
        <v>228</v>
      </c>
      <c r="C1325" s="2">
        <v>3</v>
      </c>
      <c r="D1325" s="2"/>
      <c r="E1325" s="2" t="s">
        <v>83</v>
      </c>
      <c r="F1325" s="2" t="s">
        <v>84</v>
      </c>
      <c r="H1325" s="2">
        <v>4.9000000000000004</v>
      </c>
      <c r="J1325" s="2">
        <v>4.9449568360000002</v>
      </c>
      <c r="K1325" s="2">
        <v>33.4768005955777</v>
      </c>
      <c r="L1325" s="2"/>
      <c r="M1325" s="2">
        <v>2.0446107870456598</v>
      </c>
      <c r="N1325" s="2">
        <v>204.322222222222</v>
      </c>
      <c r="O1325" s="2">
        <v>31.0653850474792</v>
      </c>
      <c r="P1325" s="2">
        <v>17.695002787355499</v>
      </c>
      <c r="Q1325" s="2">
        <v>2.0152253119623298</v>
      </c>
      <c r="R1325" s="2">
        <v>6.2823550618794402</v>
      </c>
      <c r="S1325" s="2">
        <v>5.2089111821674701</v>
      </c>
      <c r="T1325" s="2">
        <v>7.5525853667233296</v>
      </c>
      <c r="U1325" s="2">
        <v>4.0268268936460698</v>
      </c>
      <c r="V1325" s="2">
        <v>0.40927203277266599</v>
      </c>
      <c r="W1325" s="2">
        <v>0.20372105306241101</v>
      </c>
      <c r="X1325" s="2">
        <v>3.6466717630666601</v>
      </c>
      <c r="Y1325" s="2">
        <v>0.55054912687842195</v>
      </c>
      <c r="Z1325" s="7">
        <v>57.015735214324401</v>
      </c>
      <c r="AA1325" s="2">
        <v>8.6687377855147201</v>
      </c>
      <c r="AB1325" s="7">
        <v>72.8736775473443</v>
      </c>
      <c r="AC1325" s="2">
        <v>4.4507929238814503</v>
      </c>
      <c r="AD1325" s="2">
        <v>171.17929062223001</v>
      </c>
      <c r="AE1325" s="2">
        <v>91.268001305876993</v>
      </c>
      <c r="AF1325" s="2">
        <v>91.837448387409694</v>
      </c>
      <c r="AG1325" s="2">
        <v>10.4590630925806</v>
      </c>
      <c r="AH1325" s="2">
        <v>112.01421238616</v>
      </c>
      <c r="AI1325" s="2">
        <v>92.8747384878628</v>
      </c>
      <c r="AJ1325" s="2">
        <v>101.41281201779</v>
      </c>
      <c r="AK1325" s="2">
        <v>50.479688822911299</v>
      </c>
      <c r="AL1325" s="2">
        <v>108.425307604637</v>
      </c>
      <c r="AM1325" s="2">
        <v>16.369298448473</v>
      </c>
      <c r="AN1325"/>
      <c r="AO1325"/>
    </row>
    <row r="1326" spans="1:41" ht="15.75" hidden="1" customHeight="1" x14ac:dyDescent="0.45">
      <c r="A1326" s="2" t="s">
        <v>227</v>
      </c>
      <c r="B1326" s="2" t="s">
        <v>228</v>
      </c>
      <c r="C1326" s="2">
        <v>10</v>
      </c>
      <c r="D1326" s="2"/>
      <c r="E1326" s="2" t="s">
        <v>83</v>
      </c>
      <c r="F1326" s="2" t="s">
        <v>84</v>
      </c>
      <c r="H1326" s="2">
        <v>4.9000000000000004</v>
      </c>
      <c r="J1326" s="2">
        <v>4.9449568360000002</v>
      </c>
      <c r="K1326" s="2">
        <v>15.575596234888801</v>
      </c>
      <c r="L1326" s="2"/>
      <c r="M1326" s="2">
        <v>1.0439485811733</v>
      </c>
      <c r="N1326" s="2">
        <v>117.666666666666</v>
      </c>
      <c r="O1326" s="2">
        <v>5.5477723256977098</v>
      </c>
      <c r="P1326" s="2">
        <v>18.078950401388798</v>
      </c>
      <c r="Q1326" s="2">
        <v>1.28863151567183</v>
      </c>
      <c r="R1326" s="2">
        <v>18.707728518122199</v>
      </c>
      <c r="S1326" s="2">
        <v>0.59379668752846004</v>
      </c>
      <c r="T1326" s="2">
        <v>9.7210612931277698</v>
      </c>
      <c r="U1326" s="2">
        <v>1.5179730701037599</v>
      </c>
      <c r="V1326" s="2">
        <v>1.37997417360388</v>
      </c>
      <c r="W1326" s="2">
        <v>0.31471998342508301</v>
      </c>
      <c r="X1326" s="2">
        <v>5.1745583504388799</v>
      </c>
      <c r="Y1326" s="2">
        <v>0.62363036715426201</v>
      </c>
      <c r="Z1326" s="7">
        <v>32.834663979536401</v>
      </c>
      <c r="AA1326" s="2">
        <v>1.5480955253477799</v>
      </c>
      <c r="AB1326" s="7">
        <v>33.905599024861999</v>
      </c>
      <c r="AC1326" s="2">
        <v>2.27251024372026</v>
      </c>
      <c r="AD1326" s="2">
        <v>220.32778121047201</v>
      </c>
      <c r="AE1326" s="2">
        <v>34.404848235001701</v>
      </c>
      <c r="AF1326" s="2">
        <v>93.830144834592602</v>
      </c>
      <c r="AG1326" s="2">
        <v>6.6880255252329297</v>
      </c>
      <c r="AH1326" s="2">
        <v>333.55826833268299</v>
      </c>
      <c r="AI1326" s="2">
        <v>10.5873780796963</v>
      </c>
      <c r="AJ1326" s="2">
        <v>341.941423431761</v>
      </c>
      <c r="AK1326" s="2">
        <v>77.983922578600101</v>
      </c>
      <c r="AL1326" s="2">
        <v>153.85346346408301</v>
      </c>
      <c r="AM1326" s="2">
        <v>18.542199239075799</v>
      </c>
      <c r="AN1326"/>
      <c r="AO1326"/>
    </row>
    <row r="1327" spans="1:41" ht="15.75" customHeight="1" x14ac:dyDescent="0.45">
      <c r="A1327" s="14" t="s">
        <v>229</v>
      </c>
      <c r="B1327" s="18"/>
      <c r="C1327" s="14">
        <v>0</v>
      </c>
      <c r="D1327" s="14"/>
      <c r="E1327" s="14" t="s">
        <v>85</v>
      </c>
      <c r="F1327" s="21" t="s">
        <v>84</v>
      </c>
      <c r="G1327" s="14" t="s">
        <v>86</v>
      </c>
      <c r="H1327" s="14" t="s">
        <v>87</v>
      </c>
      <c r="I1327" s="14">
        <v>3539</v>
      </c>
      <c r="J1327" s="18"/>
      <c r="K1327" s="38">
        <v>8.1666666666666607</v>
      </c>
      <c r="L1327" s="14"/>
      <c r="M1327" s="14">
        <v>0.781735959970567</v>
      </c>
      <c r="N1327" s="14">
        <v>334</v>
      </c>
      <c r="O1327" s="14">
        <v>24.739008034247</v>
      </c>
      <c r="P1327" s="14">
        <v>0.375</v>
      </c>
      <c r="Q1327" s="14">
        <v>0.15957118462605599</v>
      </c>
      <c r="R1327" s="14">
        <v>0.45833333333333298</v>
      </c>
      <c r="S1327" s="14">
        <v>0.20971762320196499</v>
      </c>
      <c r="T1327" s="14">
        <v>2.2291666666666599</v>
      </c>
      <c r="U1327" s="14">
        <v>0.74961409825075598</v>
      </c>
      <c r="V1327" s="14">
        <v>0</v>
      </c>
      <c r="W1327" s="14">
        <v>0</v>
      </c>
      <c r="X1327" s="14">
        <v>0.54166666666666596</v>
      </c>
      <c r="Y1327" s="14">
        <v>0.34359213546813799</v>
      </c>
      <c r="Z1327" s="15">
        <v>88.829787234042499</v>
      </c>
      <c r="AA1327" s="14">
        <v>6.5795234133635701</v>
      </c>
      <c r="AB1327" s="15">
        <v>89.090909090909093</v>
      </c>
      <c r="AC1327" s="14">
        <v>8.5280286542243697</v>
      </c>
      <c r="AD1327" s="14">
        <v>57.526881720430097</v>
      </c>
      <c r="AE1327" s="14">
        <v>19.3448799548582</v>
      </c>
      <c r="AF1327" s="14">
        <v>75</v>
      </c>
      <c r="AG1327" s="14">
        <v>31.914236925211199</v>
      </c>
      <c r="AH1327" s="14">
        <v>43.999999999999901</v>
      </c>
      <c r="AI1327" s="14">
        <v>20.132891827388601</v>
      </c>
      <c r="AL1327" s="14">
        <v>99.999999999999901</v>
      </c>
      <c r="AM1327" s="14">
        <v>63.432394240271698</v>
      </c>
      <c r="AO1327"/>
    </row>
    <row r="1328" spans="1:41" ht="15.75" customHeight="1" x14ac:dyDescent="0.45">
      <c r="A1328" s="14" t="s">
        <v>229</v>
      </c>
      <c r="B1328" s="18"/>
      <c r="C1328" s="14">
        <v>0</v>
      </c>
      <c r="D1328" s="14"/>
      <c r="E1328" s="14" t="s">
        <v>85</v>
      </c>
      <c r="F1328" s="21" t="s">
        <v>84</v>
      </c>
      <c r="G1328" s="14" t="s">
        <v>111</v>
      </c>
      <c r="H1328" s="14" t="s">
        <v>87</v>
      </c>
      <c r="I1328" s="14">
        <v>3539</v>
      </c>
      <c r="J1328" s="18"/>
      <c r="K1328" s="38">
        <v>3.5</v>
      </c>
      <c r="L1328" s="14"/>
      <c r="M1328" s="14">
        <v>0.78173595997057199</v>
      </c>
      <c r="N1328" s="14">
        <v>277.166666666666</v>
      </c>
      <c r="O1328" s="14">
        <v>47.241891328526101</v>
      </c>
      <c r="P1328" s="14">
        <v>0.41666666666666602</v>
      </c>
      <c r="Q1328" s="14">
        <v>0.34694433324435497</v>
      </c>
      <c r="R1328" s="14">
        <v>0.16666666666666599</v>
      </c>
      <c r="S1328" s="14">
        <v>0.13608276348795401</v>
      </c>
      <c r="T1328" s="14">
        <v>4.6666666666666599</v>
      </c>
      <c r="U1328" s="14">
        <v>1.18634202800347</v>
      </c>
      <c r="V1328" s="14">
        <v>0</v>
      </c>
      <c r="W1328" s="14">
        <v>0</v>
      </c>
      <c r="X1328" s="14">
        <v>0.54166666666666596</v>
      </c>
      <c r="Y1328" s="14">
        <v>0.34359213546813799</v>
      </c>
      <c r="Z1328" s="15">
        <v>92.209592459107199</v>
      </c>
      <c r="AA1328" s="14">
        <v>15.716736787976499</v>
      </c>
      <c r="AB1328" s="15">
        <v>110.526315789473</v>
      </c>
      <c r="AC1328" s="14">
        <v>24.6863987359128</v>
      </c>
      <c r="AD1328" s="14">
        <v>82.962962962962905</v>
      </c>
      <c r="AE1328" s="14">
        <v>21.090524942283999</v>
      </c>
      <c r="AF1328" s="14">
        <v>71.428571428571402</v>
      </c>
      <c r="AG1328" s="14">
        <v>59.476171413317999</v>
      </c>
      <c r="AH1328" s="14">
        <v>10.5263157894736</v>
      </c>
      <c r="AI1328" s="14">
        <v>8.5947008518707992</v>
      </c>
      <c r="AJ1328" s="14">
        <v>0</v>
      </c>
      <c r="AK1328" s="14">
        <v>0</v>
      </c>
      <c r="AL1328" s="14">
        <v>92.857142857142804</v>
      </c>
      <c r="AM1328" s="14">
        <v>58.9015089373951</v>
      </c>
      <c r="AO1328"/>
    </row>
    <row r="1329" spans="1:41" ht="15.75" customHeight="1" x14ac:dyDescent="0.45">
      <c r="A1329" s="14" t="s">
        <v>229</v>
      </c>
      <c r="B1329" s="18"/>
      <c r="C1329" s="14">
        <v>0</v>
      </c>
      <c r="D1329" s="14"/>
      <c r="E1329" s="14" t="s">
        <v>85</v>
      </c>
      <c r="F1329" s="21" t="s">
        <v>84</v>
      </c>
      <c r="G1329" s="14" t="s">
        <v>86</v>
      </c>
      <c r="H1329" s="14" t="s">
        <v>87</v>
      </c>
      <c r="I1329" s="14">
        <v>3539</v>
      </c>
      <c r="J1329" s="18"/>
      <c r="K1329" s="38">
        <v>5</v>
      </c>
      <c r="L1329" s="14"/>
      <c r="M1329" s="14">
        <v>0.54433105395181203</v>
      </c>
      <c r="N1329" s="14">
        <v>368.45833333333297</v>
      </c>
      <c r="O1329" s="14">
        <v>14.8182663803327</v>
      </c>
      <c r="P1329" s="14">
        <v>0.91666666666666596</v>
      </c>
      <c r="Q1329" s="14">
        <v>0.28867513459481298</v>
      </c>
      <c r="R1329" s="14">
        <v>0.41666666666666602</v>
      </c>
      <c r="S1329" s="14">
        <v>0.28867513459481198</v>
      </c>
      <c r="T1329" s="14">
        <v>3.5833333333333299</v>
      </c>
      <c r="U1329" s="14">
        <v>0.440958551844091</v>
      </c>
      <c r="V1329" s="14">
        <v>0</v>
      </c>
      <c r="W1329" s="14">
        <v>0</v>
      </c>
      <c r="X1329" s="14">
        <v>0.45833333333333298</v>
      </c>
      <c r="Y1329" s="14">
        <v>0.28463752127665498</v>
      </c>
      <c r="Z1329" s="15">
        <v>102.207582061951</v>
      </c>
      <c r="AA1329" s="14">
        <v>4.1104761110493104</v>
      </c>
      <c r="AB1329" s="15">
        <v>86.330935251798493</v>
      </c>
      <c r="AC1329" s="14">
        <v>9.3985217948514297</v>
      </c>
      <c r="AD1329" s="14">
        <v>88.659793814433002</v>
      </c>
      <c r="AE1329" s="14">
        <v>10.9103146848022</v>
      </c>
      <c r="AF1329" s="14">
        <v>91.6666666666666</v>
      </c>
      <c r="AG1329" s="14">
        <v>28.867513459481302</v>
      </c>
      <c r="AH1329" s="14">
        <v>32.258064516128997</v>
      </c>
      <c r="AI1329" s="14">
        <v>22.349042678307999</v>
      </c>
      <c r="AL1329" s="14">
        <v>78.571428571428498</v>
      </c>
      <c r="AM1329" s="14">
        <v>48.795003647426597</v>
      </c>
      <c r="AO1329"/>
    </row>
    <row r="1330" spans="1:41" ht="15.75" customHeight="1" x14ac:dyDescent="0.45">
      <c r="A1330" s="14" t="s">
        <v>229</v>
      </c>
      <c r="B1330" s="18"/>
      <c r="C1330" s="14">
        <v>0</v>
      </c>
      <c r="D1330" s="14"/>
      <c r="E1330" s="14" t="s">
        <v>85</v>
      </c>
      <c r="F1330" s="21" t="s">
        <v>84</v>
      </c>
      <c r="G1330" s="14" t="s">
        <v>111</v>
      </c>
      <c r="H1330" s="14" t="s">
        <v>87</v>
      </c>
      <c r="I1330" s="14">
        <v>3539</v>
      </c>
      <c r="J1330" s="18"/>
      <c r="K1330" s="38">
        <v>4.3333333333333304</v>
      </c>
      <c r="L1330" s="14"/>
      <c r="M1330" s="14">
        <v>0.27216552697590302</v>
      </c>
      <c r="N1330" s="14">
        <v>293.58333333333297</v>
      </c>
      <c r="O1330" s="14">
        <v>31.007914163012099</v>
      </c>
      <c r="P1330" s="14">
        <v>0.54166666666666596</v>
      </c>
      <c r="Q1330" s="14">
        <v>0.20971762320196499</v>
      </c>
      <c r="R1330" s="14">
        <v>8.3333333333333301E-2</v>
      </c>
      <c r="S1330" s="14">
        <v>9.6225044864937603E-2</v>
      </c>
      <c r="T1330" s="14">
        <v>3.7916666666666599</v>
      </c>
      <c r="U1330" s="14">
        <v>0.86468791201518902</v>
      </c>
      <c r="V1330" s="14">
        <v>0</v>
      </c>
      <c r="W1330" s="14">
        <v>0</v>
      </c>
      <c r="X1330" s="14">
        <v>0.58333333333333304</v>
      </c>
      <c r="Y1330" s="14">
        <v>0.396746023807936</v>
      </c>
      <c r="Z1330" s="15">
        <v>112.934765186728</v>
      </c>
      <c r="AA1330" s="14">
        <v>11.928032375577599</v>
      </c>
      <c r="AB1330" s="15">
        <v>99.047619047618994</v>
      </c>
      <c r="AC1330" s="14">
        <v>6.2209263308778002</v>
      </c>
      <c r="AD1330" s="14">
        <v>103.40909090909</v>
      </c>
      <c r="AE1330" s="14">
        <v>23.5823976004142</v>
      </c>
      <c r="AF1330" s="14">
        <v>61.904761904761799</v>
      </c>
      <c r="AG1330" s="14">
        <v>23.9677283659388</v>
      </c>
      <c r="AH1330" s="14">
        <v>100</v>
      </c>
      <c r="AI1330" s="14">
        <v>115.47005383792499</v>
      </c>
      <c r="AJ1330" s="14">
        <v>0</v>
      </c>
      <c r="AK1330" s="14">
        <v>0</v>
      </c>
      <c r="AL1330" s="14">
        <v>155.555555555555</v>
      </c>
      <c r="AM1330" s="14">
        <v>105.798939682116</v>
      </c>
      <c r="AO1330"/>
    </row>
    <row r="1331" spans="1:41" ht="15.75" hidden="1" customHeight="1" x14ac:dyDescent="0.45">
      <c r="A1331" s="2" t="s">
        <v>230</v>
      </c>
      <c r="B1331" s="2" t="s">
        <v>231</v>
      </c>
      <c r="C1331" s="2">
        <v>3.0000000000000001E-3</v>
      </c>
      <c r="D1331" s="2"/>
      <c r="E1331" s="2" t="s">
        <v>83</v>
      </c>
      <c r="F1331" s="2" t="s">
        <v>84</v>
      </c>
      <c r="H1331" s="2">
        <v>2.5</v>
      </c>
      <c r="J1331" s="2">
        <v>2.4511423360000002</v>
      </c>
      <c r="K1331" s="2">
        <v>39.2663913305555</v>
      </c>
      <c r="L1331" s="2"/>
      <c r="M1331" s="2">
        <v>2.3865011445118101</v>
      </c>
      <c r="N1331" s="2">
        <v>266.05555555555497</v>
      </c>
      <c r="O1331" s="2">
        <v>18.8578994156391</v>
      </c>
      <c r="P1331" s="2">
        <v>35.041460540555498</v>
      </c>
      <c r="Q1331" s="2">
        <v>3.3667341704229199</v>
      </c>
      <c r="R1331" s="2">
        <v>3.0502972936666599</v>
      </c>
      <c r="S1331" s="2">
        <v>0.49937119005962599</v>
      </c>
      <c r="T1331" s="2">
        <v>4.5416399682222197</v>
      </c>
      <c r="U1331" s="2">
        <v>0.95832605702059503</v>
      </c>
      <c r="V1331" s="2">
        <v>0.47615326016666598</v>
      </c>
      <c r="W1331" s="2">
        <v>7.6527888327092494E-2</v>
      </c>
      <c r="X1331" s="2">
        <v>2.9888008313333301</v>
      </c>
      <c r="Y1331" s="2">
        <v>0.75010157694862101</v>
      </c>
      <c r="Z1331" s="7">
        <v>95.398406374502002</v>
      </c>
      <c r="AA1331" s="2">
        <v>6.7617966032172401</v>
      </c>
      <c r="AB1331" s="7">
        <v>98.362167892768099</v>
      </c>
      <c r="AC1331" s="2">
        <v>5.9781767129205896</v>
      </c>
      <c r="AD1331" s="2">
        <v>102.580037186477</v>
      </c>
      <c r="AE1331" s="2">
        <v>21.645291844748201</v>
      </c>
      <c r="AF1331" s="2">
        <v>103.62410461121</v>
      </c>
      <c r="AG1331" s="2">
        <v>9.9560580093477302</v>
      </c>
      <c r="AH1331" s="2">
        <v>81.661244930180899</v>
      </c>
      <c r="AI1331" s="2">
        <v>13.368950346972699</v>
      </c>
      <c r="AJ1331" s="2">
        <v>101.244856078304</v>
      </c>
      <c r="AK1331" s="2">
        <v>16.272187314103501</v>
      </c>
      <c r="AL1331" s="2">
        <v>88.768661477670904</v>
      </c>
      <c r="AM1331" s="2">
        <v>22.278337271578799</v>
      </c>
      <c r="AN1331"/>
      <c r="AO1331"/>
    </row>
    <row r="1332" spans="1:41" ht="15.75" hidden="1" customHeight="1" x14ac:dyDescent="0.45">
      <c r="A1332" s="2" t="s">
        <v>230</v>
      </c>
      <c r="B1332" s="2" t="s">
        <v>231</v>
      </c>
      <c r="C1332" s="2">
        <v>0.01</v>
      </c>
      <c r="D1332" s="2"/>
      <c r="E1332" s="2" t="s">
        <v>83</v>
      </c>
      <c r="F1332" s="2" t="s">
        <v>84</v>
      </c>
      <c r="H1332" s="2">
        <v>2.5</v>
      </c>
      <c r="J1332" s="2">
        <v>2.4511423360000002</v>
      </c>
      <c r="K1332" s="2">
        <v>40.56135183</v>
      </c>
      <c r="L1332" s="2"/>
      <c r="M1332" s="2">
        <v>1.5544432763098499</v>
      </c>
      <c r="N1332" s="2">
        <v>293.222222222222</v>
      </c>
      <c r="O1332" s="2">
        <v>32.842356346193398</v>
      </c>
      <c r="P1332" s="2">
        <v>34.338314019444397</v>
      </c>
      <c r="Q1332" s="2">
        <v>1.02758741834256</v>
      </c>
      <c r="R1332" s="2">
        <v>3.3834773846666599</v>
      </c>
      <c r="S1332" s="2">
        <v>0.49283166928177302</v>
      </c>
      <c r="T1332" s="2">
        <v>4.6682096807777702</v>
      </c>
      <c r="U1332" s="2">
        <v>0.80898277534944696</v>
      </c>
      <c r="V1332" s="2">
        <v>0.50372737077777696</v>
      </c>
      <c r="W1332" s="2">
        <v>0.27371726370293298</v>
      </c>
      <c r="X1332" s="2">
        <v>2.9884362231111101</v>
      </c>
      <c r="Y1332" s="2">
        <v>0.16459607365546999</v>
      </c>
      <c r="Z1332" s="7">
        <v>105.13944223107499</v>
      </c>
      <c r="AA1332" s="2">
        <v>11.7761437097904</v>
      </c>
      <c r="AB1332" s="7">
        <v>101.606039248008</v>
      </c>
      <c r="AC1332" s="2">
        <v>3.8938747703356</v>
      </c>
      <c r="AD1332" s="2">
        <v>105.438811970801</v>
      </c>
      <c r="AE1332" s="2">
        <v>18.272140407256799</v>
      </c>
      <c r="AF1332" s="2">
        <v>101.544769802197</v>
      </c>
      <c r="AG1332" s="2">
        <v>3.03876677777897</v>
      </c>
      <c r="AH1332" s="2">
        <v>90.580998776306899</v>
      </c>
      <c r="AI1332" s="2">
        <v>13.1938771142504</v>
      </c>
      <c r="AJ1332" s="2">
        <v>107.10796170805899</v>
      </c>
      <c r="AK1332" s="2">
        <v>58.200725035571097</v>
      </c>
      <c r="AL1332" s="2">
        <v>88.757832457713704</v>
      </c>
      <c r="AM1332" s="2">
        <v>4.8885737014326702</v>
      </c>
      <c r="AN1332"/>
      <c r="AO1332"/>
    </row>
    <row r="1333" spans="1:41" ht="15.75" hidden="1" customHeight="1" x14ac:dyDescent="0.45">
      <c r="A1333" s="2" t="s">
        <v>230</v>
      </c>
      <c r="B1333" s="2" t="s">
        <v>231</v>
      </c>
      <c r="C1333" s="2">
        <v>0.03</v>
      </c>
      <c r="D1333" s="2"/>
      <c r="E1333" s="2" t="s">
        <v>83</v>
      </c>
      <c r="F1333" s="2" t="s">
        <v>84</v>
      </c>
      <c r="H1333" s="2">
        <v>2.5</v>
      </c>
      <c r="J1333" s="2">
        <v>2.4511423360000002</v>
      </c>
      <c r="K1333" s="2">
        <v>38.725817116666597</v>
      </c>
      <c r="L1333" s="2"/>
      <c r="M1333" s="2">
        <v>2.03231415178846</v>
      </c>
      <c r="N1333" s="2">
        <v>313.05555555555497</v>
      </c>
      <c r="O1333" s="2">
        <v>24.535876981662302</v>
      </c>
      <c r="P1333" s="2">
        <v>30.8231533083333</v>
      </c>
      <c r="Q1333" s="2">
        <v>1.2640756421422199</v>
      </c>
      <c r="R1333" s="2">
        <v>3.2601290619999999</v>
      </c>
      <c r="S1333" s="2">
        <v>0.39964760839623897</v>
      </c>
      <c r="T1333" s="2">
        <v>3.98970290816666</v>
      </c>
      <c r="U1333" s="2">
        <v>1.75115351497185</v>
      </c>
      <c r="V1333" s="2">
        <v>0.25824852438888801</v>
      </c>
      <c r="W1333" s="2">
        <v>8.29503391140234E-2</v>
      </c>
      <c r="X1333" s="2">
        <v>3.5555805254999999</v>
      </c>
      <c r="Y1333" s="2">
        <v>0.51495742079066398</v>
      </c>
      <c r="Z1333" s="7">
        <v>112.250996015936</v>
      </c>
      <c r="AA1333" s="2">
        <v>8.7977248141418904</v>
      </c>
      <c r="AB1333" s="7">
        <v>97.008031447240796</v>
      </c>
      <c r="AC1333" s="2">
        <v>5.09093958052389</v>
      </c>
      <c r="AD1333" s="2">
        <v>90.113676017109597</v>
      </c>
      <c r="AE1333" s="2">
        <v>39.552539158087299</v>
      </c>
      <c r="AF1333" s="2">
        <v>91.149786955183302</v>
      </c>
      <c r="AG1333" s="2">
        <v>3.7381063619259698</v>
      </c>
      <c r="AH1333" s="2">
        <v>87.278770626308599</v>
      </c>
      <c r="AI1333" s="2">
        <v>10.6991935844312</v>
      </c>
      <c r="AJ1333" s="2">
        <v>54.9115943783221</v>
      </c>
      <c r="AK1333" s="2">
        <v>17.637798263328602</v>
      </c>
      <c r="AL1333" s="2">
        <v>105.602260517274</v>
      </c>
      <c r="AM1333" s="2">
        <v>15.294455382357601</v>
      </c>
      <c r="AN1333"/>
      <c r="AO1333"/>
    </row>
    <row r="1334" spans="1:41" ht="15.75" hidden="1" customHeight="1" x14ac:dyDescent="0.45">
      <c r="A1334" s="2" t="s">
        <v>230</v>
      </c>
      <c r="B1334" s="2" t="s">
        <v>231</v>
      </c>
      <c r="C1334" s="2">
        <v>0.1</v>
      </c>
      <c r="D1334" s="2"/>
      <c r="E1334" s="2" t="s">
        <v>83</v>
      </c>
      <c r="F1334" s="2" t="s">
        <v>84</v>
      </c>
      <c r="H1334" s="2">
        <v>2.5</v>
      </c>
      <c r="J1334" s="2">
        <v>2.4511423360000002</v>
      </c>
      <c r="K1334" s="2">
        <v>40.152748640555501</v>
      </c>
      <c r="L1334" s="2"/>
      <c r="M1334" s="2">
        <v>0.75632363798715796</v>
      </c>
      <c r="N1334" s="2">
        <v>265.77777777777698</v>
      </c>
      <c r="O1334" s="2">
        <v>24.0030862213208</v>
      </c>
      <c r="P1334" s="2">
        <v>34.088922343888797</v>
      </c>
      <c r="Q1334" s="2">
        <v>3.2322007831026398</v>
      </c>
      <c r="R1334" s="2">
        <v>2.5725872293333301</v>
      </c>
      <c r="S1334" s="2">
        <v>0.346829211181646</v>
      </c>
      <c r="T1334" s="2">
        <v>3.5137616495555499</v>
      </c>
      <c r="U1334" s="2">
        <v>1.44571913566099</v>
      </c>
      <c r="V1334" s="2">
        <v>0.40876394922222198</v>
      </c>
      <c r="W1334" s="2">
        <v>0.161657747179586</v>
      </c>
      <c r="X1334" s="2">
        <v>2.9953306916111102</v>
      </c>
      <c r="Y1334" s="2">
        <v>0.49115165716056902</v>
      </c>
      <c r="Z1334" s="7">
        <v>95.298804780876495</v>
      </c>
      <c r="AA1334" s="2">
        <v>8.6066843024656308</v>
      </c>
      <c r="AB1334" s="7">
        <v>100.58248974015299</v>
      </c>
      <c r="AC1334" s="2">
        <v>1.8945879705291799</v>
      </c>
      <c r="AD1334" s="2">
        <v>79.3637988034789</v>
      </c>
      <c r="AE1334" s="2">
        <v>32.653826312735603</v>
      </c>
      <c r="AF1334" s="2">
        <v>100.807272315555</v>
      </c>
      <c r="AG1334" s="2">
        <v>9.5582178055913403</v>
      </c>
      <c r="AH1334" s="2">
        <v>68.872196908489997</v>
      </c>
      <c r="AI1334" s="2">
        <v>9.2851622109267495</v>
      </c>
      <c r="AJ1334" s="2">
        <v>86.915811926852001</v>
      </c>
      <c r="AK1334" s="2">
        <v>34.373418637123898</v>
      </c>
      <c r="AL1334" s="2">
        <v>88.962601117414593</v>
      </c>
      <c r="AM1334" s="2">
        <v>14.587414032949701</v>
      </c>
      <c r="AN1334"/>
      <c r="AO1334"/>
    </row>
    <row r="1335" spans="1:41" ht="15.75" hidden="1" customHeight="1" x14ac:dyDescent="0.45">
      <c r="A1335" s="2" t="s">
        <v>230</v>
      </c>
      <c r="B1335" s="2" t="s">
        <v>231</v>
      </c>
      <c r="C1335" s="2">
        <v>0.3</v>
      </c>
      <c r="D1335" s="2"/>
      <c r="E1335" s="2" t="s">
        <v>83</v>
      </c>
      <c r="F1335" s="2" t="s">
        <v>84</v>
      </c>
      <c r="H1335" s="2">
        <v>2.5</v>
      </c>
      <c r="J1335" s="2">
        <v>2.4511423360000002</v>
      </c>
      <c r="K1335" s="2">
        <v>37.459360595555502</v>
      </c>
      <c r="L1335" s="2"/>
      <c r="M1335" s="2">
        <v>5.34204018833855</v>
      </c>
      <c r="N1335" s="2">
        <v>269.27777777777698</v>
      </c>
      <c r="O1335" s="2">
        <v>9.0405465255972697</v>
      </c>
      <c r="P1335" s="2">
        <v>32.277827242777697</v>
      </c>
      <c r="Q1335" s="2">
        <v>1.5266993095502099</v>
      </c>
      <c r="R1335" s="2">
        <v>3.6513459204444398</v>
      </c>
      <c r="S1335" s="2">
        <v>0.37846444827891901</v>
      </c>
      <c r="T1335" s="2">
        <v>4.83530516961111</v>
      </c>
      <c r="U1335" s="2">
        <v>0.32376177132031903</v>
      </c>
      <c r="V1335" s="2">
        <v>0.35807745405555502</v>
      </c>
      <c r="W1335" s="2">
        <v>0.22951662655947</v>
      </c>
      <c r="X1335" s="2">
        <v>3.37029282333333</v>
      </c>
      <c r="Y1335" s="2">
        <v>0.76482401576979298</v>
      </c>
      <c r="Z1335" s="7">
        <v>96.553784860557698</v>
      </c>
      <c r="AA1335" s="2">
        <v>3.2416302283018101</v>
      </c>
      <c r="AB1335" s="7">
        <v>93.835562454362304</v>
      </c>
      <c r="AC1335" s="2">
        <v>13.381791300143799</v>
      </c>
      <c r="AD1335" s="2">
        <v>109.212924753441</v>
      </c>
      <c r="AE1335" s="2">
        <v>7.3126656392797296</v>
      </c>
      <c r="AF1335" s="2">
        <v>95.451527853900004</v>
      </c>
      <c r="AG1335" s="2">
        <v>4.5147333051257004</v>
      </c>
      <c r="AH1335" s="2">
        <v>97.752259805405998</v>
      </c>
      <c r="AI1335" s="2">
        <v>10.132087148502</v>
      </c>
      <c r="AJ1335" s="2">
        <v>76.138301117692293</v>
      </c>
      <c r="AK1335" s="2">
        <v>48.802307508002698</v>
      </c>
      <c r="AL1335" s="2">
        <v>100.09913660979301</v>
      </c>
      <c r="AM1335" s="2">
        <v>22.7155999938524</v>
      </c>
      <c r="AN1335"/>
      <c r="AO1335"/>
    </row>
    <row r="1336" spans="1:41" ht="15.75" hidden="1" customHeight="1" x14ac:dyDescent="0.45">
      <c r="A1336" s="2" t="s">
        <v>230</v>
      </c>
      <c r="B1336" s="2" t="s">
        <v>231</v>
      </c>
      <c r="C1336" s="2">
        <v>1</v>
      </c>
      <c r="D1336" s="2"/>
      <c r="E1336" s="2" t="s">
        <v>83</v>
      </c>
      <c r="F1336" s="2" t="s">
        <v>84</v>
      </c>
      <c r="H1336" s="2">
        <v>2.5</v>
      </c>
      <c r="J1336" s="2">
        <v>2.4511423360000002</v>
      </c>
      <c r="K1336" s="2">
        <v>35.708562538888799</v>
      </c>
      <c r="L1336" s="2"/>
      <c r="M1336" s="2">
        <v>3.8909813960778701</v>
      </c>
      <c r="N1336" s="2">
        <v>201.722222222222</v>
      </c>
      <c r="O1336" s="2">
        <v>44.801206994322499</v>
      </c>
      <c r="P1336" s="2">
        <v>27.096128094444399</v>
      </c>
      <c r="Q1336" s="2">
        <v>4.5683627095943304</v>
      </c>
      <c r="R1336" s="2">
        <v>4.1744891049999904</v>
      </c>
      <c r="S1336" s="2">
        <v>0.94566722549556903</v>
      </c>
      <c r="T1336" s="2">
        <v>3.50853552372222</v>
      </c>
      <c r="U1336" s="2">
        <v>0.892235787986005</v>
      </c>
      <c r="V1336" s="2">
        <v>0.37814947311111102</v>
      </c>
      <c r="W1336" s="2">
        <v>0.231849694178838</v>
      </c>
      <c r="X1336" s="2">
        <v>4.4419664453888803</v>
      </c>
      <c r="Y1336" s="2">
        <v>1.0225998817081801</v>
      </c>
      <c r="Z1336" s="7">
        <v>72.330677290836604</v>
      </c>
      <c r="AA1336" s="2">
        <v>16.064177806729202</v>
      </c>
      <c r="AB1336" s="7">
        <v>89.449819671266994</v>
      </c>
      <c r="AC1336" s="2">
        <v>9.7468942874520597</v>
      </c>
      <c r="AD1336" s="2">
        <v>79.245758583189399</v>
      </c>
      <c r="AE1336" s="2">
        <v>20.152539820662401</v>
      </c>
      <c r="AF1336" s="2">
        <v>80.128281438720705</v>
      </c>
      <c r="AG1336" s="2">
        <v>13.5094966938683</v>
      </c>
      <c r="AH1336" s="2">
        <v>111.757623746896</v>
      </c>
      <c r="AI1336" s="2">
        <v>25.3169955217084</v>
      </c>
      <c r="AJ1336" s="2">
        <v>80.406230900992298</v>
      </c>
      <c r="AK1336" s="2">
        <v>49.298389578849203</v>
      </c>
      <c r="AL1336" s="2">
        <v>131.92830099354401</v>
      </c>
      <c r="AM1336" s="2">
        <v>30.371653331602101</v>
      </c>
      <c r="AN1336"/>
      <c r="AO1336"/>
    </row>
    <row r="1337" spans="1:41" ht="15.75" hidden="1" customHeight="1" x14ac:dyDescent="0.45">
      <c r="A1337" s="2" t="s">
        <v>230</v>
      </c>
      <c r="B1337" s="2" t="s">
        <v>231</v>
      </c>
      <c r="C1337" s="2">
        <v>3</v>
      </c>
      <c r="D1337" s="2"/>
      <c r="E1337" s="2" t="s">
        <v>83</v>
      </c>
      <c r="F1337" s="2" t="s">
        <v>84</v>
      </c>
      <c r="H1337" s="2">
        <v>2.5</v>
      </c>
      <c r="J1337" s="2">
        <v>2.4511423360000002</v>
      </c>
      <c r="K1337" s="2">
        <v>19.674608154333299</v>
      </c>
      <c r="L1337" s="2"/>
      <c r="M1337" s="2">
        <v>9.5210622333550905</v>
      </c>
      <c r="N1337" s="2">
        <v>140.555555555555</v>
      </c>
      <c r="O1337" s="2">
        <v>36.326579392648199</v>
      </c>
      <c r="P1337" s="2">
        <v>23.003272432777699</v>
      </c>
      <c r="Q1337" s="2">
        <v>1.11403464253704</v>
      </c>
      <c r="R1337" s="2">
        <v>3.0893418329444402</v>
      </c>
      <c r="S1337" s="2">
        <v>0.69670585078750202</v>
      </c>
      <c r="T1337" s="2">
        <v>3.1552269775555501</v>
      </c>
      <c r="U1337" s="2">
        <v>0.58049909970231495</v>
      </c>
      <c r="V1337" s="2">
        <v>0.214587331777777</v>
      </c>
      <c r="W1337" s="2">
        <v>0.105304181561256</v>
      </c>
      <c r="X1337" s="2">
        <v>4.46923689933333</v>
      </c>
      <c r="Y1337" s="2">
        <v>0.335926854610544</v>
      </c>
      <c r="Z1337" s="7">
        <v>50.398406374502002</v>
      </c>
      <c r="AA1337" s="2">
        <v>13.0254667144953</v>
      </c>
      <c r="AB1337" s="7">
        <v>49.284822081295601</v>
      </c>
      <c r="AC1337" s="2">
        <v>23.850226368676001</v>
      </c>
      <c r="AD1337" s="2">
        <v>71.265732852910403</v>
      </c>
      <c r="AE1337" s="2">
        <v>13.1114794767603</v>
      </c>
      <c r="AF1337" s="2">
        <v>68.024947368148204</v>
      </c>
      <c r="AG1337" s="2">
        <v>3.2944072695019</v>
      </c>
      <c r="AH1337" s="2">
        <v>82.706528513446301</v>
      </c>
      <c r="AI1337" s="2">
        <v>18.6519088626466</v>
      </c>
      <c r="AJ1337" s="2">
        <v>45.627879381659397</v>
      </c>
      <c r="AK1337" s="2">
        <v>22.390914015544698</v>
      </c>
      <c r="AL1337" s="2">
        <v>132.73824512537001</v>
      </c>
      <c r="AM1337" s="2">
        <v>9.9771710866659902</v>
      </c>
      <c r="AN1337"/>
      <c r="AO1337"/>
    </row>
    <row r="1338" spans="1:41" ht="15.75" hidden="1" customHeight="1" x14ac:dyDescent="0.45">
      <c r="A1338" s="2" t="s">
        <v>230</v>
      </c>
      <c r="B1338" s="2" t="s">
        <v>231</v>
      </c>
      <c r="C1338" s="2">
        <v>10</v>
      </c>
      <c r="D1338" s="2"/>
      <c r="E1338" s="2" t="s">
        <v>83</v>
      </c>
      <c r="F1338" s="2" t="s">
        <v>84</v>
      </c>
      <c r="H1338" s="2">
        <v>2.5</v>
      </c>
      <c r="J1338" s="2">
        <v>2.4511423360000002</v>
      </c>
      <c r="K1338" s="2">
        <v>0</v>
      </c>
      <c r="L1338" s="2"/>
      <c r="M1338" s="2">
        <v>0</v>
      </c>
      <c r="N1338" s="2">
        <v>9.3611111111111107</v>
      </c>
      <c r="O1338" s="2">
        <v>1.7125625157553599</v>
      </c>
      <c r="P1338" s="2">
        <v>0</v>
      </c>
      <c r="Q1338" s="2">
        <v>0</v>
      </c>
      <c r="R1338" s="2">
        <v>9.6480294392777708</v>
      </c>
      <c r="S1338" s="2">
        <v>5.6649829711050197</v>
      </c>
      <c r="T1338" s="2">
        <v>18.259140549833301</v>
      </c>
      <c r="U1338" s="2">
        <v>7.6860557147629702</v>
      </c>
      <c r="V1338" s="2">
        <v>0.69444444441666597</v>
      </c>
      <c r="W1338" s="2">
        <v>1.2028130607636001</v>
      </c>
      <c r="X1338" s="2">
        <v>0.69444444441666597</v>
      </c>
      <c r="Y1338" s="2">
        <v>1.2028130607636001</v>
      </c>
      <c r="Z1338" s="7">
        <v>3.3565737051792799</v>
      </c>
      <c r="AA1338" s="2">
        <v>0.61406624070909599</v>
      </c>
      <c r="AB1338" s="7">
        <v>0</v>
      </c>
      <c r="AC1338" s="2">
        <v>0</v>
      </c>
      <c r="AD1338" s="2">
        <v>412.41122803668497</v>
      </c>
      <c r="AE1338" s="2">
        <v>173.60158148915201</v>
      </c>
      <c r="AF1338" s="2">
        <v>0</v>
      </c>
      <c r="AG1338" s="2">
        <v>0</v>
      </c>
      <c r="AH1338" s="2">
        <v>258.29288730980801</v>
      </c>
      <c r="AI1338" s="2">
        <v>151.66048335328699</v>
      </c>
      <c r="AJ1338" s="2">
        <v>147.66028863213799</v>
      </c>
      <c r="AK1338" s="2">
        <v>255.755122171149</v>
      </c>
      <c r="AL1338" s="2">
        <v>20.625296659186098</v>
      </c>
      <c r="AM1338" s="2">
        <v>35.724061734891102</v>
      </c>
      <c r="AN1338"/>
      <c r="AO1338"/>
    </row>
    <row r="1339" spans="1:41" ht="15.75" hidden="1" customHeight="1" x14ac:dyDescent="0.45">
      <c r="A1339" s="2" t="s">
        <v>232</v>
      </c>
      <c r="B1339" s="2" t="s">
        <v>98</v>
      </c>
      <c r="C1339" s="2">
        <v>3.0000000000000001E-3</v>
      </c>
      <c r="D1339" s="2"/>
      <c r="E1339" s="2" t="s">
        <v>83</v>
      </c>
      <c r="F1339" s="2" t="s">
        <v>84</v>
      </c>
      <c r="H1339" s="2">
        <v>0.4</v>
      </c>
      <c r="J1339" s="2">
        <v>0.4</v>
      </c>
      <c r="K1339" s="2">
        <v>28.052828077388799</v>
      </c>
      <c r="L1339" s="2"/>
      <c r="M1339" s="2">
        <v>0.68297504001043796</v>
      </c>
      <c r="N1339" s="2">
        <v>199</v>
      </c>
      <c r="O1339" s="2">
        <v>14.867002985732499</v>
      </c>
      <c r="P1339" s="2">
        <v>12.851631961672201</v>
      </c>
      <c r="Q1339" s="2">
        <v>0.66854850726686998</v>
      </c>
      <c r="R1339" s="2">
        <v>1.08694434684388</v>
      </c>
      <c r="S1339" s="2">
        <v>0.541356253762595</v>
      </c>
      <c r="T1339" s="2">
        <v>4.8898168576555499</v>
      </c>
      <c r="U1339" s="2">
        <v>0.41411102614477002</v>
      </c>
      <c r="V1339" s="2">
        <v>0.76287169921333298</v>
      </c>
      <c r="W1339" s="2">
        <v>0.26307323005057498</v>
      </c>
      <c r="X1339" s="2">
        <v>4.4232181835555497</v>
      </c>
      <c r="Y1339" s="2">
        <v>0.38125446577557698</v>
      </c>
      <c r="Z1339" s="7">
        <v>75.281364118145106</v>
      </c>
      <c r="AA1339" s="2">
        <v>6.4818471690651398</v>
      </c>
      <c r="AB1339" s="7">
        <v>83.050671241514806</v>
      </c>
      <c r="AC1339" s="2">
        <v>4.6973312837764798</v>
      </c>
      <c r="AD1339" s="2">
        <v>85.247076497879704</v>
      </c>
      <c r="AE1339" s="2">
        <v>14.353532730549601</v>
      </c>
      <c r="AF1339" s="2">
        <v>94.722908123642398</v>
      </c>
      <c r="AG1339" s="2">
        <v>5.3333338742548397</v>
      </c>
      <c r="AH1339" s="2">
        <v>65.486677903905999</v>
      </c>
      <c r="AI1339" s="2">
        <v>47.767209151270002</v>
      </c>
      <c r="AJ1339" s="2">
        <v>129.54703525892501</v>
      </c>
      <c r="AK1339" s="2">
        <v>69.912645429618905</v>
      </c>
      <c r="AL1339" s="2">
        <v>121.92405020135899</v>
      </c>
      <c r="AM1339" s="2">
        <v>13.7395265153905</v>
      </c>
      <c r="AN1339"/>
      <c r="AO1339"/>
    </row>
    <row r="1340" spans="1:41" ht="15.75" hidden="1" customHeight="1" x14ac:dyDescent="0.45">
      <c r="A1340" s="2" t="s">
        <v>232</v>
      </c>
      <c r="B1340" s="2" t="s">
        <v>98</v>
      </c>
      <c r="C1340" s="2">
        <v>0.01</v>
      </c>
      <c r="D1340" s="2"/>
      <c r="E1340" s="2" t="s">
        <v>83</v>
      </c>
      <c r="F1340" s="2" t="s">
        <v>84</v>
      </c>
      <c r="H1340" s="2">
        <v>0.4</v>
      </c>
      <c r="J1340" s="2">
        <v>0.4</v>
      </c>
      <c r="K1340" s="2">
        <v>32.625002750222201</v>
      </c>
      <c r="L1340" s="2"/>
      <c r="M1340" s="2">
        <v>2.1704347118280101</v>
      </c>
      <c r="N1340" s="2">
        <v>267.05555555555497</v>
      </c>
      <c r="O1340" s="2">
        <v>37.390333470524403</v>
      </c>
      <c r="P1340" s="2">
        <v>11.746831966849999</v>
      </c>
      <c r="Q1340" s="2">
        <v>1.12718336806758</v>
      </c>
      <c r="R1340" s="2">
        <v>1.4651342106805501</v>
      </c>
      <c r="S1340" s="2">
        <v>0.34552888847088897</v>
      </c>
      <c r="T1340" s="2">
        <v>4.0489386384238797</v>
      </c>
      <c r="U1340" s="2">
        <v>0.82153087498151101</v>
      </c>
      <c r="V1340" s="2">
        <v>0.44692292570333297</v>
      </c>
      <c r="W1340" s="2">
        <v>0.20158019996366899</v>
      </c>
      <c r="X1340" s="2">
        <v>3.56051287368222</v>
      </c>
      <c r="Y1340" s="2">
        <v>0.78520908754461505</v>
      </c>
      <c r="Z1340" s="7">
        <v>101.250437503052</v>
      </c>
      <c r="AA1340" s="2">
        <v>17.302403343935399</v>
      </c>
      <c r="AB1340" s="7">
        <v>96.418395272516094</v>
      </c>
      <c r="AC1340" s="2">
        <v>4.3394706797060003</v>
      </c>
      <c r="AD1340" s="2">
        <v>69.423170545297907</v>
      </c>
      <c r="AE1340" s="2">
        <v>9.0008873673626706</v>
      </c>
      <c r="AF1340" s="2">
        <v>87.4310904573599</v>
      </c>
      <c r="AG1340" s="2">
        <v>16.615780834130799</v>
      </c>
      <c r="AH1340" s="2">
        <v>79.200759752532903</v>
      </c>
      <c r="AI1340" s="2">
        <v>19.618206665357601</v>
      </c>
      <c r="AJ1340" s="2">
        <v>84.619475331136101</v>
      </c>
      <c r="AK1340" s="2">
        <v>55.818027938365297</v>
      </c>
      <c r="AL1340" s="2">
        <v>99.129842634823405</v>
      </c>
      <c r="AM1340" s="2">
        <v>28.773058670027201</v>
      </c>
      <c r="AN1340"/>
      <c r="AO1340"/>
    </row>
    <row r="1341" spans="1:41" ht="15.75" hidden="1" customHeight="1" x14ac:dyDescent="0.45">
      <c r="A1341" s="2" t="s">
        <v>232</v>
      </c>
      <c r="B1341" s="2" t="s">
        <v>98</v>
      </c>
      <c r="C1341" s="2">
        <v>0.03</v>
      </c>
      <c r="D1341" s="2"/>
      <c r="E1341" s="2" t="s">
        <v>83</v>
      </c>
      <c r="F1341" s="2" t="s">
        <v>84</v>
      </c>
      <c r="H1341" s="2">
        <v>0.4</v>
      </c>
      <c r="J1341" s="2">
        <v>0.4</v>
      </c>
      <c r="K1341" s="2">
        <v>27.358639694388799</v>
      </c>
      <c r="L1341" s="2"/>
      <c r="M1341" s="2">
        <v>1.260964555168</v>
      </c>
      <c r="N1341" s="2">
        <v>229.333333333333</v>
      </c>
      <c r="O1341" s="2">
        <v>25.2504125378839</v>
      </c>
      <c r="P1341" s="2">
        <v>12.9012244631166</v>
      </c>
      <c r="Q1341" s="2">
        <v>2.52964118419992</v>
      </c>
      <c r="R1341" s="2">
        <v>1.50172257721111</v>
      </c>
      <c r="S1341" s="2">
        <v>0.42066424605583003</v>
      </c>
      <c r="T1341" s="2">
        <v>5.86956187665555</v>
      </c>
      <c r="U1341" s="2">
        <v>2.16715044382161</v>
      </c>
      <c r="V1341" s="2">
        <v>0.43049137859944397</v>
      </c>
      <c r="W1341" s="2">
        <v>0.15457584992033899</v>
      </c>
      <c r="X1341" s="2">
        <v>3.8140417120444399</v>
      </c>
      <c r="Y1341" s="2">
        <v>0.43694646522465302</v>
      </c>
      <c r="Z1341" s="7">
        <v>86.657414246118194</v>
      </c>
      <c r="AA1341" s="2">
        <v>9.0852238239254106</v>
      </c>
      <c r="AB1341" s="7">
        <v>80.929374081800404</v>
      </c>
      <c r="AC1341" s="2">
        <v>3.95229438979392</v>
      </c>
      <c r="AD1341" s="2">
        <v>100.25157103199101</v>
      </c>
      <c r="AE1341" s="2">
        <v>29.825180912721599</v>
      </c>
      <c r="AF1341" s="2">
        <v>94.127058557308303</v>
      </c>
      <c r="AG1341" s="2">
        <v>7.86260356270349</v>
      </c>
      <c r="AH1341" s="2">
        <v>81.190935183269801</v>
      </c>
      <c r="AI1341" s="2">
        <v>23.468183952464098</v>
      </c>
      <c r="AJ1341" s="2">
        <v>66.761467210189494</v>
      </c>
      <c r="AK1341" s="2">
        <v>18.0270664474711</v>
      </c>
      <c r="AL1341" s="2">
        <v>104.643616465511</v>
      </c>
      <c r="AM1341" s="2">
        <v>7.5107077361552399</v>
      </c>
      <c r="AN1341"/>
      <c r="AO1341"/>
    </row>
    <row r="1342" spans="1:41" ht="15.75" hidden="1" customHeight="1" x14ac:dyDescent="0.45">
      <c r="A1342" s="2" t="s">
        <v>232</v>
      </c>
      <c r="B1342" s="2" t="s">
        <v>98</v>
      </c>
      <c r="C1342" s="2">
        <v>0.1</v>
      </c>
      <c r="D1342" s="2"/>
      <c r="E1342" s="2" t="s">
        <v>83</v>
      </c>
      <c r="F1342" s="2" t="s">
        <v>84</v>
      </c>
      <c r="H1342" s="2">
        <v>0.4</v>
      </c>
      <c r="J1342" s="2">
        <v>0.4</v>
      </c>
      <c r="K1342" s="2">
        <v>31.826621508944399</v>
      </c>
      <c r="L1342" s="2"/>
      <c r="M1342" s="2">
        <v>2.3724673316134002</v>
      </c>
      <c r="N1342" s="2">
        <v>209.5</v>
      </c>
      <c r="O1342" s="2">
        <v>52.593567414022402</v>
      </c>
      <c r="P1342" s="2">
        <v>11.4025195377722</v>
      </c>
      <c r="Q1342" s="2">
        <v>1.6724432241524001</v>
      </c>
      <c r="R1342" s="2">
        <v>1.48532621613333</v>
      </c>
      <c r="S1342" s="2">
        <v>0.23311070373735901</v>
      </c>
      <c r="T1342" s="2">
        <v>4.2121446663027697</v>
      </c>
      <c r="U1342" s="2">
        <v>0.71821461944918896</v>
      </c>
      <c r="V1342" s="2">
        <v>0.48158323334388797</v>
      </c>
      <c r="W1342" s="2">
        <v>2.9652269144408099E-2</v>
      </c>
      <c r="X1342" s="2">
        <v>3.4801396763833301</v>
      </c>
      <c r="Y1342" s="2">
        <v>0.208937107155968</v>
      </c>
      <c r="Z1342" s="7">
        <v>79.724056169930293</v>
      </c>
      <c r="AA1342" s="2">
        <v>22.2712902648835</v>
      </c>
      <c r="AB1342" s="7">
        <v>94.550055925645907</v>
      </c>
      <c r="AC1342" s="2">
        <v>12.789208186242501</v>
      </c>
      <c r="AD1342" s="2">
        <v>73.8887645539034</v>
      </c>
      <c r="AE1342" s="2">
        <v>19.32830447237</v>
      </c>
      <c r="AF1342" s="2">
        <v>84.449348445833394</v>
      </c>
      <c r="AG1342" s="2">
        <v>16.786970857225501</v>
      </c>
      <c r="AH1342" s="2">
        <v>80.9504802371072</v>
      </c>
      <c r="AI1342" s="2">
        <v>18.025211372052599</v>
      </c>
      <c r="AJ1342" s="2">
        <v>81.2431355229524</v>
      </c>
      <c r="AK1342" s="2">
        <v>30.888666505902901</v>
      </c>
      <c r="AL1342" s="2">
        <v>96.183011949360804</v>
      </c>
      <c r="AM1342" s="2">
        <v>12.6456135531283</v>
      </c>
      <c r="AN1342"/>
      <c r="AO1342"/>
    </row>
    <row r="1343" spans="1:41" ht="15.75" hidden="1" customHeight="1" x14ac:dyDescent="0.45">
      <c r="A1343" s="2" t="s">
        <v>232</v>
      </c>
      <c r="B1343" s="2" t="s">
        <v>98</v>
      </c>
      <c r="C1343" s="2">
        <v>0.3</v>
      </c>
      <c r="D1343" s="2"/>
      <c r="E1343" s="2" t="s">
        <v>83</v>
      </c>
      <c r="F1343" s="2" t="s">
        <v>84</v>
      </c>
      <c r="H1343" s="2">
        <v>0.4</v>
      </c>
      <c r="J1343" s="2">
        <v>0.4</v>
      </c>
      <c r="K1343" s="2">
        <v>22.8370849829444</v>
      </c>
      <c r="L1343" s="2"/>
      <c r="M1343" s="2">
        <v>3.47186088656259</v>
      </c>
      <c r="N1343" s="2">
        <v>136.277777777777</v>
      </c>
      <c r="O1343" s="2">
        <v>17.6983468573053</v>
      </c>
      <c r="P1343" s="2">
        <v>13.3116898534388</v>
      </c>
      <c r="Q1343" s="2">
        <v>2.29362117867392</v>
      </c>
      <c r="R1343" s="2">
        <v>1.47286531054166</v>
      </c>
      <c r="S1343" s="2">
        <v>0.62107872439762202</v>
      </c>
      <c r="T1343" s="2">
        <v>3.6888698647799898</v>
      </c>
      <c r="U1343" s="2">
        <v>0.31027169406465099</v>
      </c>
      <c r="V1343" s="2">
        <v>0.21250184026611099</v>
      </c>
      <c r="W1343" s="2">
        <v>0.157492774099491</v>
      </c>
      <c r="X1343" s="2">
        <v>4.0637415009888898</v>
      </c>
      <c r="Y1343" s="2">
        <v>0.207995823735664</v>
      </c>
      <c r="Z1343" s="7">
        <v>51.763749393897598</v>
      </c>
      <c r="AA1343" s="2">
        <v>9.0156227952385706</v>
      </c>
      <c r="AB1343" s="7">
        <v>68.070561697509106</v>
      </c>
      <c r="AC1343" s="2">
        <v>14.3191757096318</v>
      </c>
      <c r="AD1343" s="2">
        <v>64.208466403421696</v>
      </c>
      <c r="AE1343" s="2">
        <v>10.380886059548599</v>
      </c>
      <c r="AF1343" s="2">
        <v>97.359653680224</v>
      </c>
      <c r="AG1343" s="2">
        <v>7.2617015674626701</v>
      </c>
      <c r="AH1343" s="2">
        <v>76.214103891393606</v>
      </c>
      <c r="AI1343" s="2">
        <v>24.375311069887999</v>
      </c>
      <c r="AJ1343" s="2">
        <v>29.180966795283599</v>
      </c>
      <c r="AK1343" s="2">
        <v>7.1163302162710398</v>
      </c>
      <c r="AL1343" s="2">
        <v>111.899278865779</v>
      </c>
      <c r="AM1343" s="2">
        <v>8.44661454808654</v>
      </c>
      <c r="AN1343"/>
      <c r="AO1343"/>
    </row>
    <row r="1344" spans="1:41" ht="15.75" hidden="1" customHeight="1" x14ac:dyDescent="0.45">
      <c r="A1344" s="2" t="s">
        <v>232</v>
      </c>
      <c r="B1344" s="2" t="s">
        <v>98</v>
      </c>
      <c r="C1344" s="2">
        <v>1</v>
      </c>
      <c r="D1344" s="2"/>
      <c r="E1344" s="2" t="s">
        <v>83</v>
      </c>
      <c r="F1344" s="2" t="s">
        <v>84</v>
      </c>
      <c r="H1344" s="2">
        <v>0.4</v>
      </c>
      <c r="J1344" s="2">
        <v>0.4</v>
      </c>
      <c r="K1344" s="2">
        <v>0.92094344829999997</v>
      </c>
      <c r="L1344" s="2"/>
      <c r="M1344" s="2">
        <v>1.2811573346901399</v>
      </c>
      <c r="N1344" s="2">
        <v>61.3333333333333</v>
      </c>
      <c r="O1344" s="2">
        <v>1.8782379449308999</v>
      </c>
      <c r="P1344" s="2">
        <v>9.6186808550111103</v>
      </c>
      <c r="Q1344" s="2">
        <v>0.37205566147020902</v>
      </c>
      <c r="R1344" s="2">
        <v>7.6103500761111095E-2</v>
      </c>
      <c r="S1344" s="2">
        <v>0.13181512995210101</v>
      </c>
      <c r="T1344" s="2">
        <v>7.4612366116555497</v>
      </c>
      <c r="U1344" s="2">
        <v>0.51567912764712798</v>
      </c>
      <c r="V1344" s="2">
        <v>0.98400143293888798</v>
      </c>
      <c r="W1344" s="2">
        <v>0.42315969453027302</v>
      </c>
      <c r="X1344" s="2">
        <v>7.8244073554777698</v>
      </c>
      <c r="Y1344" s="2">
        <v>1.6695237301258301</v>
      </c>
      <c r="Z1344" s="7">
        <v>23.225299019247998</v>
      </c>
      <c r="AA1344" s="2">
        <v>1.74361355274904</v>
      </c>
      <c r="AB1344" s="7">
        <v>2.5852097065685902</v>
      </c>
      <c r="AC1344" s="2">
        <v>3.5040375185747998</v>
      </c>
      <c r="AD1344" s="2">
        <v>129.709941748159</v>
      </c>
      <c r="AE1344" s="2">
        <v>17.265909581354499</v>
      </c>
      <c r="AF1344" s="2">
        <v>71.052277630554599</v>
      </c>
      <c r="AG1344" s="2">
        <v>6.661158891306</v>
      </c>
      <c r="AH1344" s="2">
        <v>3.1726695106185399</v>
      </c>
      <c r="AI1344" s="2">
        <v>5.4952247880160003</v>
      </c>
      <c r="AJ1344" s="2">
        <v>170.568703364725</v>
      </c>
      <c r="AK1344" s="2">
        <v>106.45820534285799</v>
      </c>
      <c r="AL1344" s="2">
        <v>215.007998022972</v>
      </c>
      <c r="AM1344" s="2">
        <v>41.600129859977798</v>
      </c>
      <c r="AN1344"/>
      <c r="AO1344"/>
    </row>
    <row r="1345" spans="1:41" ht="15.75" hidden="1" customHeight="1" x14ac:dyDescent="0.45">
      <c r="A1345" s="2" t="s">
        <v>232</v>
      </c>
      <c r="B1345" s="2" t="s">
        <v>98</v>
      </c>
      <c r="C1345" s="2">
        <v>3</v>
      </c>
      <c r="D1345" s="2"/>
      <c r="E1345" s="2" t="s">
        <v>83</v>
      </c>
      <c r="F1345" s="2" t="s">
        <v>84</v>
      </c>
      <c r="H1345" s="2">
        <v>0.4</v>
      </c>
      <c r="J1345" s="2">
        <v>0.4</v>
      </c>
      <c r="K1345" s="2">
        <v>0</v>
      </c>
      <c r="L1345" s="2"/>
      <c r="M1345" s="2">
        <v>0</v>
      </c>
      <c r="N1345" s="2">
        <v>56.566666666666599</v>
      </c>
      <c r="O1345" s="2">
        <v>3.2036437588054798</v>
      </c>
      <c r="P1345" s="2">
        <v>10.387067168546601</v>
      </c>
      <c r="Q1345" s="2">
        <v>2.06513219753757</v>
      </c>
      <c r="R1345" s="2">
        <v>0</v>
      </c>
      <c r="S1345" s="2">
        <v>0</v>
      </c>
      <c r="T1345" s="2">
        <v>6.9174989540211103</v>
      </c>
      <c r="U1345" s="2">
        <v>2.3434471113622299</v>
      </c>
      <c r="V1345" s="2">
        <v>1.37382471409444</v>
      </c>
      <c r="W1345" s="2">
        <v>1.0818802224066599</v>
      </c>
      <c r="X1345" s="2">
        <v>4.7014131855422203</v>
      </c>
      <c r="Y1345" s="2">
        <v>1.4544345560309699</v>
      </c>
      <c r="Z1345" s="7">
        <v>21.431138120997701</v>
      </c>
      <c r="AA1345" s="2">
        <v>2.05761683090831</v>
      </c>
      <c r="AB1345" s="7">
        <v>0</v>
      </c>
      <c r="AC1345" s="2">
        <v>0</v>
      </c>
      <c r="AD1345" s="2">
        <v>121.545358271491</v>
      </c>
      <c r="AE1345" s="2">
        <v>50.340424199085199</v>
      </c>
      <c r="AF1345" s="2">
        <v>76.158475507075195</v>
      </c>
      <c r="AG1345" s="2">
        <v>11.971951248816699</v>
      </c>
      <c r="AH1345" s="2">
        <v>0</v>
      </c>
      <c r="AI1345" s="2">
        <v>0</v>
      </c>
      <c r="AJ1345" s="2">
        <v>277.55649367184702</v>
      </c>
      <c r="AK1345" s="2">
        <v>271.56355224891098</v>
      </c>
      <c r="AL1345" s="2">
        <v>129.742452506772</v>
      </c>
      <c r="AM1345" s="2">
        <v>39.947388718814601</v>
      </c>
      <c r="AN1345"/>
      <c r="AO1345"/>
    </row>
    <row r="1346" spans="1:41" ht="15.75" hidden="1" customHeight="1" x14ac:dyDescent="0.45">
      <c r="A1346" s="2" t="s">
        <v>232</v>
      </c>
      <c r="B1346" s="2" t="s">
        <v>98</v>
      </c>
      <c r="C1346" s="2">
        <v>10</v>
      </c>
      <c r="D1346" s="2"/>
      <c r="E1346" s="2" t="s">
        <v>83</v>
      </c>
      <c r="F1346" s="2" t="s">
        <v>84</v>
      </c>
      <c r="H1346" s="2">
        <v>0.4</v>
      </c>
      <c r="J1346" s="2">
        <v>0.4</v>
      </c>
      <c r="K1346" s="2">
        <v>0</v>
      </c>
      <c r="L1346" s="2"/>
      <c r="M1346" s="2">
        <v>0</v>
      </c>
      <c r="N1346" s="2">
        <v>48.5555555555555</v>
      </c>
      <c r="O1346" s="2">
        <v>7.3434273963814496</v>
      </c>
      <c r="P1346" s="2">
        <v>8.9725462405944398</v>
      </c>
      <c r="Q1346" s="2">
        <v>2.6666054268380499</v>
      </c>
      <c r="R1346" s="2">
        <v>0.33803644914999997</v>
      </c>
      <c r="S1346" s="2">
        <v>0.31281300196685402</v>
      </c>
      <c r="T1346" s="2">
        <v>8.5299926823055507</v>
      </c>
      <c r="U1346" s="2">
        <v>5.5880872347391897</v>
      </c>
      <c r="V1346" s="2">
        <v>0.56775544065555505</v>
      </c>
      <c r="W1346" s="2">
        <v>0.29226735415247401</v>
      </c>
      <c r="X1346" s="2">
        <v>5.4563512500777698</v>
      </c>
      <c r="Y1346" s="2">
        <v>0.93098033949649805</v>
      </c>
      <c r="Z1346" s="7">
        <v>18.427311665997099</v>
      </c>
      <c r="AA1346" s="2">
        <v>3.3343875396077598</v>
      </c>
      <c r="AB1346" s="7">
        <v>0</v>
      </c>
      <c r="AC1346" s="2">
        <v>0</v>
      </c>
      <c r="AD1346" s="2">
        <v>152.25929312725401</v>
      </c>
      <c r="AE1346" s="2">
        <v>112.441339472751</v>
      </c>
      <c r="AF1346" s="2">
        <v>65.471366753734301</v>
      </c>
      <c r="AG1346" s="2">
        <v>15.804976317753001</v>
      </c>
      <c r="AH1346" s="2">
        <v>21.6715220516035</v>
      </c>
      <c r="AI1346" s="2">
        <v>22.066268386334698</v>
      </c>
      <c r="AJ1346" s="2">
        <v>104.41290028574799</v>
      </c>
      <c r="AK1346" s="2">
        <v>86.139827031622204</v>
      </c>
      <c r="AL1346" s="2">
        <v>151.05642997591801</v>
      </c>
      <c r="AM1346" s="2">
        <v>32.603006729364999</v>
      </c>
      <c r="AN1346"/>
      <c r="AO1346"/>
    </row>
    <row r="1347" spans="1:41" ht="15.75" hidden="1" customHeight="1" x14ac:dyDescent="0.45">
      <c r="A1347" s="2" t="s">
        <v>232</v>
      </c>
      <c r="B1347" s="2" t="s">
        <v>98</v>
      </c>
      <c r="C1347" s="2">
        <v>3.0000000000000001E-3</v>
      </c>
      <c r="D1347" s="2"/>
      <c r="E1347" s="2" t="s">
        <v>83</v>
      </c>
      <c r="F1347" s="2" t="s">
        <v>84</v>
      </c>
      <c r="H1347" s="2">
        <v>2.2000000000000002</v>
      </c>
      <c r="J1347" s="2">
        <v>2.1568947519999999</v>
      </c>
      <c r="K1347" s="2">
        <v>40.760302387777699</v>
      </c>
      <c r="L1347" s="2"/>
      <c r="M1347" s="2">
        <v>2.1472448437280498</v>
      </c>
      <c r="N1347" s="2">
        <v>286.55555555555497</v>
      </c>
      <c r="O1347" s="2">
        <v>19.979387526296001</v>
      </c>
      <c r="P1347" s="2">
        <v>34.469378300555498</v>
      </c>
      <c r="Q1347" s="2">
        <v>1.84989960341438</v>
      </c>
      <c r="R1347" s="2">
        <v>5.6891932754444401</v>
      </c>
      <c r="S1347" s="2">
        <v>2.9759566206200998</v>
      </c>
      <c r="T1347" s="2">
        <v>4.4773413430555502</v>
      </c>
      <c r="U1347" s="2">
        <v>1.6656498749808</v>
      </c>
      <c r="V1347" s="2">
        <v>0.39220015861111102</v>
      </c>
      <c r="W1347" s="2">
        <v>0.131101676286418</v>
      </c>
      <c r="X1347" s="2">
        <v>3.5334234549444399</v>
      </c>
      <c r="Y1347" s="2">
        <v>0.444286290278879</v>
      </c>
      <c r="Z1347" s="7">
        <v>102.74900398406299</v>
      </c>
      <c r="AA1347" s="2">
        <v>7.1639238142097197</v>
      </c>
      <c r="AB1347" s="7">
        <v>102.104409673794</v>
      </c>
      <c r="AC1347" s="2">
        <v>5.3788405470636196</v>
      </c>
      <c r="AD1347" s="2">
        <v>101.127752239456</v>
      </c>
      <c r="AE1347" s="2">
        <v>37.621305808189</v>
      </c>
      <c r="AF1347" s="2">
        <v>101.93235121481899</v>
      </c>
      <c r="AG1347" s="2">
        <v>5.4704965794045401</v>
      </c>
      <c r="AH1347" s="2">
        <v>152.30863119009001</v>
      </c>
      <c r="AI1347" s="2">
        <v>79.671028460942196</v>
      </c>
      <c r="AJ1347" s="2">
        <v>83.393839619141403</v>
      </c>
      <c r="AK1347" s="2">
        <v>27.876256360393</v>
      </c>
      <c r="AL1347" s="2">
        <v>104.944186056486</v>
      </c>
      <c r="AM1347" s="2">
        <v>13.1954926161279</v>
      </c>
      <c r="AN1347"/>
      <c r="AO1347"/>
    </row>
    <row r="1348" spans="1:41" ht="15.75" hidden="1" customHeight="1" x14ac:dyDescent="0.45">
      <c r="A1348" s="2" t="s">
        <v>232</v>
      </c>
      <c r="B1348" s="2" t="s">
        <v>98</v>
      </c>
      <c r="C1348" s="2">
        <v>0.01</v>
      </c>
      <c r="D1348" s="2"/>
      <c r="E1348" s="2" t="s">
        <v>83</v>
      </c>
      <c r="F1348" s="2" t="s">
        <v>84</v>
      </c>
      <c r="H1348" s="2">
        <v>2.2000000000000002</v>
      </c>
      <c r="J1348" s="2">
        <v>2.1568947519999999</v>
      </c>
      <c r="K1348" s="2">
        <v>40.317901063333302</v>
      </c>
      <c r="L1348" s="2"/>
      <c r="M1348" s="2">
        <v>1.0654099406206099</v>
      </c>
      <c r="N1348" s="2">
        <v>287.77777777777698</v>
      </c>
      <c r="O1348" s="2">
        <v>17.839822287771099</v>
      </c>
      <c r="P1348" s="2">
        <v>32.784978855555501</v>
      </c>
      <c r="Q1348" s="2">
        <v>0.88635645063151303</v>
      </c>
      <c r="R1348" s="2">
        <v>3.7110518541666599</v>
      </c>
      <c r="S1348" s="2">
        <v>1.3011656707324599</v>
      </c>
      <c r="T1348" s="2">
        <v>3.52356462027777</v>
      </c>
      <c r="U1348" s="2">
        <v>1.05786956028149</v>
      </c>
      <c r="V1348" s="2">
        <v>0.34004708811111101</v>
      </c>
      <c r="W1348" s="2">
        <v>0.172874905997531</v>
      </c>
      <c r="X1348" s="2">
        <v>3.2040837811111098</v>
      </c>
      <c r="Y1348" s="2">
        <v>0.65480575418253095</v>
      </c>
      <c r="Z1348" s="7">
        <v>103.187250996015</v>
      </c>
      <c r="AA1348" s="2">
        <v>6.3967490274876502</v>
      </c>
      <c r="AB1348" s="7">
        <v>100.996195960325</v>
      </c>
      <c r="AC1348" s="2">
        <v>2.6688480377976598</v>
      </c>
      <c r="AD1348" s="2">
        <v>79.5852142191128</v>
      </c>
      <c r="AE1348" s="2">
        <v>23.8936374506576</v>
      </c>
      <c r="AF1348" s="2">
        <v>96.951269330583102</v>
      </c>
      <c r="AG1348" s="2">
        <v>2.62112058533519</v>
      </c>
      <c r="AH1348" s="2">
        <v>99.3506813388083</v>
      </c>
      <c r="AI1348" s="2">
        <v>34.834246731636199</v>
      </c>
      <c r="AJ1348" s="2">
        <v>72.304489700659303</v>
      </c>
      <c r="AK1348" s="2">
        <v>36.758532265733301</v>
      </c>
      <c r="AL1348" s="2">
        <v>95.162657052883802</v>
      </c>
      <c r="AM1348" s="2">
        <v>19.4480106259637</v>
      </c>
      <c r="AN1348"/>
      <c r="AO1348"/>
    </row>
    <row r="1349" spans="1:41" ht="15.75" hidden="1" customHeight="1" x14ac:dyDescent="0.45">
      <c r="A1349" s="2" t="s">
        <v>232</v>
      </c>
      <c r="B1349" s="2" t="s">
        <v>98</v>
      </c>
      <c r="C1349" s="2">
        <v>0.03</v>
      </c>
      <c r="D1349" s="2"/>
      <c r="E1349" s="2" t="s">
        <v>83</v>
      </c>
      <c r="F1349" s="2" t="s">
        <v>84</v>
      </c>
      <c r="H1349" s="2">
        <v>2.2000000000000002</v>
      </c>
      <c r="J1349" s="2">
        <v>2.1568947519999999</v>
      </c>
      <c r="K1349" s="2">
        <v>40.001482541111102</v>
      </c>
      <c r="L1349" s="2"/>
      <c r="M1349" s="2">
        <v>2.9959288658405399</v>
      </c>
      <c r="N1349" s="2">
        <v>271.33333333333297</v>
      </c>
      <c r="O1349" s="2">
        <v>32.729106991246297</v>
      </c>
      <c r="P1349" s="2">
        <v>32.737838005</v>
      </c>
      <c r="Q1349" s="2">
        <v>1.77906709989416</v>
      </c>
      <c r="R1349" s="2">
        <v>3.8208579334444401</v>
      </c>
      <c r="S1349" s="2">
        <v>0.85982753154573399</v>
      </c>
      <c r="T1349" s="2">
        <v>4.1446977949999999</v>
      </c>
      <c r="U1349" s="2">
        <v>0.75869691396293204</v>
      </c>
      <c r="V1349" s="2">
        <v>0.53383273583333302</v>
      </c>
      <c r="W1349" s="2">
        <v>0.12005049257728199</v>
      </c>
      <c r="X1349" s="2">
        <v>2.8942439266666602</v>
      </c>
      <c r="Y1349" s="2">
        <v>0.55392504014777699</v>
      </c>
      <c r="Z1349" s="7">
        <v>97.290836653386407</v>
      </c>
      <c r="AA1349" s="2">
        <v>11.735536371363199</v>
      </c>
      <c r="AB1349" s="7">
        <v>100.20356870957499</v>
      </c>
      <c r="AC1349" s="2">
        <v>7.5047909449036903</v>
      </c>
      <c r="AD1349" s="2">
        <v>93.614477790549401</v>
      </c>
      <c r="AE1349" s="2">
        <v>17.1363556319167</v>
      </c>
      <c r="AF1349" s="2">
        <v>96.811865083326495</v>
      </c>
      <c r="AG1349" s="2">
        <v>5.2610317157422903</v>
      </c>
      <c r="AH1349" s="2">
        <v>102.290362383453</v>
      </c>
      <c r="AI1349" s="2">
        <v>23.018932219182599</v>
      </c>
      <c r="AJ1349" s="2">
        <v>113.509290034925</v>
      </c>
      <c r="AK1349" s="2">
        <v>25.526434154545498</v>
      </c>
      <c r="AL1349" s="2">
        <v>85.960281015267398</v>
      </c>
      <c r="AM1349" s="2">
        <v>16.451810323857298</v>
      </c>
      <c r="AN1349"/>
      <c r="AO1349"/>
    </row>
    <row r="1350" spans="1:41" ht="15.75" hidden="1" customHeight="1" x14ac:dyDescent="0.45">
      <c r="A1350" s="2" t="s">
        <v>232</v>
      </c>
      <c r="B1350" s="2" t="s">
        <v>98</v>
      </c>
      <c r="C1350" s="2">
        <v>0.1</v>
      </c>
      <c r="D1350" s="2"/>
      <c r="E1350" s="2" t="s">
        <v>83</v>
      </c>
      <c r="F1350" s="2" t="s">
        <v>84</v>
      </c>
      <c r="H1350" s="2">
        <v>2.2000000000000002</v>
      </c>
      <c r="J1350" s="2">
        <v>2.1568947519999999</v>
      </c>
      <c r="K1350" s="2">
        <v>39.671874934444403</v>
      </c>
      <c r="L1350" s="2"/>
      <c r="M1350" s="2">
        <v>2.1872953469217999</v>
      </c>
      <c r="N1350" s="2">
        <v>266.388888888888</v>
      </c>
      <c r="O1350" s="2">
        <v>59.208748727919598</v>
      </c>
      <c r="P1350" s="2">
        <v>32.592535046111102</v>
      </c>
      <c r="Q1350" s="2">
        <v>1.1791696490500501</v>
      </c>
      <c r="R1350" s="2">
        <v>3.2071929605</v>
      </c>
      <c r="S1350" s="2">
        <v>0.89311044482498203</v>
      </c>
      <c r="T1350" s="2">
        <v>4.695419158</v>
      </c>
      <c r="U1350" s="2">
        <v>0.87903755018084795</v>
      </c>
      <c r="V1350" s="2">
        <v>0.40549478649999998</v>
      </c>
      <c r="W1350" s="2">
        <v>0.13753538454613301</v>
      </c>
      <c r="X1350" s="2">
        <v>3.3234456701666599</v>
      </c>
      <c r="Y1350" s="2">
        <v>0.675197086220652</v>
      </c>
      <c r="Z1350" s="7">
        <v>95.517928286852595</v>
      </c>
      <c r="AA1350" s="2">
        <v>21.2302286275409</v>
      </c>
      <c r="AB1350" s="7">
        <v>99.377902850119398</v>
      </c>
      <c r="AC1350" s="2">
        <v>5.4791669123302897</v>
      </c>
      <c r="AD1350" s="2">
        <v>106.053380541804</v>
      </c>
      <c r="AE1350" s="2">
        <v>19.854436991217099</v>
      </c>
      <c r="AF1350" s="2">
        <v>96.382177256964496</v>
      </c>
      <c r="AG1350" s="2">
        <v>3.4870235767173301</v>
      </c>
      <c r="AH1350" s="2">
        <v>85.861588124388007</v>
      </c>
      <c r="AI1350" s="2">
        <v>23.909968033603</v>
      </c>
      <c r="AJ1350" s="2">
        <v>86.220687190769993</v>
      </c>
      <c r="AK1350" s="2">
        <v>29.2442609952382</v>
      </c>
      <c r="AL1350" s="2">
        <v>98.707756148088805</v>
      </c>
      <c r="AM1350" s="2">
        <v>20.053641898477601</v>
      </c>
      <c r="AN1350"/>
      <c r="AO1350"/>
    </row>
    <row r="1351" spans="1:41" ht="15.75" hidden="1" customHeight="1" x14ac:dyDescent="0.45">
      <c r="A1351" s="2" t="s">
        <v>232</v>
      </c>
      <c r="B1351" s="2" t="s">
        <v>98</v>
      </c>
      <c r="C1351" s="2">
        <v>0.3</v>
      </c>
      <c r="D1351" s="2"/>
      <c r="E1351" s="2" t="s">
        <v>83</v>
      </c>
      <c r="F1351" s="2" t="s">
        <v>84</v>
      </c>
      <c r="H1351" s="2">
        <v>2.2000000000000002</v>
      </c>
      <c r="J1351" s="2">
        <v>2.1568947519999999</v>
      </c>
      <c r="K1351" s="2">
        <v>38.781771153888798</v>
      </c>
      <c r="L1351" s="2"/>
      <c r="M1351" s="2">
        <v>2.1467320499453901</v>
      </c>
      <c r="N1351" s="2">
        <v>254.888888888888</v>
      </c>
      <c r="O1351" s="2">
        <v>13.2458938431379</v>
      </c>
      <c r="P1351" s="2">
        <v>34.9726710238888</v>
      </c>
      <c r="Q1351" s="2">
        <v>1.9543991016953099</v>
      </c>
      <c r="R1351" s="2">
        <v>20.532693123722201</v>
      </c>
      <c r="S1351" s="2">
        <v>28.719993681016</v>
      </c>
      <c r="T1351" s="2">
        <v>3.9267343845555498</v>
      </c>
      <c r="U1351" s="2">
        <v>1.0167363235347999</v>
      </c>
      <c r="V1351" s="2">
        <v>0.47843374755555501</v>
      </c>
      <c r="W1351" s="2">
        <v>0.130734421575392</v>
      </c>
      <c r="X1351" s="2">
        <v>3.3861253844444401</v>
      </c>
      <c r="Y1351" s="2">
        <v>0.56539475597537603</v>
      </c>
      <c r="Z1351" s="7">
        <v>91.394422310756994</v>
      </c>
      <c r="AA1351" s="2">
        <v>4.7495236887745502</v>
      </c>
      <c r="AB1351" s="7">
        <v>97.1481961075784</v>
      </c>
      <c r="AC1351" s="2">
        <v>5.3775560004975897</v>
      </c>
      <c r="AD1351" s="2">
        <v>88.691433492646894</v>
      </c>
      <c r="AE1351" s="2">
        <v>22.964579008200801</v>
      </c>
      <c r="AF1351" s="2">
        <v>103.420681238974</v>
      </c>
      <c r="AG1351" s="2">
        <v>5.7795209971838499</v>
      </c>
      <c r="AH1351" s="2">
        <v>549.692413829271</v>
      </c>
      <c r="AI1351" s="2">
        <v>768.879296863381</v>
      </c>
      <c r="AJ1351" s="2">
        <v>101.72975797185801</v>
      </c>
      <c r="AK1351" s="2">
        <v>27.7981666916405</v>
      </c>
      <c r="AL1351" s="2">
        <v>100.56937043831201</v>
      </c>
      <c r="AM1351" s="2">
        <v>16.7924657836897</v>
      </c>
      <c r="AN1351"/>
      <c r="AO1351"/>
    </row>
    <row r="1352" spans="1:41" ht="15.75" hidden="1" customHeight="1" x14ac:dyDescent="0.45">
      <c r="A1352" s="2" t="s">
        <v>232</v>
      </c>
      <c r="B1352" s="2" t="s">
        <v>98</v>
      </c>
      <c r="C1352" s="2">
        <v>1</v>
      </c>
      <c r="D1352" s="2"/>
      <c r="E1352" s="2" t="s">
        <v>83</v>
      </c>
      <c r="F1352" s="2" t="s">
        <v>84</v>
      </c>
      <c r="H1352" s="2">
        <v>2.2000000000000002</v>
      </c>
      <c r="J1352" s="2">
        <v>2.1568947519999999</v>
      </c>
      <c r="K1352" s="2">
        <v>37.085807427777702</v>
      </c>
      <c r="L1352" s="2"/>
      <c r="M1352" s="2">
        <v>2.1831085521346001</v>
      </c>
      <c r="N1352" s="2">
        <v>232.444444444444</v>
      </c>
      <c r="O1352" s="2">
        <v>2.37073203259044</v>
      </c>
      <c r="P1352" s="2">
        <v>39.217045055</v>
      </c>
      <c r="Q1352" s="2">
        <v>2.0785848015977901</v>
      </c>
      <c r="R1352" s="2">
        <v>3.4853680446666599</v>
      </c>
      <c r="S1352" s="2">
        <v>0.84119924144574498</v>
      </c>
      <c r="T1352" s="2">
        <v>3.8529219579999898</v>
      </c>
      <c r="U1352" s="2">
        <v>0.49466104634626401</v>
      </c>
      <c r="V1352" s="2">
        <v>0.338129635888888</v>
      </c>
      <c r="W1352" s="2">
        <v>0.16613282403070001</v>
      </c>
      <c r="X1352" s="2">
        <v>3.3648663326666601</v>
      </c>
      <c r="Y1352" s="2">
        <v>0.37386441508083901</v>
      </c>
      <c r="Z1352" s="7">
        <v>83.346613545816695</v>
      </c>
      <c r="AA1352" s="2">
        <v>0.85006327861808795</v>
      </c>
      <c r="AB1352" s="7">
        <v>92.899813123681099</v>
      </c>
      <c r="AC1352" s="2">
        <v>5.4686790065707802</v>
      </c>
      <c r="AD1352" s="2">
        <v>87.024264471352396</v>
      </c>
      <c r="AE1352" s="2">
        <v>11.1726928783314</v>
      </c>
      <c r="AF1352" s="2">
        <v>115.97208325887399</v>
      </c>
      <c r="AG1352" s="2">
        <v>6.14676116809561</v>
      </c>
      <c r="AH1352" s="2">
        <v>93.308771626393906</v>
      </c>
      <c r="AI1352" s="2">
        <v>22.520223662595601</v>
      </c>
      <c r="AJ1352" s="2">
        <v>71.896780270699793</v>
      </c>
      <c r="AK1352" s="2">
        <v>35.324957878022602</v>
      </c>
      <c r="AL1352" s="2">
        <v>99.937967518848893</v>
      </c>
      <c r="AM1352" s="2">
        <v>11.103932839196</v>
      </c>
      <c r="AN1352"/>
      <c r="AO1352"/>
    </row>
    <row r="1353" spans="1:41" ht="15.75" hidden="1" customHeight="1" x14ac:dyDescent="0.45">
      <c r="A1353" s="2" t="s">
        <v>232</v>
      </c>
      <c r="B1353" s="2" t="s">
        <v>98</v>
      </c>
      <c r="C1353" s="2">
        <v>3</v>
      </c>
      <c r="D1353" s="2"/>
      <c r="E1353" s="2" t="s">
        <v>83</v>
      </c>
      <c r="F1353" s="2" t="s">
        <v>84</v>
      </c>
      <c r="H1353" s="2">
        <v>2.2000000000000002</v>
      </c>
      <c r="J1353" s="2">
        <v>2.1568947519999999</v>
      </c>
      <c r="K1353" s="2">
        <v>3.05645705894444</v>
      </c>
      <c r="L1353" s="2"/>
      <c r="M1353" s="2">
        <v>2.6981916943118001</v>
      </c>
      <c r="N1353" s="2">
        <v>74.6666666666666</v>
      </c>
      <c r="O1353" s="2">
        <v>5.9184269681880401</v>
      </c>
      <c r="P1353" s="2">
        <v>43.813997297222201</v>
      </c>
      <c r="Q1353" s="2">
        <v>4.0215243284017399</v>
      </c>
      <c r="R1353" s="2">
        <v>0.98020063388888901</v>
      </c>
      <c r="S1353" s="2">
        <v>0.98636958615296</v>
      </c>
      <c r="T1353" s="2">
        <v>3.6010392135555498</v>
      </c>
      <c r="U1353" s="2">
        <v>2.2207656066071699</v>
      </c>
      <c r="V1353" s="2">
        <v>0.20131086144444399</v>
      </c>
      <c r="W1353" s="2">
        <v>0.34868064013723599</v>
      </c>
      <c r="X1353" s="2">
        <v>4.05341811566666</v>
      </c>
      <c r="Y1353" s="2">
        <v>0.47354519892730801</v>
      </c>
      <c r="Z1353" s="7">
        <v>26.772908366533802</v>
      </c>
      <c r="AA1353" s="2">
        <v>2.1221451280355499</v>
      </c>
      <c r="AB1353" s="7">
        <v>7.65641384913779</v>
      </c>
      <c r="AC1353" s="2">
        <v>6.7589604098975702</v>
      </c>
      <c r="AD1353" s="2">
        <v>81.3350989997315</v>
      </c>
      <c r="AE1353" s="2">
        <v>50.159462243192003</v>
      </c>
      <c r="AF1353" s="2">
        <v>129.566124508652</v>
      </c>
      <c r="AG1353" s="2">
        <v>11.8923940747425</v>
      </c>
      <c r="AH1353" s="2">
        <v>26.2415090525488</v>
      </c>
      <c r="AI1353" s="2">
        <v>26.406661584679</v>
      </c>
      <c r="AJ1353" s="2">
        <v>42.804892665878597</v>
      </c>
      <c r="AK1353" s="2">
        <v>74.140248909834199</v>
      </c>
      <c r="AL1353" s="2">
        <v>120.388249616671</v>
      </c>
      <c r="AM1353" s="2">
        <v>14.064494702111601</v>
      </c>
      <c r="AN1353"/>
      <c r="AO1353"/>
    </row>
    <row r="1354" spans="1:41" ht="15.75" hidden="1" customHeight="1" x14ac:dyDescent="0.45">
      <c r="A1354" s="2" t="s">
        <v>232</v>
      </c>
      <c r="B1354" s="2" t="s">
        <v>98</v>
      </c>
      <c r="C1354" s="2">
        <v>10</v>
      </c>
      <c r="D1354" s="2"/>
      <c r="E1354" s="2" t="s">
        <v>83</v>
      </c>
      <c r="F1354" s="2" t="s">
        <v>84</v>
      </c>
      <c r="H1354" s="2">
        <v>2.2000000000000002</v>
      </c>
      <c r="J1354" s="2">
        <v>2.1568947519999999</v>
      </c>
      <c r="K1354" s="2">
        <v>8.9605734777777696E-2</v>
      </c>
      <c r="L1354" s="2"/>
      <c r="M1354" s="2">
        <v>0.155201685284652</v>
      </c>
      <c r="N1354" s="2">
        <v>67.4444444444444</v>
      </c>
      <c r="O1354" s="2">
        <v>4.4762749063298504</v>
      </c>
      <c r="P1354" s="2">
        <v>42.4986792572222</v>
      </c>
      <c r="Q1354" s="2">
        <v>3.30319039659366</v>
      </c>
      <c r="R1354" s="2">
        <v>0.33403915627777703</v>
      </c>
      <c r="S1354" s="2">
        <v>0.37366144407391</v>
      </c>
      <c r="T1354" s="2">
        <v>4.5590947231666599</v>
      </c>
      <c r="U1354" s="2">
        <v>1.95400011527357E-2</v>
      </c>
      <c r="V1354" s="2">
        <v>0.63725637755555498</v>
      </c>
      <c r="W1354" s="2">
        <v>0.237710821081284</v>
      </c>
      <c r="X1354" s="2">
        <v>3.66223276272222</v>
      </c>
      <c r="Y1354" s="2">
        <v>0.40382725496143301</v>
      </c>
      <c r="Z1354" s="7">
        <v>24.1832669322709</v>
      </c>
      <c r="AA1354" s="2">
        <v>1.6050388110346001</v>
      </c>
      <c r="AB1354" s="7">
        <v>0.224462040684346</v>
      </c>
      <c r="AC1354" s="2">
        <v>0.38877965883588</v>
      </c>
      <c r="AD1354" s="2">
        <v>102.974280108375</v>
      </c>
      <c r="AE1354" s="2">
        <v>0.44134146671605201</v>
      </c>
      <c r="AF1354" s="2">
        <v>125.676484862604</v>
      </c>
      <c r="AG1354" s="2">
        <v>9.7681472726062299</v>
      </c>
      <c r="AH1354" s="2">
        <v>8.94275237161572</v>
      </c>
      <c r="AI1354" s="2">
        <v>10.003503189292401</v>
      </c>
      <c r="AJ1354" s="2">
        <v>135.500343330655</v>
      </c>
      <c r="AK1354" s="2">
        <v>50.544645772678699</v>
      </c>
      <c r="AL1354" s="2">
        <v>108.769877523587</v>
      </c>
      <c r="AM1354" s="2">
        <v>11.9938419834876</v>
      </c>
      <c r="AN1354"/>
      <c r="AO1354"/>
    </row>
    <row r="1355" spans="1:41" ht="15.75" hidden="1" customHeight="1" x14ac:dyDescent="0.45">
      <c r="A1355" s="2" t="s">
        <v>232</v>
      </c>
      <c r="B1355" s="2" t="s">
        <v>98</v>
      </c>
      <c r="C1355" s="2">
        <v>3.0000000000000001E-3</v>
      </c>
      <c r="D1355" s="2"/>
      <c r="E1355" s="2" t="s">
        <v>85</v>
      </c>
      <c r="F1355" s="2" t="s">
        <v>84</v>
      </c>
      <c r="G1355" s="2" t="s">
        <v>86</v>
      </c>
      <c r="H1355" s="2">
        <v>18</v>
      </c>
      <c r="I1355" s="2">
        <v>3539</v>
      </c>
      <c r="J1355" s="2">
        <v>18</v>
      </c>
      <c r="K1355" s="2">
        <v>4.3508892241555497</v>
      </c>
      <c r="L1355" s="2"/>
      <c r="M1355" s="2">
        <v>0.38484802722456801</v>
      </c>
      <c r="N1355" s="2">
        <v>171.722222222222</v>
      </c>
      <c r="O1355" s="2">
        <v>8.7754919667933997</v>
      </c>
      <c r="P1355" s="2">
        <v>0.19645039239500001</v>
      </c>
      <c r="Q1355" s="2">
        <v>0.11141903034898</v>
      </c>
      <c r="R1355" s="2">
        <v>0.177631601605555</v>
      </c>
      <c r="S1355" s="2">
        <v>6.5556328994443303E-2</v>
      </c>
      <c r="T1355" s="2">
        <v>9.7044270220722204</v>
      </c>
      <c r="U1355" s="2">
        <v>7.8746618669113397</v>
      </c>
      <c r="V1355" s="2">
        <v>0</v>
      </c>
      <c r="W1355" s="2">
        <v>0</v>
      </c>
      <c r="X1355" s="2">
        <v>0.30303383414166601</v>
      </c>
      <c r="Y1355" s="2">
        <v>0.26845756781813002</v>
      </c>
      <c r="Z1355" s="7">
        <v>108.04039363376999</v>
      </c>
      <c r="AA1355" s="2">
        <v>4.9211291283515699</v>
      </c>
      <c r="AB1355" s="7">
        <v>97.688419548092597</v>
      </c>
      <c r="AC1355" s="2">
        <v>16.4806052241644</v>
      </c>
      <c r="AD1355" s="2">
        <v>73.691374604670997</v>
      </c>
      <c r="AE1355" s="2">
        <v>37.656170295877601</v>
      </c>
      <c r="AF1355" s="2">
        <v>90.938397074867893</v>
      </c>
      <c r="AG1355" s="2">
        <v>47.034864374873401</v>
      </c>
      <c r="AH1355" s="2">
        <v>66.731689454471507</v>
      </c>
      <c r="AI1355" s="2">
        <v>24.756592016734501</v>
      </c>
      <c r="AJ1355" s="2">
        <v>0</v>
      </c>
      <c r="AK1355" s="2">
        <v>0</v>
      </c>
      <c r="AL1355" s="2">
        <v>77.235086878794903</v>
      </c>
      <c r="AM1355" s="2">
        <v>67.609148844233303</v>
      </c>
      <c r="AN1355"/>
      <c r="AO1355"/>
    </row>
    <row r="1356" spans="1:41" ht="15.75" hidden="1" customHeight="1" x14ac:dyDescent="0.45">
      <c r="A1356" s="2" t="s">
        <v>232</v>
      </c>
      <c r="B1356" s="2" t="s">
        <v>98</v>
      </c>
      <c r="C1356" s="2">
        <v>0.01</v>
      </c>
      <c r="D1356" s="2"/>
      <c r="E1356" s="2" t="s">
        <v>85</v>
      </c>
      <c r="F1356" s="2" t="s">
        <v>84</v>
      </c>
      <c r="G1356" s="2" t="s">
        <v>86</v>
      </c>
      <c r="H1356" s="2">
        <v>18</v>
      </c>
      <c r="I1356" s="2">
        <v>3539</v>
      </c>
      <c r="J1356" s="2">
        <v>18</v>
      </c>
      <c r="K1356" s="2">
        <v>5.1526014744611102</v>
      </c>
      <c r="L1356" s="2"/>
      <c r="M1356" s="2">
        <v>9.3740820224991001E-2</v>
      </c>
      <c r="N1356" s="2">
        <v>145.333333333333</v>
      </c>
      <c r="O1356" s="2">
        <v>11.084273143111901</v>
      </c>
      <c r="P1356" s="2">
        <v>0.34631720966166601</v>
      </c>
      <c r="Q1356" s="2">
        <v>0.30311781215992301</v>
      </c>
      <c r="R1356" s="2">
        <v>0.212386152009444</v>
      </c>
      <c r="S1356" s="2">
        <v>8.5061671039893594E-2</v>
      </c>
      <c r="T1356" s="2">
        <v>10.291140357561099</v>
      </c>
      <c r="U1356" s="2">
        <v>8.8078522533394299</v>
      </c>
      <c r="V1356" s="2">
        <v>3.3467202141666597E-2</v>
      </c>
      <c r="W1356" s="2">
        <v>5.7966894496544602E-2</v>
      </c>
      <c r="X1356" s="2">
        <v>0.41596809136666602</v>
      </c>
      <c r="Y1356" s="2">
        <v>0.27822413407761698</v>
      </c>
      <c r="Z1356" s="7">
        <v>91.434598387498795</v>
      </c>
      <c r="AA1356" s="2">
        <v>6.58857077064535</v>
      </c>
      <c r="AB1356" s="7">
        <v>115.224024621371</v>
      </c>
      <c r="AC1356" s="2">
        <v>10.4487242921738</v>
      </c>
      <c r="AD1356" s="2">
        <v>76.981538676179596</v>
      </c>
      <c r="AE1356" s="2">
        <v>43.302732469321299</v>
      </c>
      <c r="AF1356" s="2">
        <v>141.49108014469101</v>
      </c>
      <c r="AG1356" s="2">
        <v>133.21171654064</v>
      </c>
      <c r="AH1356" s="2">
        <v>80.022176337227705</v>
      </c>
      <c r="AI1356" s="2">
        <v>33.304786414783401</v>
      </c>
      <c r="AJ1356" s="2">
        <v>0</v>
      </c>
      <c r="AK1356" s="2">
        <v>0</v>
      </c>
      <c r="AL1356" s="2">
        <v>98.943439922940996</v>
      </c>
      <c r="AM1356" s="2">
        <v>63.860739553294003</v>
      </c>
      <c r="AN1356"/>
      <c r="AO1356"/>
    </row>
    <row r="1357" spans="1:41" ht="15.75" hidden="1" customHeight="1" x14ac:dyDescent="0.45">
      <c r="A1357" s="2" t="s">
        <v>232</v>
      </c>
      <c r="B1357" s="2" t="s">
        <v>98</v>
      </c>
      <c r="C1357" s="2">
        <v>0.03</v>
      </c>
      <c r="D1357" s="2"/>
      <c r="E1357" s="2" t="s">
        <v>85</v>
      </c>
      <c r="F1357" s="2" t="s">
        <v>84</v>
      </c>
      <c r="G1357" s="2" t="s">
        <v>86</v>
      </c>
      <c r="H1357" s="2">
        <v>18</v>
      </c>
      <c r="I1357" s="2">
        <v>3539</v>
      </c>
      <c r="J1357" s="2">
        <v>18</v>
      </c>
      <c r="K1357" s="2">
        <v>3.97560974886111</v>
      </c>
      <c r="L1357" s="2"/>
      <c r="M1357" s="2">
        <v>0.92341157127412998</v>
      </c>
      <c r="N1357" s="2">
        <v>139.611111111111</v>
      </c>
      <c r="O1357" s="2">
        <v>18.786322842055199</v>
      </c>
      <c r="P1357" s="2">
        <v>0.10565633669777701</v>
      </c>
      <c r="Q1357" s="2">
        <v>0.106740710808391</v>
      </c>
      <c r="R1357" s="2">
        <v>0.26815928821777701</v>
      </c>
      <c r="S1357" s="2">
        <v>0.121300078899835</v>
      </c>
      <c r="T1357" s="2">
        <v>8.3914424494722208</v>
      </c>
      <c r="U1357" s="2">
        <v>2.9045560534860302</v>
      </c>
      <c r="V1357" s="2">
        <v>0</v>
      </c>
      <c r="W1357" s="2">
        <v>0</v>
      </c>
      <c r="X1357" s="2">
        <v>0.51586838703833304</v>
      </c>
      <c r="Y1357" s="2">
        <v>0.17233801221507</v>
      </c>
      <c r="Z1357" s="7">
        <v>87.806054704152302</v>
      </c>
      <c r="AA1357" s="2">
        <v>11.315068914722101</v>
      </c>
      <c r="AB1357" s="7">
        <v>88.594581988422206</v>
      </c>
      <c r="AC1357" s="2">
        <v>19.8243555485308</v>
      </c>
      <c r="AD1357" s="2">
        <v>72.571272606645394</v>
      </c>
      <c r="AE1357" s="2">
        <v>22.032259099930599</v>
      </c>
      <c r="AF1357" s="2">
        <v>49.369886029482402</v>
      </c>
      <c r="AG1357" s="2">
        <v>61.826265355389197</v>
      </c>
      <c r="AH1357" s="2">
        <v>100.927687453228</v>
      </c>
      <c r="AI1357" s="2">
        <v>46.400923189207901</v>
      </c>
      <c r="AJ1357" s="2">
        <v>0</v>
      </c>
      <c r="AK1357" s="2">
        <v>0</v>
      </c>
      <c r="AL1357" s="2">
        <v>127.735852498745</v>
      </c>
      <c r="AM1357" s="2">
        <v>40.569729639333097</v>
      </c>
      <c r="AN1357"/>
      <c r="AO1357"/>
    </row>
    <row r="1358" spans="1:41" ht="15.75" hidden="1" customHeight="1" x14ac:dyDescent="0.45">
      <c r="A1358" s="2" t="s">
        <v>232</v>
      </c>
      <c r="B1358" s="2" t="s">
        <v>98</v>
      </c>
      <c r="C1358" s="2">
        <v>0.1</v>
      </c>
      <c r="D1358" s="2"/>
      <c r="E1358" s="2" t="s">
        <v>85</v>
      </c>
      <c r="F1358" s="2" t="s">
        <v>84</v>
      </c>
      <c r="G1358" s="2" t="s">
        <v>86</v>
      </c>
      <c r="H1358" s="2">
        <v>18</v>
      </c>
      <c r="I1358" s="2">
        <v>3539</v>
      </c>
      <c r="J1358" s="2">
        <v>18</v>
      </c>
      <c r="K1358" s="2">
        <v>5.0017779819777699</v>
      </c>
      <c r="L1358" s="2"/>
      <c r="M1358" s="2">
        <v>1.31212606145899</v>
      </c>
      <c r="N1358" s="2">
        <v>141</v>
      </c>
      <c r="O1358" s="2">
        <v>6.6143782776614701</v>
      </c>
      <c r="P1358" s="2">
        <v>0.30752861388888802</v>
      </c>
      <c r="Q1358" s="2">
        <v>0.120533457593979</v>
      </c>
      <c r="R1358" s="2">
        <v>0.47296761196388798</v>
      </c>
      <c r="S1358" s="2">
        <v>4.2000825724230501E-2</v>
      </c>
      <c r="T1358" s="2">
        <v>9.4103544860388801</v>
      </c>
      <c r="U1358" s="2">
        <v>2.54526817300381</v>
      </c>
      <c r="V1358" s="2">
        <v>0</v>
      </c>
      <c r="W1358" s="2">
        <v>0</v>
      </c>
      <c r="X1358" s="2">
        <v>0.27812113367888802</v>
      </c>
      <c r="Y1358" s="2">
        <v>0.116431057614306</v>
      </c>
      <c r="Z1358" s="7">
        <v>88.730382190467495</v>
      </c>
      <c r="AA1358" s="2">
        <v>4.2409970360667097</v>
      </c>
      <c r="AB1358" s="7">
        <v>110.857012060759</v>
      </c>
      <c r="AC1358" s="2">
        <v>25.676868291439501</v>
      </c>
      <c r="AD1358" s="2">
        <v>81.1756932042736</v>
      </c>
      <c r="AE1358" s="2">
        <v>19.368661052073399</v>
      </c>
      <c r="AF1358" s="2">
        <v>141.665576675458</v>
      </c>
      <c r="AG1358" s="2">
        <v>21.182625190205801</v>
      </c>
      <c r="AH1358" s="2">
        <v>177.64295514224901</v>
      </c>
      <c r="AI1358" s="2">
        <v>19.257532341367298</v>
      </c>
      <c r="AJ1358" s="2">
        <v>0</v>
      </c>
      <c r="AK1358" s="2">
        <v>0</v>
      </c>
      <c r="AL1358" s="2">
        <v>71.743949633478493</v>
      </c>
      <c r="AM1358" s="2">
        <v>35.5899654289043</v>
      </c>
      <c r="AN1358"/>
      <c r="AO1358"/>
    </row>
    <row r="1359" spans="1:41" ht="15.75" hidden="1" customHeight="1" x14ac:dyDescent="0.45">
      <c r="A1359" s="2" t="s">
        <v>232</v>
      </c>
      <c r="B1359" s="2" t="s">
        <v>98</v>
      </c>
      <c r="C1359" s="2">
        <v>0.3</v>
      </c>
      <c r="D1359" s="2"/>
      <c r="E1359" s="2" t="s">
        <v>85</v>
      </c>
      <c r="F1359" s="2" t="s">
        <v>84</v>
      </c>
      <c r="G1359" s="2" t="s">
        <v>86</v>
      </c>
      <c r="H1359" s="2">
        <v>18</v>
      </c>
      <c r="I1359" s="2">
        <v>3539</v>
      </c>
      <c r="J1359" s="2">
        <v>18</v>
      </c>
      <c r="K1359" s="2">
        <v>4.0098878039444399</v>
      </c>
      <c r="L1359" s="2"/>
      <c r="M1359" s="2">
        <v>0.53398236742181004</v>
      </c>
      <c r="N1359" s="2">
        <v>135.444444444444</v>
      </c>
      <c r="O1359" s="2">
        <v>20.066786636776602</v>
      </c>
      <c r="P1359" s="2">
        <v>0.30513355624555499</v>
      </c>
      <c r="Q1359" s="2">
        <v>0.27492392901928697</v>
      </c>
      <c r="R1359" s="2">
        <v>0.31873715318000001</v>
      </c>
      <c r="S1359" s="2">
        <v>0.13683074095223499</v>
      </c>
      <c r="T1359" s="2">
        <v>10.548613497105499</v>
      </c>
      <c r="U1359" s="2">
        <v>7.8583669883526097</v>
      </c>
      <c r="V1359" s="2">
        <v>0</v>
      </c>
      <c r="W1359" s="2">
        <v>0</v>
      </c>
      <c r="X1359" s="2">
        <v>0.679949265375555</v>
      </c>
      <c r="Y1359" s="2">
        <v>0.42141402174059001</v>
      </c>
      <c r="Z1359" s="7">
        <v>85.181560456927201</v>
      </c>
      <c r="AA1359" s="2">
        <v>12.128728566558999</v>
      </c>
      <c r="AB1359" s="7">
        <v>90.205884997938199</v>
      </c>
      <c r="AC1359" s="2">
        <v>19.171149391736499</v>
      </c>
      <c r="AD1359" s="2">
        <v>124.55248803990899</v>
      </c>
      <c r="AE1359" s="2">
        <v>147.116765282697</v>
      </c>
      <c r="AF1359" s="2">
        <v>121.58826329937099</v>
      </c>
      <c r="AG1359" s="2">
        <v>55.055396700532903</v>
      </c>
      <c r="AH1359" s="2">
        <v>120.25239906069901</v>
      </c>
      <c r="AI1359" s="2">
        <v>54.225978758052698</v>
      </c>
      <c r="AJ1359" s="2">
        <v>0</v>
      </c>
      <c r="AK1359" s="2">
        <v>0</v>
      </c>
      <c r="AL1359" s="2">
        <v>175.28720857062601</v>
      </c>
      <c r="AM1359" s="2">
        <v>127.609320126998</v>
      </c>
      <c r="AN1359"/>
      <c r="AO1359"/>
    </row>
    <row r="1360" spans="1:41" ht="15.75" hidden="1" customHeight="1" x14ac:dyDescent="0.45">
      <c r="A1360" s="2" t="s">
        <v>232</v>
      </c>
      <c r="B1360" s="2" t="s">
        <v>98</v>
      </c>
      <c r="C1360" s="2">
        <v>1</v>
      </c>
      <c r="D1360" s="2"/>
      <c r="E1360" s="2" t="s">
        <v>85</v>
      </c>
      <c r="F1360" s="2" t="s">
        <v>84</v>
      </c>
      <c r="G1360" s="2" t="s">
        <v>86</v>
      </c>
      <c r="H1360" s="2">
        <v>18</v>
      </c>
      <c r="I1360" s="2">
        <v>3539</v>
      </c>
      <c r="J1360" s="2">
        <v>18</v>
      </c>
      <c r="K1360" s="2">
        <v>4.2141366567666596</v>
      </c>
      <c r="L1360" s="2"/>
      <c r="M1360" s="2">
        <v>1.3493154461254799</v>
      </c>
      <c r="N1360" s="2">
        <v>138.111111111111</v>
      </c>
      <c r="O1360" s="2">
        <v>14.804591379903799</v>
      </c>
      <c r="P1360" s="2">
        <v>0.183221777673333</v>
      </c>
      <c r="Q1360" s="2">
        <v>0.16286221412723101</v>
      </c>
      <c r="R1360" s="2">
        <v>0.20503703547444399</v>
      </c>
      <c r="S1360" s="2">
        <v>0.17534590072273301</v>
      </c>
      <c r="T1360" s="2">
        <v>7.0424171181861102</v>
      </c>
      <c r="U1360" s="2">
        <v>2.1325159398020501</v>
      </c>
      <c r="V1360" s="2">
        <v>3.75375375377777E-2</v>
      </c>
      <c r="W1360" s="2">
        <v>6.5016922206454997E-2</v>
      </c>
      <c r="X1360" s="2">
        <v>0.39042731849611101</v>
      </c>
      <c r="Y1360" s="2">
        <v>0.27837721190197601</v>
      </c>
      <c r="Z1360" s="7">
        <v>86.9135008793818</v>
      </c>
      <c r="AA1360" s="2">
        <v>9.3397543405632497</v>
      </c>
      <c r="AB1360" s="7">
        <v>93.439348174720706</v>
      </c>
      <c r="AC1360" s="2">
        <v>26.1413848532016</v>
      </c>
      <c r="AD1360" s="2">
        <v>60.6733458532699</v>
      </c>
      <c r="AE1360" s="2">
        <v>15.514671223552901</v>
      </c>
      <c r="AF1360" s="2">
        <v>73.635706120443203</v>
      </c>
      <c r="AG1360" s="2">
        <v>67.456016187959193</v>
      </c>
      <c r="AH1360" s="2">
        <v>76.454718128887805</v>
      </c>
      <c r="AI1360" s="2">
        <v>64.655470708328593</v>
      </c>
      <c r="AJ1360" s="2">
        <v>246.84684684817901</v>
      </c>
      <c r="AK1360" s="2">
        <v>349.09415864173002</v>
      </c>
      <c r="AL1360" s="2">
        <v>91.705603250437903</v>
      </c>
      <c r="AM1360" s="2">
        <v>60.205487599910597</v>
      </c>
      <c r="AN1360"/>
      <c r="AO1360"/>
    </row>
    <row r="1361" spans="1:41" ht="15.75" hidden="1" customHeight="1" x14ac:dyDescent="0.45">
      <c r="A1361" s="2" t="s">
        <v>232</v>
      </c>
      <c r="B1361" s="2" t="s">
        <v>98</v>
      </c>
      <c r="C1361" s="2">
        <v>3</v>
      </c>
      <c r="D1361" s="2"/>
      <c r="E1361" s="2" t="s">
        <v>85</v>
      </c>
      <c r="F1361" s="2" t="s">
        <v>84</v>
      </c>
      <c r="G1361" s="2" t="s">
        <v>86</v>
      </c>
      <c r="H1361" s="2">
        <v>18</v>
      </c>
      <c r="I1361" s="2">
        <v>3539</v>
      </c>
      <c r="J1361" s="2">
        <v>18</v>
      </c>
      <c r="K1361" s="2">
        <v>2.96987564094333</v>
      </c>
      <c r="L1361" s="2"/>
      <c r="M1361" s="2">
        <v>0.53857217241704303</v>
      </c>
      <c r="N1361" s="2">
        <v>110.111111111111</v>
      </c>
      <c r="O1361" s="2">
        <v>2.0367003088696198</v>
      </c>
      <c r="P1361" s="2">
        <v>0.16127982900111101</v>
      </c>
      <c r="Q1361" s="2">
        <v>4.9186911656989102E-2</v>
      </c>
      <c r="R1361" s="2">
        <v>0.151464367152777</v>
      </c>
      <c r="S1361" s="2">
        <v>0.15616672053918099</v>
      </c>
      <c r="T1361" s="2">
        <v>7.9505248092111103</v>
      </c>
      <c r="U1361" s="2">
        <v>3.9620646970936102</v>
      </c>
      <c r="V1361" s="2">
        <v>0</v>
      </c>
      <c r="W1361" s="2">
        <v>0</v>
      </c>
      <c r="X1361" s="2">
        <v>0.187256764054444</v>
      </c>
      <c r="Y1361" s="2">
        <v>0.16221881241963501</v>
      </c>
      <c r="Z1361" s="7">
        <v>69.287903614926805</v>
      </c>
      <c r="AA1361" s="2">
        <v>1.09151511836837</v>
      </c>
      <c r="AB1361" s="7">
        <v>65.776795432063395</v>
      </c>
      <c r="AC1361" s="2">
        <v>7.7709565088915999</v>
      </c>
      <c r="AD1361" s="2">
        <v>64.8933307704161</v>
      </c>
      <c r="AE1361" s="2">
        <v>14.890064385548801</v>
      </c>
      <c r="AF1361" s="2">
        <v>86.991028671456306</v>
      </c>
      <c r="AG1361" s="2">
        <v>47.727431146051401</v>
      </c>
      <c r="AH1361" s="2">
        <v>56.1663111759202</v>
      </c>
      <c r="AI1361" s="2">
        <v>57.904167934911101</v>
      </c>
      <c r="AJ1361" s="2">
        <v>0</v>
      </c>
      <c r="AK1361" s="2">
        <v>0</v>
      </c>
      <c r="AL1361" s="2">
        <v>46.633255141364899</v>
      </c>
      <c r="AM1361" s="2">
        <v>41.214188507667401</v>
      </c>
      <c r="AN1361"/>
      <c r="AO1361"/>
    </row>
    <row r="1362" spans="1:41" ht="15.75" hidden="1" customHeight="1" x14ac:dyDescent="0.45">
      <c r="A1362" s="2" t="s">
        <v>232</v>
      </c>
      <c r="B1362" s="2" t="s">
        <v>98</v>
      </c>
      <c r="C1362" s="2">
        <v>10</v>
      </c>
      <c r="D1362" s="2"/>
      <c r="E1362" s="2" t="s">
        <v>85</v>
      </c>
      <c r="F1362" s="2" t="s">
        <v>84</v>
      </c>
      <c r="G1362" s="2" t="s">
        <v>86</v>
      </c>
      <c r="H1362" s="2">
        <v>18</v>
      </c>
      <c r="I1362" s="2">
        <v>3539</v>
      </c>
      <c r="J1362" s="2">
        <v>18</v>
      </c>
      <c r="K1362" s="2">
        <v>0</v>
      </c>
      <c r="L1362" s="2"/>
      <c r="M1362" s="2">
        <v>0</v>
      </c>
      <c r="N1362" s="2">
        <v>85.9444444444444</v>
      </c>
      <c r="O1362" s="2">
        <v>9.6901056830225496</v>
      </c>
      <c r="P1362" s="2">
        <v>0.214016666039444</v>
      </c>
      <c r="Q1362" s="2">
        <v>0.19893498081703301</v>
      </c>
      <c r="R1362" s="2">
        <v>0.37837945290611102</v>
      </c>
      <c r="S1362" s="2">
        <v>0.462243918907839</v>
      </c>
      <c r="T1362" s="2">
        <v>7.8944994903055496</v>
      </c>
      <c r="U1362" s="2">
        <v>2.0147380709748601</v>
      </c>
      <c r="V1362" s="2">
        <v>0</v>
      </c>
      <c r="W1362" s="2">
        <v>0</v>
      </c>
      <c r="X1362" s="2">
        <v>1.35918357108388</v>
      </c>
      <c r="Y1362" s="2">
        <v>0.83121364902599904</v>
      </c>
      <c r="Z1362" s="7">
        <v>54.059617265884299</v>
      </c>
      <c r="AA1362" s="2">
        <v>5.7864422304689596</v>
      </c>
      <c r="AB1362" s="7">
        <v>0</v>
      </c>
      <c r="AC1362" s="2">
        <v>0</v>
      </c>
      <c r="AD1362" s="2">
        <v>73.823891220835193</v>
      </c>
      <c r="AE1362" s="2">
        <v>39.9540934380639</v>
      </c>
      <c r="AF1362" s="2">
        <v>95.001106726902805</v>
      </c>
      <c r="AG1362" s="2">
        <v>87.857085599585801</v>
      </c>
      <c r="AH1362" s="2">
        <v>141.38270141458801</v>
      </c>
      <c r="AI1362" s="2">
        <v>170.99134668109201</v>
      </c>
      <c r="AJ1362" s="2">
        <v>0</v>
      </c>
      <c r="AK1362" s="2">
        <v>0</v>
      </c>
      <c r="AL1362" s="2">
        <v>322.09427351610901</v>
      </c>
      <c r="AM1362" s="2">
        <v>155.89693409274199</v>
      </c>
      <c r="AN1362"/>
      <c r="AO1362"/>
    </row>
    <row r="1363" spans="1:41" ht="15.75" customHeight="1" x14ac:dyDescent="0.45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5"/>
      <c r="AA1363" s="14"/>
      <c r="AB1363" s="15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O1363"/>
    </row>
    <row r="1364" spans="1:41" ht="15.75" customHeight="1" x14ac:dyDescent="0.45">
      <c r="J1364" s="37" t="s">
        <v>258</v>
      </c>
      <c r="K1364" s="30" t="s">
        <v>252</v>
      </c>
      <c r="M1364" s="37" t="s">
        <v>259</v>
      </c>
      <c r="N1364" s="30" t="s">
        <v>252</v>
      </c>
      <c r="O1364" s="37" t="s">
        <v>264</v>
      </c>
      <c r="P1364" s="30" t="s">
        <v>252</v>
      </c>
      <c r="Q1364" s="37" t="s">
        <v>263</v>
      </c>
      <c r="R1364" s="30" t="s">
        <v>252</v>
      </c>
      <c r="S1364" s="37" t="s">
        <v>262</v>
      </c>
      <c r="T1364" s="30" t="s">
        <v>252</v>
      </c>
      <c r="U1364" s="37" t="s">
        <v>261</v>
      </c>
      <c r="V1364" s="30" t="s">
        <v>252</v>
      </c>
      <c r="W1364" s="37" t="s">
        <v>260</v>
      </c>
      <c r="X1364" s="30" t="s">
        <v>252</v>
      </c>
    </row>
    <row r="1365" spans="1:41" ht="15.75" customHeight="1" x14ac:dyDescent="0.45">
      <c r="J1365" s="31" t="s">
        <v>255</v>
      </c>
      <c r="K1365" s="32">
        <f>AVERAGE(K530:K531)</f>
        <v>35.2916666666666</v>
      </c>
      <c r="M1365" s="31" t="s">
        <v>255</v>
      </c>
      <c r="N1365" s="32">
        <f>AVERAGE(N530:N531)</f>
        <v>190.27777777777749</v>
      </c>
      <c r="O1365" s="31" t="s">
        <v>255</v>
      </c>
      <c r="P1365" s="32">
        <f>AVERAGE(P530:P531)</f>
        <v>15.33333333333325</v>
      </c>
      <c r="Q1365" s="31" t="s">
        <v>255</v>
      </c>
      <c r="R1365" s="32">
        <f>AVERAGE(R530:R531)</f>
        <v>2.0763888888888848</v>
      </c>
      <c r="S1365" s="31" t="s">
        <v>255</v>
      </c>
      <c r="T1365" s="32">
        <f>AVERAGE(T530:T531)</f>
        <v>6.43055555555555</v>
      </c>
      <c r="U1365" s="31" t="s">
        <v>255</v>
      </c>
      <c r="V1365" s="32">
        <f>AVERAGE(V530:V531)</f>
        <v>0.63194444444444398</v>
      </c>
      <c r="W1365" s="31" t="s">
        <v>255</v>
      </c>
      <c r="X1365" s="32">
        <f>AVERAGE(X530:X531)</f>
        <v>3.0347222222222201</v>
      </c>
    </row>
    <row r="1366" spans="1:41" ht="15.75" customHeight="1" x14ac:dyDescent="0.45">
      <c r="J1366" s="31" t="s">
        <v>257</v>
      </c>
      <c r="K1366" s="33">
        <f>AVERAGE(K538:K540)</f>
        <v>39.846062609436395</v>
      </c>
      <c r="M1366" s="31" t="s">
        <v>257</v>
      </c>
      <c r="N1366" s="33">
        <f>AVERAGE(N538:N540)</f>
        <v>295.10902777777733</v>
      </c>
      <c r="O1366" s="31" t="s">
        <v>257</v>
      </c>
      <c r="P1366" s="33">
        <f>AVERAGE(P538:P540)</f>
        <v>22.517842188178964</v>
      </c>
      <c r="Q1366" s="31" t="s">
        <v>257</v>
      </c>
      <c r="R1366" s="33">
        <f>AVERAGE(R538:R540)</f>
        <v>3.7350141023430798</v>
      </c>
      <c r="S1366" s="31" t="s">
        <v>257</v>
      </c>
      <c r="T1366" s="33">
        <f>AVERAGE(T538:T540)</f>
        <v>4.6856954452454502</v>
      </c>
      <c r="U1366" s="31" t="s">
        <v>257</v>
      </c>
      <c r="V1366" s="33">
        <f>AVERAGE(V538:V540)</f>
        <v>0.53605198306883073</v>
      </c>
      <c r="W1366" s="31" t="s">
        <v>257</v>
      </c>
      <c r="X1366" s="33">
        <f>AVERAGE(X538:X540)</f>
        <v>3.4084405124942632</v>
      </c>
    </row>
    <row r="1367" spans="1:41" ht="15.75" customHeight="1" x14ac:dyDescent="0.45">
      <c r="J1367" s="31" t="s">
        <v>256</v>
      </c>
      <c r="K1367" s="34">
        <f>AVERAGE(K542:K543)</f>
        <v>29.912061873654601</v>
      </c>
      <c r="M1367" s="31" t="s">
        <v>256</v>
      </c>
      <c r="N1367" s="34">
        <f>AVERAGE(N542:N543)</f>
        <v>254.42962962962901</v>
      </c>
      <c r="O1367" s="31" t="s">
        <v>256</v>
      </c>
      <c r="P1367" s="34">
        <f>AVERAGE(P542:P543)</f>
        <v>24.497074091683299</v>
      </c>
      <c r="Q1367" s="31" t="s">
        <v>256</v>
      </c>
      <c r="R1367" s="34">
        <f>AVERAGE(R542:R543)</f>
        <v>2.3747336509352048</v>
      </c>
      <c r="S1367" s="31" t="s">
        <v>256</v>
      </c>
      <c r="T1367" s="34">
        <f>AVERAGE(T542:T543)</f>
        <v>5.36583512383414</v>
      </c>
      <c r="U1367" s="31" t="s">
        <v>256</v>
      </c>
      <c r="V1367" s="34">
        <f>AVERAGE(V542:V543)</f>
        <v>0.55128426155488608</v>
      </c>
      <c r="W1367" s="31" t="s">
        <v>256</v>
      </c>
      <c r="X1367" s="34">
        <f>AVERAGE(X542:X543)</f>
        <v>3.6566311808240002</v>
      </c>
    </row>
    <row r="1368" spans="1:41" ht="15.75" customHeight="1" x14ac:dyDescent="0.45">
      <c r="J1368" s="31" t="s">
        <v>254</v>
      </c>
      <c r="K1368" s="35">
        <f>AVERAGE(K534:K537,K541)</f>
        <v>5.3666238400831405</v>
      </c>
      <c r="M1368" s="31" t="s">
        <v>254</v>
      </c>
      <c r="N1368" s="35">
        <f>AVERAGE(N534:N537,N541)</f>
        <v>290.75680555555539</v>
      </c>
      <c r="O1368" s="31" t="s">
        <v>254</v>
      </c>
      <c r="P1368" s="35">
        <f>AVERAGE(P534:P537,P541)</f>
        <v>0.63816759704346859</v>
      </c>
      <c r="Q1368" s="31" t="s">
        <v>254</v>
      </c>
      <c r="R1368" s="35">
        <f>AVERAGE(R534:R537,R541)</f>
        <v>0.85838959499116108</v>
      </c>
      <c r="S1368" s="31" t="s">
        <v>254</v>
      </c>
      <c r="T1368" s="35">
        <f>AVERAGE(T534:T537,T541)</f>
        <v>5.4748215136551446</v>
      </c>
      <c r="U1368" s="31" t="s">
        <v>254</v>
      </c>
      <c r="V1368" s="35">
        <f>AVERAGE(V534:V537,V541)</f>
        <v>2.6352441556583311E-2</v>
      </c>
      <c r="W1368" s="31" t="s">
        <v>254</v>
      </c>
      <c r="X1368" s="35">
        <f>AVERAGE(X534:X537,X541)</f>
        <v>0.49695095406016004</v>
      </c>
    </row>
    <row r="1369" spans="1:41" ht="15.75" customHeight="1" x14ac:dyDescent="0.45">
      <c r="J1369" s="30" t="s">
        <v>253</v>
      </c>
      <c r="K1369" s="36">
        <f>AVERAGE(K1327:K1330)</f>
        <v>5.2499999999999982</v>
      </c>
      <c r="M1369" s="30" t="s">
        <v>253</v>
      </c>
      <c r="N1369" s="36">
        <f>AVERAGE(N1327:N1330)</f>
        <v>318.30208333333303</v>
      </c>
      <c r="O1369" s="30" t="s">
        <v>253</v>
      </c>
      <c r="P1369" s="36">
        <f>AVERAGE(P1327:P1330)</f>
        <v>0.56249999999999956</v>
      </c>
      <c r="Q1369" s="30" t="s">
        <v>253</v>
      </c>
      <c r="R1369" s="36">
        <f>AVERAGE(R1327:R1330)</f>
        <v>0.28124999999999956</v>
      </c>
      <c r="S1369" s="30" t="s">
        <v>253</v>
      </c>
      <c r="T1369" s="36">
        <f>AVERAGE(T1327:T1330)</f>
        <v>3.5677083333333277</v>
      </c>
      <c r="U1369" s="30" t="s">
        <v>253</v>
      </c>
      <c r="V1369" s="36">
        <f>AVERAGE(V1327:V1330)</f>
        <v>0</v>
      </c>
      <c r="W1369" s="30" t="s">
        <v>253</v>
      </c>
      <c r="X1369" s="36">
        <f>AVERAGE(X1327:X1330)</f>
        <v>0.53124999999999956</v>
      </c>
    </row>
    <row r="1370" spans="1:41" ht="15.75" customHeight="1" x14ac:dyDescent="0.45"/>
    <row r="1371" spans="1:41" ht="15.75" customHeight="1" x14ac:dyDescent="0.45"/>
    <row r="1372" spans="1:41" ht="15.75" customHeight="1" x14ac:dyDescent="0.45"/>
    <row r="1373" spans="1:41" ht="15.75" customHeight="1" x14ac:dyDescent="0.45"/>
    <row r="1374" spans="1:41" ht="15.75" customHeight="1" x14ac:dyDescent="0.45"/>
    <row r="1375" spans="1:41" ht="15.75" customHeight="1" x14ac:dyDescent="0.45"/>
    <row r="1376" spans="1:41" ht="15.75" customHeight="1" x14ac:dyDescent="0.45"/>
    <row r="1377" ht="15.75" customHeight="1" x14ac:dyDescent="0.45"/>
    <row r="1378" ht="15.75" customHeight="1" x14ac:dyDescent="0.45"/>
    <row r="1379" ht="15.75" customHeight="1" x14ac:dyDescent="0.45"/>
    <row r="1380" ht="15.75" customHeight="1" x14ac:dyDescent="0.45"/>
    <row r="1381" ht="15.75" customHeight="1" x14ac:dyDescent="0.45"/>
    <row r="1382" ht="15.75" customHeight="1" x14ac:dyDescent="0.45"/>
    <row r="1383" ht="15.75" customHeight="1" x14ac:dyDescent="0.45"/>
    <row r="1384" ht="15.75" customHeight="1" x14ac:dyDescent="0.45"/>
    <row r="1385" ht="15.75" customHeight="1" x14ac:dyDescent="0.45"/>
    <row r="1386" ht="15.75" customHeight="1" x14ac:dyDescent="0.45"/>
    <row r="1387" ht="15.75" customHeight="1" x14ac:dyDescent="0.45"/>
    <row r="1388" ht="15.75" customHeight="1" x14ac:dyDescent="0.45"/>
    <row r="1389" ht="15.75" customHeight="1" x14ac:dyDescent="0.45"/>
    <row r="1390" ht="15.75" customHeight="1" x14ac:dyDescent="0.45"/>
    <row r="1391" ht="15.75" customHeight="1" x14ac:dyDescent="0.45"/>
    <row r="1392" ht="15.75" customHeight="1" x14ac:dyDescent="0.45"/>
    <row r="1393" ht="15.75" customHeight="1" x14ac:dyDescent="0.45"/>
    <row r="1394" ht="15.75" customHeight="1" x14ac:dyDescent="0.45"/>
    <row r="1395" ht="15.75" customHeight="1" x14ac:dyDescent="0.45"/>
    <row r="1396" ht="15.75" customHeight="1" x14ac:dyDescent="0.45"/>
    <row r="1397" ht="15.75" customHeight="1" x14ac:dyDescent="0.45"/>
    <row r="1398" ht="15.75" customHeight="1" x14ac:dyDescent="0.45"/>
    <row r="1399" ht="15.75" customHeight="1" x14ac:dyDescent="0.45"/>
    <row r="1400" ht="15.75" customHeight="1" x14ac:dyDescent="0.45"/>
    <row r="1401" ht="15.75" customHeight="1" x14ac:dyDescent="0.45"/>
    <row r="1402" ht="15.75" customHeight="1" x14ac:dyDescent="0.45"/>
    <row r="1403" ht="15.75" customHeight="1" x14ac:dyDescent="0.45"/>
    <row r="1404" ht="15.75" customHeight="1" x14ac:dyDescent="0.45"/>
    <row r="1405" ht="15.75" customHeight="1" x14ac:dyDescent="0.45"/>
    <row r="1406" ht="15.75" customHeight="1" x14ac:dyDescent="0.45"/>
    <row r="1407" ht="15.75" customHeight="1" x14ac:dyDescent="0.45"/>
    <row r="1408" ht="15.75" customHeight="1" x14ac:dyDescent="0.45"/>
    <row r="1409" ht="15.75" customHeight="1" x14ac:dyDescent="0.45"/>
    <row r="1410" ht="15.75" customHeight="1" x14ac:dyDescent="0.45"/>
    <row r="1411" ht="15.75" customHeight="1" x14ac:dyDescent="0.45"/>
    <row r="1412" ht="15.75" customHeight="1" x14ac:dyDescent="0.45"/>
    <row r="1413" ht="15.75" customHeight="1" x14ac:dyDescent="0.45"/>
    <row r="1414" ht="15.75" customHeight="1" x14ac:dyDescent="0.45"/>
    <row r="1415" ht="15.75" customHeight="1" x14ac:dyDescent="0.45"/>
    <row r="1416" ht="15.75" customHeight="1" x14ac:dyDescent="0.45"/>
    <row r="1417" ht="15.75" customHeight="1" x14ac:dyDescent="0.45"/>
    <row r="1418" ht="15.75" customHeight="1" x14ac:dyDescent="0.45"/>
    <row r="1419" ht="15.75" customHeight="1" x14ac:dyDescent="0.45"/>
    <row r="1420" ht="15.75" customHeight="1" x14ac:dyDescent="0.45"/>
    <row r="1421" ht="15.75" customHeight="1" x14ac:dyDescent="0.45"/>
    <row r="1422" ht="15.75" customHeight="1" x14ac:dyDescent="0.45"/>
    <row r="1423" ht="15.75" customHeight="1" x14ac:dyDescent="0.45"/>
    <row r="1424" ht="15.75" customHeight="1" x14ac:dyDescent="0.45"/>
    <row r="1425" ht="15.75" customHeight="1" x14ac:dyDescent="0.45"/>
    <row r="1426" ht="15.75" customHeight="1" x14ac:dyDescent="0.45"/>
    <row r="1427" ht="15.75" customHeight="1" x14ac:dyDescent="0.45"/>
    <row r="1428" ht="15.75" customHeight="1" x14ac:dyDescent="0.45"/>
    <row r="1429" ht="15.75" customHeight="1" x14ac:dyDescent="0.45"/>
    <row r="1430" ht="15.75" customHeight="1" x14ac:dyDescent="0.45"/>
    <row r="1431" ht="15.75" customHeight="1" x14ac:dyDescent="0.45"/>
    <row r="1432" ht="15.75" customHeight="1" x14ac:dyDescent="0.45"/>
    <row r="1433" ht="15.75" customHeight="1" x14ac:dyDescent="0.45"/>
    <row r="1434" ht="15.75" customHeight="1" x14ac:dyDescent="0.45"/>
    <row r="1435" ht="15.75" customHeight="1" x14ac:dyDescent="0.45"/>
    <row r="1436" ht="15.75" customHeight="1" x14ac:dyDescent="0.45"/>
    <row r="1437" ht="15.75" customHeight="1" x14ac:dyDescent="0.45"/>
    <row r="1438" ht="15.75" customHeight="1" x14ac:dyDescent="0.45"/>
    <row r="1439" ht="15.75" customHeight="1" x14ac:dyDescent="0.45"/>
    <row r="1440" ht="15.75" customHeight="1" x14ac:dyDescent="0.45"/>
    <row r="1441" ht="15.75" customHeight="1" x14ac:dyDescent="0.45"/>
    <row r="1442" ht="15.75" customHeight="1" x14ac:dyDescent="0.45"/>
    <row r="1443" ht="15.75" customHeight="1" x14ac:dyDescent="0.45"/>
    <row r="1444" ht="15.75" customHeight="1" x14ac:dyDescent="0.45"/>
    <row r="1445" ht="15.75" customHeight="1" x14ac:dyDescent="0.45"/>
    <row r="1446" ht="15.75" customHeight="1" x14ac:dyDescent="0.45"/>
    <row r="1447" ht="15.75" customHeight="1" x14ac:dyDescent="0.45"/>
    <row r="1448" ht="15.75" customHeight="1" x14ac:dyDescent="0.45"/>
    <row r="1449" ht="15.75" customHeight="1" x14ac:dyDescent="0.45"/>
    <row r="1450" ht="15.75" customHeight="1" x14ac:dyDescent="0.45"/>
    <row r="1451" ht="15.75" customHeight="1" x14ac:dyDescent="0.45"/>
    <row r="1452" ht="15.75" customHeight="1" x14ac:dyDescent="0.45"/>
    <row r="1453" ht="15.75" customHeight="1" x14ac:dyDescent="0.45"/>
    <row r="1454" ht="15.75" customHeight="1" x14ac:dyDescent="0.45"/>
    <row r="1455" ht="15.75" customHeight="1" x14ac:dyDescent="0.45"/>
    <row r="1456" ht="15.75" customHeight="1" x14ac:dyDescent="0.45"/>
    <row r="1457" ht="15.75" customHeight="1" x14ac:dyDescent="0.45"/>
    <row r="1458" ht="15.75" customHeight="1" x14ac:dyDescent="0.45"/>
    <row r="1459" ht="15.75" customHeight="1" x14ac:dyDescent="0.45"/>
    <row r="1460" ht="15.75" customHeight="1" x14ac:dyDescent="0.45"/>
    <row r="1461" ht="15.75" customHeight="1" x14ac:dyDescent="0.45"/>
    <row r="1462" ht="15.75" customHeight="1" x14ac:dyDescent="0.45"/>
    <row r="1463" ht="15.75" customHeight="1" x14ac:dyDescent="0.45"/>
    <row r="1464" ht="15.75" customHeight="1" x14ac:dyDescent="0.45"/>
    <row r="1465" ht="15.75" customHeight="1" x14ac:dyDescent="0.45"/>
    <row r="1466" ht="15.75" customHeight="1" x14ac:dyDescent="0.45"/>
    <row r="1467" ht="15.75" customHeight="1" x14ac:dyDescent="0.45"/>
    <row r="1468" ht="15.75" customHeight="1" x14ac:dyDescent="0.45"/>
    <row r="1469" ht="15.75" customHeight="1" x14ac:dyDescent="0.45"/>
    <row r="1470" ht="15.75" customHeight="1" x14ac:dyDescent="0.45"/>
    <row r="1471" ht="15.75" customHeight="1" x14ac:dyDescent="0.45"/>
    <row r="1472" ht="15.75" customHeight="1" x14ac:dyDescent="0.45"/>
    <row r="1473" ht="15.75" customHeight="1" x14ac:dyDescent="0.45"/>
    <row r="1474" ht="15.75" customHeight="1" x14ac:dyDescent="0.45"/>
    <row r="1475" ht="15.75" customHeight="1" x14ac:dyDescent="0.45"/>
    <row r="1476" ht="15.75" customHeight="1" x14ac:dyDescent="0.45"/>
    <row r="1477" ht="15.75" customHeight="1" x14ac:dyDescent="0.45"/>
    <row r="1478" ht="15.75" customHeight="1" x14ac:dyDescent="0.45"/>
    <row r="1479" ht="15.75" customHeight="1" x14ac:dyDescent="0.45"/>
    <row r="1480" ht="15.75" customHeight="1" x14ac:dyDescent="0.45"/>
    <row r="1481" ht="15.75" customHeight="1" x14ac:dyDescent="0.45"/>
    <row r="1482" ht="15.75" customHeight="1" x14ac:dyDescent="0.45"/>
    <row r="1483" ht="15.75" customHeight="1" x14ac:dyDescent="0.45"/>
    <row r="1484" ht="15.75" customHeight="1" x14ac:dyDescent="0.45"/>
    <row r="1485" ht="15.75" customHeight="1" x14ac:dyDescent="0.45"/>
    <row r="1486" ht="15.75" customHeight="1" x14ac:dyDescent="0.45"/>
    <row r="1487" ht="15.75" customHeight="1" x14ac:dyDescent="0.45"/>
    <row r="1488" ht="15.75" customHeight="1" x14ac:dyDescent="0.45"/>
    <row r="1489" ht="15.75" customHeight="1" x14ac:dyDescent="0.45"/>
    <row r="1490" ht="15.75" customHeight="1" x14ac:dyDescent="0.45"/>
    <row r="1491" ht="15.75" customHeight="1" x14ac:dyDescent="0.45"/>
    <row r="1492" ht="15.75" customHeight="1" x14ac:dyDescent="0.45"/>
    <row r="1493" ht="15.75" customHeight="1" x14ac:dyDescent="0.45"/>
    <row r="1494" ht="15.75" customHeight="1" x14ac:dyDescent="0.45"/>
    <row r="1495" ht="15.75" customHeight="1" x14ac:dyDescent="0.45"/>
    <row r="1496" ht="15.75" customHeight="1" x14ac:dyDescent="0.45"/>
    <row r="1497" ht="15.75" customHeight="1" x14ac:dyDescent="0.45"/>
    <row r="1498" ht="15.75" customHeight="1" x14ac:dyDescent="0.45"/>
    <row r="1499" ht="15.75" customHeight="1" x14ac:dyDescent="0.45"/>
    <row r="1500" ht="15.75" customHeight="1" x14ac:dyDescent="0.45"/>
    <row r="1501" ht="15.75" customHeight="1" x14ac:dyDescent="0.45"/>
    <row r="1502" ht="15.75" customHeight="1" x14ac:dyDescent="0.45"/>
    <row r="1503" ht="15.75" customHeight="1" x14ac:dyDescent="0.45"/>
    <row r="1504" ht="15.75" customHeight="1" x14ac:dyDescent="0.45"/>
    <row r="1505" ht="15.75" customHeight="1" x14ac:dyDescent="0.45"/>
    <row r="1506" ht="15.75" customHeight="1" x14ac:dyDescent="0.45"/>
    <row r="1507" ht="15.75" customHeight="1" x14ac:dyDescent="0.45"/>
    <row r="1508" ht="15.75" customHeight="1" x14ac:dyDescent="0.45"/>
    <row r="1509" ht="15.75" customHeight="1" x14ac:dyDescent="0.45"/>
    <row r="1510" ht="15.75" customHeight="1" x14ac:dyDescent="0.45"/>
    <row r="1511" ht="15.75" customHeight="1" x14ac:dyDescent="0.45"/>
    <row r="1512" ht="15.75" customHeight="1" x14ac:dyDescent="0.45"/>
  </sheetData>
  <autoFilter ref="A1:AM1362" xr:uid="{00000000-0001-0000-0200-000000000000}">
    <filterColumn colId="0">
      <filters>
        <filter val="AR42"/>
        <filter val="DMSO"/>
        <filter val="DMSO 0.5%"/>
        <filter val="DMSO 1%"/>
        <filter val="untreated"/>
      </filters>
    </filterColumn>
  </autoFilter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AD26-AB35-43A9-AC4E-16400711F790}">
  <dimension ref="A5:X44"/>
  <sheetViews>
    <sheetView tabSelected="1" topLeftCell="J17" workbookViewId="0">
      <selection activeCell="L20" sqref="L20"/>
    </sheetView>
  </sheetViews>
  <sheetFormatPr defaultRowHeight="14.25" x14ac:dyDescent="0.45"/>
  <cols>
    <col min="15" max="18" width="9.19921875" customWidth="1"/>
  </cols>
  <sheetData>
    <row r="5" spans="1:24" x14ac:dyDescent="0.45">
      <c r="M5" s="59" t="s">
        <v>288</v>
      </c>
      <c r="N5" s="59" t="s">
        <v>286</v>
      </c>
      <c r="O5" s="43"/>
      <c r="Q5" s="59" t="s">
        <v>285</v>
      </c>
      <c r="R5" s="43"/>
    </row>
    <row r="6" spans="1:24" x14ac:dyDescent="0.45">
      <c r="A6" s="39" t="s">
        <v>11</v>
      </c>
      <c r="B6" s="39" t="s">
        <v>13</v>
      </c>
      <c r="C6" s="39" t="s">
        <v>15</v>
      </c>
      <c r="D6" s="40" t="s">
        <v>250</v>
      </c>
      <c r="E6" s="39" t="s">
        <v>0</v>
      </c>
      <c r="F6" s="39" t="s">
        <v>18</v>
      </c>
      <c r="G6" s="39" t="s">
        <v>19</v>
      </c>
      <c r="H6" s="39"/>
      <c r="I6" s="39" t="s">
        <v>21</v>
      </c>
      <c r="J6" s="39" t="s">
        <v>23</v>
      </c>
      <c r="K6" s="71" t="s">
        <v>272</v>
      </c>
      <c r="M6" s="65" t="s">
        <v>265</v>
      </c>
      <c r="N6" s="59" t="s">
        <v>287</v>
      </c>
      <c r="O6" s="66" t="s">
        <v>267</v>
      </c>
      <c r="Q6" s="43" t="s">
        <v>275</v>
      </c>
      <c r="R6" s="43"/>
      <c r="S6" s="50"/>
      <c r="T6" s="59" t="s">
        <v>269</v>
      </c>
      <c r="U6" s="74" t="s">
        <v>270</v>
      </c>
      <c r="V6" s="75" t="s">
        <v>268</v>
      </c>
      <c r="W6" s="74" t="s">
        <v>271</v>
      </c>
      <c r="X6" s="62" t="s">
        <v>281</v>
      </c>
    </row>
    <row r="7" spans="1:24" x14ac:dyDescent="0.45">
      <c r="A7" s="41" t="s">
        <v>95</v>
      </c>
      <c r="B7" s="41" t="s">
        <v>96</v>
      </c>
      <c r="C7" s="41">
        <v>3.0000000000000001E-3</v>
      </c>
      <c r="D7" s="42">
        <f>LOG(C7)</f>
        <v>-2.5228787452803374</v>
      </c>
      <c r="E7" s="41" t="s">
        <v>83</v>
      </c>
      <c r="F7" s="41" t="s">
        <v>84</v>
      </c>
      <c r="G7" s="43"/>
      <c r="H7" s="41">
        <v>0.2</v>
      </c>
      <c r="I7" s="43"/>
      <c r="J7" s="44">
        <v>0.212474256</v>
      </c>
      <c r="K7" s="72">
        <v>41.241651467222198</v>
      </c>
      <c r="M7" s="67">
        <f>K7/$K$15</f>
        <v>1.168318738448221</v>
      </c>
      <c r="N7" s="67">
        <f>M7/$M$7</f>
        <v>1</v>
      </c>
      <c r="O7" s="68">
        <f>N7*100</f>
        <v>100</v>
      </c>
      <c r="Q7" s="69" t="s">
        <v>276</v>
      </c>
      <c r="R7" s="69">
        <v>97.736000000000004</v>
      </c>
      <c r="T7" s="76">
        <f>R7-R10</f>
        <v>97.027600000000007</v>
      </c>
      <c r="U7" s="76">
        <f>R11</f>
        <v>0.20200000000000001</v>
      </c>
      <c r="V7" s="76">
        <f>T7/U7</f>
        <v>480.33465346534655</v>
      </c>
      <c r="W7" s="60">
        <f>1*V7</f>
        <v>480.33465346534655</v>
      </c>
      <c r="X7" s="62">
        <f>ASINH(W7)</f>
        <v>6.8676313198102754</v>
      </c>
    </row>
    <row r="8" spans="1:24" x14ac:dyDescent="0.45">
      <c r="A8" s="41" t="s">
        <v>95</v>
      </c>
      <c r="B8" s="41" t="s">
        <v>96</v>
      </c>
      <c r="C8" s="41">
        <v>0.01</v>
      </c>
      <c r="D8" s="42">
        <f t="shared" ref="D8:D14" si="0">LOG(C8)</f>
        <v>-2</v>
      </c>
      <c r="E8" s="41" t="s">
        <v>83</v>
      </c>
      <c r="F8" s="41" t="s">
        <v>84</v>
      </c>
      <c r="G8" s="43"/>
      <c r="H8" s="41">
        <v>0.2</v>
      </c>
      <c r="I8" s="43"/>
      <c r="J8" s="44">
        <v>0.212474256</v>
      </c>
      <c r="K8" s="72">
        <v>40.8554400777777</v>
      </c>
      <c r="M8" s="67">
        <f t="shared" ref="M8:M14" si="1">K8/$K$15</f>
        <v>1.1573779058860538</v>
      </c>
      <c r="N8" s="67">
        <f t="shared" ref="N8:N14" si="2">M8/$M$7</f>
        <v>0.99063540436174213</v>
      </c>
      <c r="O8" s="68">
        <f t="shared" ref="O8:O14" si="3">N8*100</f>
        <v>99.063540436174208</v>
      </c>
      <c r="P8" s="18"/>
      <c r="Q8" s="73" t="s">
        <v>277</v>
      </c>
      <c r="R8" s="73">
        <v>4.2145000000000001</v>
      </c>
    </row>
    <row r="9" spans="1:24" x14ac:dyDescent="0.45">
      <c r="A9" s="41" t="s">
        <v>95</v>
      </c>
      <c r="B9" s="41" t="s">
        <v>96</v>
      </c>
      <c r="C9" s="41">
        <v>0.03</v>
      </c>
      <c r="D9" s="42">
        <f t="shared" si="0"/>
        <v>-1.5228787452803376</v>
      </c>
      <c r="E9" s="41" t="s">
        <v>83</v>
      </c>
      <c r="F9" s="41" t="s">
        <v>84</v>
      </c>
      <c r="G9" s="43"/>
      <c r="H9" s="41">
        <v>0.2</v>
      </c>
      <c r="I9" s="43"/>
      <c r="J9" s="44">
        <v>0.212474256</v>
      </c>
      <c r="K9" s="72">
        <v>38.778514827777698</v>
      </c>
      <c r="M9" s="67">
        <f t="shared" si="1"/>
        <v>1.0985414965376119</v>
      </c>
      <c r="N9" s="67">
        <f t="shared" si="2"/>
        <v>0.94027550905903612</v>
      </c>
      <c r="O9" s="68">
        <f t="shared" si="3"/>
        <v>94.02755090590361</v>
      </c>
      <c r="P9" s="18"/>
      <c r="Q9" s="67" t="s">
        <v>278</v>
      </c>
      <c r="R9" s="67">
        <v>-0.6946</v>
      </c>
    </row>
    <row r="10" spans="1:24" x14ac:dyDescent="0.45">
      <c r="A10" s="41" t="s">
        <v>95</v>
      </c>
      <c r="B10" s="41" t="s">
        <v>96</v>
      </c>
      <c r="C10" s="41">
        <v>0.1</v>
      </c>
      <c r="D10" s="42">
        <f t="shared" si="0"/>
        <v>-1</v>
      </c>
      <c r="E10" s="41" t="s">
        <v>83</v>
      </c>
      <c r="F10" s="41" t="s">
        <v>84</v>
      </c>
      <c r="G10" s="43"/>
      <c r="H10" s="41">
        <v>0.2</v>
      </c>
      <c r="I10" s="43"/>
      <c r="J10" s="44">
        <v>0.212474256</v>
      </c>
      <c r="K10" s="72">
        <v>38.381423935555503</v>
      </c>
      <c r="M10" s="67">
        <f t="shared" si="1"/>
        <v>1.087292462763612</v>
      </c>
      <c r="N10" s="67">
        <f t="shared" si="2"/>
        <v>0.93064711450898296</v>
      </c>
      <c r="O10" s="68">
        <f t="shared" si="3"/>
        <v>93.064711450898301</v>
      </c>
      <c r="P10" s="18"/>
      <c r="Q10" s="70" t="s">
        <v>279</v>
      </c>
      <c r="R10" s="70">
        <v>0.70840000000000003</v>
      </c>
    </row>
    <row r="11" spans="1:24" x14ac:dyDescent="0.45">
      <c r="A11" s="41" t="s">
        <v>95</v>
      </c>
      <c r="B11" s="41" t="s">
        <v>96</v>
      </c>
      <c r="C11" s="41">
        <v>0.3</v>
      </c>
      <c r="D11" s="42">
        <f t="shared" si="0"/>
        <v>-0.52287874528033762</v>
      </c>
      <c r="E11" s="41" t="s">
        <v>83</v>
      </c>
      <c r="F11" s="41" t="s">
        <v>84</v>
      </c>
      <c r="G11" s="43"/>
      <c r="H11" s="41">
        <v>0.2</v>
      </c>
      <c r="I11" s="43"/>
      <c r="J11" s="44">
        <v>0.212474256</v>
      </c>
      <c r="K11" s="72">
        <v>6.63547943372222</v>
      </c>
      <c r="M11" s="67">
        <f t="shared" si="1"/>
        <v>0.18797392163519039</v>
      </c>
      <c r="N11" s="67">
        <f t="shared" si="2"/>
        <v>0.16089267033828478</v>
      </c>
      <c r="O11" s="68">
        <f t="shared" si="3"/>
        <v>16.089267033828477</v>
      </c>
      <c r="P11" s="18"/>
      <c r="Q11" s="70" t="s">
        <v>280</v>
      </c>
      <c r="R11" s="70">
        <v>0.20200000000000001</v>
      </c>
    </row>
    <row r="12" spans="1:24" x14ac:dyDescent="0.45">
      <c r="A12" s="41" t="s">
        <v>95</v>
      </c>
      <c r="B12" s="41" t="s">
        <v>96</v>
      </c>
      <c r="C12" s="41">
        <v>1</v>
      </c>
      <c r="D12" s="42">
        <f t="shared" si="0"/>
        <v>0</v>
      </c>
      <c r="E12" s="41" t="s">
        <v>83</v>
      </c>
      <c r="F12" s="41" t="s">
        <v>84</v>
      </c>
      <c r="G12" s="43"/>
      <c r="H12" s="41">
        <v>0.2</v>
      </c>
      <c r="I12" s="43"/>
      <c r="J12" s="44">
        <v>0.212474256</v>
      </c>
      <c r="K12" s="72">
        <v>0.93610093633333302</v>
      </c>
      <c r="M12" s="67">
        <f t="shared" si="1"/>
        <v>2.6518440122757312E-2</v>
      </c>
      <c r="N12" s="67">
        <f t="shared" si="2"/>
        <v>2.269794984028033E-2</v>
      </c>
      <c r="O12" s="68">
        <f t="shared" si="3"/>
        <v>2.2697949840280329</v>
      </c>
      <c r="P12" s="18"/>
      <c r="Q12" s="18"/>
      <c r="R12" s="18"/>
    </row>
    <row r="13" spans="1:24" x14ac:dyDescent="0.45">
      <c r="A13" s="41" t="s">
        <v>95</v>
      </c>
      <c r="B13" s="41" t="s">
        <v>96</v>
      </c>
      <c r="C13" s="41">
        <v>3</v>
      </c>
      <c r="D13" s="42">
        <f t="shared" si="0"/>
        <v>0.47712125471966244</v>
      </c>
      <c r="E13" s="41" t="s">
        <v>83</v>
      </c>
      <c r="F13" s="41" t="s">
        <v>84</v>
      </c>
      <c r="G13" s="43"/>
      <c r="H13" s="41">
        <v>0.2</v>
      </c>
      <c r="I13" s="43"/>
      <c r="J13" s="44">
        <v>0.212474256</v>
      </c>
      <c r="K13" s="72">
        <v>0</v>
      </c>
      <c r="M13" s="67">
        <f t="shared" si="1"/>
        <v>0</v>
      </c>
      <c r="N13" s="67">
        <f t="shared" si="2"/>
        <v>0</v>
      </c>
      <c r="O13" s="68">
        <f t="shared" si="3"/>
        <v>0</v>
      </c>
      <c r="P13" s="18"/>
      <c r="Q13" s="18"/>
      <c r="R13" s="18"/>
    </row>
    <row r="14" spans="1:24" x14ac:dyDescent="0.45">
      <c r="A14" s="45" t="s">
        <v>95</v>
      </c>
      <c r="B14" s="45" t="s">
        <v>96</v>
      </c>
      <c r="C14" s="45">
        <v>10</v>
      </c>
      <c r="D14" s="42">
        <f t="shared" si="0"/>
        <v>1</v>
      </c>
      <c r="E14" s="45" t="s">
        <v>83</v>
      </c>
      <c r="F14" s="45" t="s">
        <v>84</v>
      </c>
      <c r="G14" s="46"/>
      <c r="H14" s="45">
        <v>0.2</v>
      </c>
      <c r="I14" s="46"/>
      <c r="J14" s="47">
        <v>0.212474256</v>
      </c>
      <c r="K14" s="72">
        <v>0</v>
      </c>
      <c r="M14" s="67">
        <f t="shared" si="1"/>
        <v>0</v>
      </c>
      <c r="N14" s="67">
        <f t="shared" si="2"/>
        <v>0</v>
      </c>
      <c r="O14" s="68">
        <f t="shared" si="3"/>
        <v>0</v>
      </c>
      <c r="P14" s="18"/>
      <c r="Q14" s="18"/>
      <c r="R14" s="18"/>
    </row>
    <row r="15" spans="1:24" x14ac:dyDescent="0.45">
      <c r="A15" s="41" t="s">
        <v>146</v>
      </c>
      <c r="B15" s="43"/>
      <c r="C15" s="41">
        <v>0</v>
      </c>
      <c r="D15" s="41"/>
      <c r="E15" s="41" t="s">
        <v>109</v>
      </c>
      <c r="F15" s="48" t="s">
        <v>84</v>
      </c>
      <c r="G15" s="43"/>
      <c r="H15" s="41" t="s">
        <v>87</v>
      </c>
      <c r="I15" s="43"/>
      <c r="J15" s="43"/>
      <c r="K15" s="49">
        <v>35.299999999999997</v>
      </c>
      <c r="M15" s="51" t="s">
        <v>266</v>
      </c>
      <c r="N15" s="51"/>
      <c r="O15" s="51" t="s">
        <v>266</v>
      </c>
      <c r="P15" s="51"/>
      <c r="Q15" s="51"/>
      <c r="R15" s="51"/>
    </row>
    <row r="17" spans="1:24" x14ac:dyDescent="0.45">
      <c r="Q17" s="58" t="s">
        <v>285</v>
      </c>
      <c r="V17" s="51"/>
      <c r="W17" s="50"/>
    </row>
    <row r="18" spans="1:24" x14ac:dyDescent="0.45">
      <c r="A18" s="39" t="s">
        <v>11</v>
      </c>
      <c r="B18" s="39" t="s">
        <v>13</v>
      </c>
      <c r="C18" s="39" t="s">
        <v>15</v>
      </c>
      <c r="D18" s="40" t="s">
        <v>250</v>
      </c>
      <c r="E18" s="39" t="s">
        <v>0</v>
      </c>
      <c r="F18" s="39" t="s">
        <v>18</v>
      </c>
      <c r="G18" s="39" t="s">
        <v>19</v>
      </c>
      <c r="H18" s="39"/>
      <c r="I18" s="39" t="s">
        <v>21</v>
      </c>
      <c r="J18" s="39" t="s">
        <v>23</v>
      </c>
      <c r="K18" s="56">
        <v>0</v>
      </c>
      <c r="M18" s="50" t="s">
        <v>265</v>
      </c>
      <c r="N18" s="50" t="s">
        <v>274</v>
      </c>
      <c r="O18" s="54" t="s">
        <v>267</v>
      </c>
      <c r="Q18" t="s">
        <v>275</v>
      </c>
      <c r="T18" s="58" t="s">
        <v>269</v>
      </c>
      <c r="U18" s="58" t="s">
        <v>270</v>
      </c>
      <c r="V18" s="63" t="s">
        <v>268</v>
      </c>
      <c r="W18" s="58" t="s">
        <v>271</v>
      </c>
      <c r="X18" s="53" t="s">
        <v>282</v>
      </c>
    </row>
    <row r="19" spans="1:24" x14ac:dyDescent="0.45">
      <c r="A19" s="2" t="s">
        <v>107</v>
      </c>
      <c r="B19" s="2" t="s">
        <v>108</v>
      </c>
      <c r="C19" s="2">
        <v>3.0000000000000001E-3</v>
      </c>
      <c r="D19" s="42">
        <f>LOG(C19)</f>
        <v>-2.5228787452803374</v>
      </c>
      <c r="E19" s="2" t="s">
        <v>109</v>
      </c>
      <c r="F19" s="2" t="s">
        <v>84</v>
      </c>
      <c r="H19" s="2">
        <v>0.1</v>
      </c>
      <c r="J19" s="2">
        <v>0.1</v>
      </c>
      <c r="K19" s="25">
        <v>32.3333333333333</v>
      </c>
      <c r="M19" s="18">
        <f>K19/$K$27</f>
        <v>0.91595845136921539</v>
      </c>
      <c r="N19" s="18">
        <f>M19/$M$19</f>
        <v>1</v>
      </c>
      <c r="O19" s="55">
        <f>N19*100</f>
        <v>100</v>
      </c>
      <c r="Q19" t="s">
        <v>276</v>
      </c>
      <c r="R19">
        <v>100.67700000000001</v>
      </c>
      <c r="T19" s="64">
        <f>R19-R22</f>
        <v>103.8802</v>
      </c>
      <c r="U19" s="64">
        <f>R23</f>
        <v>0.1216</v>
      </c>
      <c r="V19" s="64">
        <f>T19/U19</f>
        <v>854.27796052631584</v>
      </c>
      <c r="W19" s="57">
        <f>1*V19</f>
        <v>854.27796052631584</v>
      </c>
      <c r="X19" s="53">
        <f>ASINH(W19)</f>
        <v>7.4434041446648633</v>
      </c>
    </row>
    <row r="20" spans="1:24" x14ac:dyDescent="0.45">
      <c r="A20" s="2" t="s">
        <v>107</v>
      </c>
      <c r="B20" s="2" t="s">
        <v>108</v>
      </c>
      <c r="C20" s="2">
        <v>0.01</v>
      </c>
      <c r="D20" s="42">
        <f t="shared" ref="D20:D26" si="4">LOG(C20)</f>
        <v>-2</v>
      </c>
      <c r="E20" s="2" t="s">
        <v>109</v>
      </c>
      <c r="F20" s="2" t="s">
        <v>84</v>
      </c>
      <c r="H20" s="2">
        <v>0.1</v>
      </c>
      <c r="J20" s="2">
        <v>0.1</v>
      </c>
      <c r="K20" s="25">
        <v>30.9444444444444</v>
      </c>
      <c r="M20" s="18">
        <f t="shared" ref="M20:M26" si="5">K20/$K$27</f>
        <v>0.87661315706641363</v>
      </c>
      <c r="N20" s="18">
        <f t="shared" ref="N20:N26" si="6">M20/$M$19</f>
        <v>0.9570446735395185</v>
      </c>
      <c r="O20" s="55">
        <f t="shared" ref="O20:O26" si="7">N20*100</f>
        <v>95.704467353951856</v>
      </c>
      <c r="Q20" t="s">
        <v>277</v>
      </c>
      <c r="R20">
        <v>1.1465000000000001</v>
      </c>
    </row>
    <row r="21" spans="1:24" x14ac:dyDescent="0.45">
      <c r="A21" s="2" t="s">
        <v>107</v>
      </c>
      <c r="B21" s="2" t="s">
        <v>108</v>
      </c>
      <c r="C21" s="2">
        <v>0.03</v>
      </c>
      <c r="D21" s="42">
        <f t="shared" si="4"/>
        <v>-1.5228787452803376</v>
      </c>
      <c r="E21" s="2" t="s">
        <v>109</v>
      </c>
      <c r="F21" s="2" t="s">
        <v>84</v>
      </c>
      <c r="H21" s="2">
        <v>0.1</v>
      </c>
      <c r="J21" s="2">
        <v>0.1</v>
      </c>
      <c r="K21" s="25">
        <v>26.1111111111111</v>
      </c>
      <c r="M21" s="18">
        <f t="shared" si="5"/>
        <v>0.73969153289266576</v>
      </c>
      <c r="N21" s="18">
        <f t="shared" si="6"/>
        <v>0.80756013745704514</v>
      </c>
      <c r="O21" s="55">
        <f t="shared" si="7"/>
        <v>80.756013745704507</v>
      </c>
      <c r="Q21" t="s">
        <v>278</v>
      </c>
      <c r="R21">
        <v>-0.91510000000000002</v>
      </c>
    </row>
    <row r="22" spans="1:24" x14ac:dyDescent="0.45">
      <c r="A22" s="2" t="s">
        <v>107</v>
      </c>
      <c r="B22" s="2" t="s">
        <v>108</v>
      </c>
      <c r="C22" s="2">
        <v>0.1</v>
      </c>
      <c r="D22" s="42">
        <f t="shared" si="4"/>
        <v>-1</v>
      </c>
      <c r="E22" s="2" t="s">
        <v>109</v>
      </c>
      <c r="F22" s="2" t="s">
        <v>84</v>
      </c>
      <c r="H22" s="2">
        <v>0.1</v>
      </c>
      <c r="J22" s="2">
        <v>0.1</v>
      </c>
      <c r="K22" s="25">
        <v>17.9444444444444</v>
      </c>
      <c r="M22" s="18">
        <f t="shared" si="5"/>
        <v>0.50834120239219271</v>
      </c>
      <c r="N22" s="18">
        <f t="shared" si="6"/>
        <v>0.55498281786941506</v>
      </c>
      <c r="O22" s="55">
        <f t="shared" si="7"/>
        <v>55.498281786941504</v>
      </c>
      <c r="Q22" t="s">
        <v>279</v>
      </c>
      <c r="R22">
        <v>-3.2031999999999998</v>
      </c>
    </row>
    <row r="23" spans="1:24" x14ac:dyDescent="0.45">
      <c r="A23" s="2" t="s">
        <v>107</v>
      </c>
      <c r="B23" s="2" t="s">
        <v>108</v>
      </c>
      <c r="C23" s="2">
        <v>0.3</v>
      </c>
      <c r="D23" s="42">
        <f t="shared" si="4"/>
        <v>-0.52287874528033762</v>
      </c>
      <c r="E23" s="2" t="s">
        <v>109</v>
      </c>
      <c r="F23" s="2" t="s">
        <v>84</v>
      </c>
      <c r="H23" s="2">
        <v>0.1</v>
      </c>
      <c r="J23" s="2">
        <v>0.1</v>
      </c>
      <c r="K23" s="25">
        <v>8.5</v>
      </c>
      <c r="M23" s="18">
        <f t="shared" si="5"/>
        <v>0.24079320113314451</v>
      </c>
      <c r="N23" s="18">
        <f t="shared" si="6"/>
        <v>0.26288659793814462</v>
      </c>
      <c r="O23" s="55">
        <f t="shared" si="7"/>
        <v>26.28865979381446</v>
      </c>
      <c r="Q23" t="s">
        <v>280</v>
      </c>
      <c r="R23">
        <v>0.1216</v>
      </c>
    </row>
    <row r="24" spans="1:24" x14ac:dyDescent="0.45">
      <c r="A24" s="2" t="s">
        <v>107</v>
      </c>
      <c r="B24" s="2" t="s">
        <v>108</v>
      </c>
      <c r="C24" s="2">
        <v>1</v>
      </c>
      <c r="D24" s="42">
        <f t="shared" si="4"/>
        <v>0</v>
      </c>
      <c r="E24" s="2" t="s">
        <v>109</v>
      </c>
      <c r="F24" s="2" t="s">
        <v>84</v>
      </c>
      <c r="H24" s="2">
        <v>0.1</v>
      </c>
      <c r="J24" s="2">
        <v>0.1</v>
      </c>
      <c r="K24" s="25">
        <v>0</v>
      </c>
      <c r="M24" s="18">
        <f t="shared" si="5"/>
        <v>0</v>
      </c>
      <c r="N24" s="18">
        <f t="shared" si="6"/>
        <v>0</v>
      </c>
      <c r="O24" s="55">
        <f t="shared" si="7"/>
        <v>0</v>
      </c>
    </row>
    <row r="25" spans="1:24" x14ac:dyDescent="0.45">
      <c r="A25" s="2" t="s">
        <v>107</v>
      </c>
      <c r="B25" s="2" t="s">
        <v>108</v>
      </c>
      <c r="C25" s="2">
        <v>3</v>
      </c>
      <c r="D25" s="42">
        <f t="shared" si="4"/>
        <v>0.47712125471966244</v>
      </c>
      <c r="E25" s="2" t="s">
        <v>109</v>
      </c>
      <c r="F25" s="2" t="s">
        <v>84</v>
      </c>
      <c r="H25" s="2">
        <v>0.1</v>
      </c>
      <c r="J25" s="2">
        <v>0.1</v>
      </c>
      <c r="K25" s="25">
        <v>0</v>
      </c>
      <c r="M25" s="18">
        <f t="shared" si="5"/>
        <v>0</v>
      </c>
      <c r="N25" s="18">
        <f t="shared" si="6"/>
        <v>0</v>
      </c>
      <c r="O25" s="55">
        <f t="shared" si="7"/>
        <v>0</v>
      </c>
    </row>
    <row r="26" spans="1:24" x14ac:dyDescent="0.45">
      <c r="A26" s="7" t="s">
        <v>107</v>
      </c>
      <c r="B26" s="7" t="s">
        <v>108</v>
      </c>
      <c r="C26" s="7">
        <v>10</v>
      </c>
      <c r="D26" s="42">
        <f t="shared" si="4"/>
        <v>1</v>
      </c>
      <c r="E26" s="7" t="s">
        <v>109</v>
      </c>
      <c r="F26" s="7" t="s">
        <v>84</v>
      </c>
      <c r="G26" s="8"/>
      <c r="H26" s="7">
        <v>0.1</v>
      </c>
      <c r="I26" s="8"/>
      <c r="J26" s="7">
        <v>0.1</v>
      </c>
      <c r="K26" s="7">
        <v>0</v>
      </c>
      <c r="M26" s="18">
        <f t="shared" si="5"/>
        <v>0</v>
      </c>
      <c r="N26" s="18">
        <f t="shared" si="6"/>
        <v>0</v>
      </c>
      <c r="O26" s="55">
        <f t="shared" si="7"/>
        <v>0</v>
      </c>
    </row>
    <row r="27" spans="1:24" x14ac:dyDescent="0.45">
      <c r="A27" s="41" t="s">
        <v>146</v>
      </c>
      <c r="B27" s="43"/>
      <c r="C27" s="41">
        <v>0</v>
      </c>
      <c r="D27" s="41"/>
      <c r="E27" s="41" t="s">
        <v>109</v>
      </c>
      <c r="F27" s="48" t="s">
        <v>84</v>
      </c>
      <c r="G27" s="43"/>
      <c r="H27" s="41" t="s">
        <v>87</v>
      </c>
      <c r="I27" s="43"/>
      <c r="J27" s="43"/>
      <c r="K27" s="49">
        <v>35.299999999999997</v>
      </c>
      <c r="M27" s="51" t="s">
        <v>266</v>
      </c>
      <c r="N27" s="51"/>
    </row>
    <row r="29" spans="1:24" x14ac:dyDescent="0.45">
      <c r="Q29" s="58" t="s">
        <v>285</v>
      </c>
    </row>
    <row r="30" spans="1:24" x14ac:dyDescent="0.45">
      <c r="A30" s="39" t="s">
        <v>11</v>
      </c>
      <c r="B30" s="39" t="s">
        <v>13</v>
      </c>
      <c r="C30" s="39" t="s">
        <v>15</v>
      </c>
      <c r="D30" s="40" t="s">
        <v>250</v>
      </c>
      <c r="E30" s="39" t="s">
        <v>0</v>
      </c>
      <c r="F30" s="39" t="s">
        <v>18</v>
      </c>
      <c r="G30" s="39" t="s">
        <v>19</v>
      </c>
      <c r="H30" s="39"/>
      <c r="I30" s="39" t="s">
        <v>21</v>
      </c>
      <c r="J30" s="39" t="s">
        <v>23</v>
      </c>
      <c r="K30" s="56">
        <v>0</v>
      </c>
      <c r="M30" s="50" t="s">
        <v>265</v>
      </c>
      <c r="N30" s="50" t="s">
        <v>274</v>
      </c>
      <c r="O30" s="54" t="s">
        <v>267</v>
      </c>
      <c r="Q30" t="s">
        <v>275</v>
      </c>
      <c r="T30" t="s">
        <v>269</v>
      </c>
      <c r="U30" t="s">
        <v>270</v>
      </c>
      <c r="V30" s="51" t="s">
        <v>268</v>
      </c>
      <c r="W30" s="50" t="s">
        <v>271</v>
      </c>
      <c r="X30" s="53" t="s">
        <v>283</v>
      </c>
    </row>
    <row r="31" spans="1:24" x14ac:dyDescent="0.45">
      <c r="A31" s="2" t="s">
        <v>107</v>
      </c>
      <c r="B31" s="2" t="s">
        <v>108</v>
      </c>
      <c r="C31" s="2">
        <v>3.0000000000000001E-3</v>
      </c>
      <c r="D31" s="2"/>
      <c r="E31" s="2" t="s">
        <v>85</v>
      </c>
      <c r="F31" s="2" t="s">
        <v>84</v>
      </c>
      <c r="G31" s="2" t="s">
        <v>111</v>
      </c>
      <c r="H31" s="2">
        <v>9.3000000000000007</v>
      </c>
      <c r="I31" s="2">
        <v>3539</v>
      </c>
      <c r="J31" s="2">
        <v>9.3000000000000007</v>
      </c>
      <c r="K31" s="2">
        <v>2.4444444444444402</v>
      </c>
      <c r="M31" s="18">
        <f t="shared" ref="M31:M37" si="8">K31/$K$41</f>
        <v>0.64825046040515599</v>
      </c>
      <c r="N31" s="18">
        <f t="shared" ref="N31:N37" si="9">M31/$M$31</f>
        <v>1</v>
      </c>
      <c r="O31" s="55">
        <f>N31*100</f>
        <v>100</v>
      </c>
      <c r="Q31" t="s">
        <v>276</v>
      </c>
      <c r="R31">
        <v>101.0881</v>
      </c>
      <c r="T31" s="52">
        <f>R31-R34</f>
        <v>101.67789999999999</v>
      </c>
      <c r="U31" s="52">
        <f>R35</f>
        <v>5.6000000000000001E-2</v>
      </c>
      <c r="V31" s="52">
        <f>T31/U31</f>
        <v>1815.6767857142856</v>
      </c>
      <c r="W31" s="18">
        <f>1*V31</f>
        <v>1815.6767857142856</v>
      </c>
      <c r="X31" s="53">
        <f>ASINH(W31)</f>
        <v>8.1973608182795541</v>
      </c>
    </row>
    <row r="32" spans="1:24" x14ac:dyDescent="0.45">
      <c r="A32" s="2" t="s">
        <v>107</v>
      </c>
      <c r="B32" s="2" t="s">
        <v>108</v>
      </c>
      <c r="C32" s="2">
        <v>0.01</v>
      </c>
      <c r="D32" s="2"/>
      <c r="E32" s="2" t="s">
        <v>85</v>
      </c>
      <c r="F32" s="2" t="s">
        <v>84</v>
      </c>
      <c r="G32" s="2" t="s">
        <v>111</v>
      </c>
      <c r="H32" s="2">
        <v>9.3000000000000007</v>
      </c>
      <c r="I32" s="2">
        <v>3539</v>
      </c>
      <c r="J32" s="2">
        <v>9.3000000000000007</v>
      </c>
      <c r="K32" s="2">
        <v>2.4444444444444402</v>
      </c>
      <c r="M32" s="18">
        <f t="shared" si="8"/>
        <v>0.64825046040515599</v>
      </c>
      <c r="N32" s="18">
        <f t="shared" si="9"/>
        <v>1</v>
      </c>
      <c r="O32" s="55">
        <f t="shared" ref="O32:O38" si="10">N32*100</f>
        <v>100</v>
      </c>
      <c r="Q32" t="s">
        <v>277</v>
      </c>
      <c r="R32">
        <v>2.1602999999999999</v>
      </c>
    </row>
    <row r="33" spans="1:22" x14ac:dyDescent="0.45">
      <c r="A33" s="2" t="s">
        <v>107</v>
      </c>
      <c r="B33" s="2" t="s">
        <v>108</v>
      </c>
      <c r="C33" s="2">
        <v>0.03</v>
      </c>
      <c r="D33" s="2"/>
      <c r="E33" s="2" t="s">
        <v>85</v>
      </c>
      <c r="F33" s="2" t="s">
        <v>84</v>
      </c>
      <c r="G33" s="2" t="s">
        <v>111</v>
      </c>
      <c r="H33" s="2">
        <v>9.3000000000000007</v>
      </c>
      <c r="I33" s="2">
        <v>3539</v>
      </c>
      <c r="J33" s="2">
        <v>9.3000000000000007</v>
      </c>
      <c r="K33" s="2">
        <v>1.94444444444444</v>
      </c>
      <c r="M33" s="18">
        <f t="shared" si="8"/>
        <v>0.51565377532228285</v>
      </c>
      <c r="N33" s="18">
        <f t="shared" si="9"/>
        <v>0.79545454545454497</v>
      </c>
      <c r="O33" s="55">
        <f t="shared" si="10"/>
        <v>79.545454545454504</v>
      </c>
      <c r="Q33" t="s">
        <v>278</v>
      </c>
      <c r="R33">
        <v>-1.2516</v>
      </c>
    </row>
    <row r="34" spans="1:22" x14ac:dyDescent="0.45">
      <c r="A34" s="2" t="s">
        <v>107</v>
      </c>
      <c r="B34" s="2" t="s">
        <v>108</v>
      </c>
      <c r="C34" s="2">
        <v>0.1</v>
      </c>
      <c r="D34" s="2"/>
      <c r="E34" s="2" t="s">
        <v>85</v>
      </c>
      <c r="F34" s="2" t="s">
        <v>84</v>
      </c>
      <c r="G34" s="2" t="s">
        <v>111</v>
      </c>
      <c r="H34" s="2">
        <v>9.3000000000000007</v>
      </c>
      <c r="I34" s="2">
        <v>3539</v>
      </c>
      <c r="J34" s="2">
        <v>9.3000000000000007</v>
      </c>
      <c r="K34" s="2">
        <v>0.55555555555555503</v>
      </c>
      <c r="M34" s="18">
        <f t="shared" si="8"/>
        <v>0.14732965009208102</v>
      </c>
      <c r="N34" s="18">
        <f t="shared" si="9"/>
        <v>0.22727272727272743</v>
      </c>
      <c r="O34" s="55">
        <f t="shared" si="10"/>
        <v>22.727272727272744</v>
      </c>
      <c r="Q34" t="s">
        <v>279</v>
      </c>
      <c r="R34">
        <v>-0.58979999999999999</v>
      </c>
    </row>
    <row r="35" spans="1:22" x14ac:dyDescent="0.45">
      <c r="A35" s="2" t="s">
        <v>107</v>
      </c>
      <c r="B35" s="2" t="s">
        <v>108</v>
      </c>
      <c r="C35" s="2">
        <v>0.3</v>
      </c>
      <c r="D35" s="2"/>
      <c r="E35" s="2" t="s">
        <v>85</v>
      </c>
      <c r="F35" s="2" t="s">
        <v>84</v>
      </c>
      <c r="G35" s="2" t="s">
        <v>111</v>
      </c>
      <c r="H35" s="2">
        <v>9.3000000000000007</v>
      </c>
      <c r="I35" s="2">
        <v>3539</v>
      </c>
      <c r="J35" s="2">
        <v>9.3000000000000007</v>
      </c>
      <c r="K35" s="2">
        <v>0</v>
      </c>
      <c r="M35" s="18">
        <f t="shared" si="8"/>
        <v>0</v>
      </c>
      <c r="N35" s="18">
        <f t="shared" si="9"/>
        <v>0</v>
      </c>
      <c r="O35" s="55">
        <f t="shared" si="10"/>
        <v>0</v>
      </c>
      <c r="Q35" t="s">
        <v>280</v>
      </c>
      <c r="R35">
        <v>5.6000000000000001E-2</v>
      </c>
    </row>
    <row r="36" spans="1:22" x14ac:dyDescent="0.45">
      <c r="A36" s="2" t="s">
        <v>107</v>
      </c>
      <c r="B36" s="2" t="s">
        <v>108</v>
      </c>
      <c r="C36" s="2">
        <v>1</v>
      </c>
      <c r="D36" s="2"/>
      <c r="E36" s="2" t="s">
        <v>85</v>
      </c>
      <c r="F36" s="2" t="s">
        <v>84</v>
      </c>
      <c r="G36" s="2" t="s">
        <v>111</v>
      </c>
      <c r="H36" s="2">
        <v>9.3000000000000007</v>
      </c>
      <c r="I36" s="2">
        <v>3539</v>
      </c>
      <c r="J36" s="2">
        <v>9.3000000000000007</v>
      </c>
      <c r="K36" s="2">
        <v>0</v>
      </c>
      <c r="M36" s="18">
        <f t="shared" si="8"/>
        <v>0</v>
      </c>
      <c r="N36" s="18">
        <f t="shared" si="9"/>
        <v>0</v>
      </c>
      <c r="O36" s="55">
        <f t="shared" si="10"/>
        <v>0</v>
      </c>
    </row>
    <row r="37" spans="1:22" x14ac:dyDescent="0.45">
      <c r="A37" s="2" t="s">
        <v>107</v>
      </c>
      <c r="B37" s="2" t="s">
        <v>108</v>
      </c>
      <c r="C37" s="2">
        <v>3</v>
      </c>
      <c r="D37" s="2"/>
      <c r="E37" s="2" t="s">
        <v>85</v>
      </c>
      <c r="F37" s="2" t="s">
        <v>84</v>
      </c>
      <c r="G37" s="2" t="s">
        <v>111</v>
      </c>
      <c r="H37" s="2">
        <v>9.3000000000000007</v>
      </c>
      <c r="I37" s="2">
        <v>3539</v>
      </c>
      <c r="J37" s="2">
        <v>9.3000000000000007</v>
      </c>
      <c r="K37" s="2">
        <v>0</v>
      </c>
      <c r="M37" s="18">
        <f t="shared" si="8"/>
        <v>0</v>
      </c>
      <c r="N37" s="18">
        <f t="shared" si="9"/>
        <v>0</v>
      </c>
      <c r="O37" s="55">
        <f t="shared" si="10"/>
        <v>0</v>
      </c>
    </row>
    <row r="38" spans="1:22" x14ac:dyDescent="0.45">
      <c r="A38" s="2" t="s">
        <v>146</v>
      </c>
      <c r="C38" s="2">
        <v>0</v>
      </c>
      <c r="D38" s="2"/>
      <c r="E38" s="2" t="s">
        <v>85</v>
      </c>
      <c r="F38" s="22" t="s">
        <v>84</v>
      </c>
      <c r="G38" s="2" t="s">
        <v>111</v>
      </c>
      <c r="H38" s="2" t="s">
        <v>87</v>
      </c>
      <c r="I38" s="2">
        <v>3539</v>
      </c>
      <c r="K38" s="29">
        <v>3.1666666666666599</v>
      </c>
      <c r="M38" s="18"/>
      <c r="N38" s="18"/>
      <c r="O38" s="55">
        <f t="shared" si="10"/>
        <v>0</v>
      </c>
    </row>
    <row r="39" spans="1:22" x14ac:dyDescent="0.45">
      <c r="A39" s="2" t="s">
        <v>146</v>
      </c>
      <c r="C39" s="2">
        <v>0</v>
      </c>
      <c r="D39" s="2"/>
      <c r="E39" s="2" t="s">
        <v>85</v>
      </c>
      <c r="F39" s="22" t="s">
        <v>84</v>
      </c>
      <c r="G39" s="2" t="s">
        <v>111</v>
      </c>
      <c r="H39" s="2" t="s">
        <v>87</v>
      </c>
      <c r="I39" s="2">
        <v>3539</v>
      </c>
      <c r="K39" s="29">
        <v>4.375</v>
      </c>
    </row>
    <row r="41" spans="1:22" x14ac:dyDescent="0.45">
      <c r="J41" t="s">
        <v>273</v>
      </c>
      <c r="K41" s="27">
        <f>AVERAGE(K38:K39)</f>
        <v>3.7708333333333299</v>
      </c>
    </row>
    <row r="42" spans="1:22" x14ac:dyDescent="0.45">
      <c r="T42" s="59" t="s">
        <v>290</v>
      </c>
      <c r="U42" s="59" t="s">
        <v>289</v>
      </c>
      <c r="V42" s="59"/>
    </row>
    <row r="43" spans="1:22" x14ac:dyDescent="0.45">
      <c r="T43" s="60" t="s">
        <v>283</v>
      </c>
      <c r="U43" s="60" t="s">
        <v>282</v>
      </c>
      <c r="V43" s="61" t="s">
        <v>284</v>
      </c>
    </row>
    <row r="44" spans="1:22" x14ac:dyDescent="0.45">
      <c r="T44" s="60">
        <f>X31</f>
        <v>8.1973608182795541</v>
      </c>
      <c r="U44" s="60">
        <f>X19</f>
        <v>7.4434041446648633</v>
      </c>
      <c r="V44" s="62">
        <f>T44-U44</f>
        <v>0.75395667361469076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4101" r:id="rId4">
          <objectPr defaultSize="0" r:id="rId5">
            <anchor moveWithCells="1">
              <from>
                <xdr:col>19</xdr:col>
                <xdr:colOff>114300</xdr:colOff>
                <xdr:row>39</xdr:row>
                <xdr:rowOff>57150</xdr:rowOff>
              </from>
              <to>
                <xdr:col>28</xdr:col>
                <xdr:colOff>238125</xdr:colOff>
                <xdr:row>40</xdr:row>
                <xdr:rowOff>80963</xdr:rowOff>
              </to>
            </anchor>
          </objectPr>
        </oleObject>
      </mc:Choice>
      <mc:Fallback>
        <oleObject progId="Word.Document.12" shapeId="410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workbookViewId="0">
      <selection activeCell="A2" sqref="A2"/>
    </sheetView>
  </sheetViews>
  <sheetFormatPr defaultColWidth="14.3984375" defaultRowHeight="15" customHeight="1" x14ac:dyDescent="0.45"/>
  <cols>
    <col min="1" max="1" width="26.1328125" customWidth="1"/>
    <col min="2" max="36" width="10.73046875" customWidth="1"/>
  </cols>
  <sheetData>
    <row r="1" spans="1:36" ht="14.25" x14ac:dyDescent="0.45">
      <c r="A1" s="5" t="s">
        <v>233</v>
      </c>
      <c r="B1" s="5" t="s">
        <v>234</v>
      </c>
      <c r="C1" s="5" t="s">
        <v>235</v>
      </c>
      <c r="D1" s="5" t="s">
        <v>0</v>
      </c>
      <c r="E1" s="5" t="s">
        <v>18</v>
      </c>
      <c r="F1" s="5" t="s">
        <v>19</v>
      </c>
      <c r="G1" s="5" t="s">
        <v>25</v>
      </c>
      <c r="H1" s="5" t="s">
        <v>27</v>
      </c>
      <c r="I1" s="5" t="s">
        <v>29</v>
      </c>
      <c r="J1" s="5" t="s">
        <v>31</v>
      </c>
      <c r="K1" s="5" t="s">
        <v>33</v>
      </c>
      <c r="L1" s="5" t="s">
        <v>35</v>
      </c>
      <c r="M1" s="5" t="s">
        <v>37</v>
      </c>
      <c r="N1" s="5" t="s">
        <v>39</v>
      </c>
      <c r="O1" s="5" t="s">
        <v>41</v>
      </c>
      <c r="P1" s="5" t="s">
        <v>43</v>
      </c>
      <c r="Q1" s="5" t="s">
        <v>45</v>
      </c>
      <c r="R1" s="5" t="s">
        <v>47</v>
      </c>
      <c r="S1" s="5" t="s">
        <v>49</v>
      </c>
      <c r="T1" s="5" t="s">
        <v>51</v>
      </c>
      <c r="U1" s="5" t="s">
        <v>53</v>
      </c>
      <c r="V1" s="5" t="s">
        <v>55</v>
      </c>
      <c r="W1" s="5" t="s">
        <v>57</v>
      </c>
      <c r="X1" s="5" t="s">
        <v>59</v>
      </c>
      <c r="Y1" s="5" t="s">
        <v>61</v>
      </c>
      <c r="Z1" s="5" t="s">
        <v>63</v>
      </c>
      <c r="AA1" s="5" t="s">
        <v>65</v>
      </c>
      <c r="AB1" s="5" t="s">
        <v>67</v>
      </c>
      <c r="AC1" s="5" t="s">
        <v>69</v>
      </c>
      <c r="AD1" s="5" t="s">
        <v>71</v>
      </c>
      <c r="AE1" s="5" t="s">
        <v>73</v>
      </c>
      <c r="AF1" s="5" t="s">
        <v>75</v>
      </c>
      <c r="AG1" s="5" t="s">
        <v>77</v>
      </c>
      <c r="AH1" s="5" t="s">
        <v>79</v>
      </c>
      <c r="AI1" s="5" t="s">
        <v>236</v>
      </c>
      <c r="AJ1" s="5" t="s">
        <v>237</v>
      </c>
    </row>
    <row r="2" spans="1:36" ht="14.25" x14ac:dyDescent="0.45">
      <c r="A2" s="2" t="s">
        <v>238</v>
      </c>
      <c r="B2" s="2" t="s">
        <v>239</v>
      </c>
      <c r="C2" s="2" t="s">
        <v>239</v>
      </c>
      <c r="D2" s="2" t="s">
        <v>85</v>
      </c>
      <c r="E2" s="2" t="s">
        <v>84</v>
      </c>
      <c r="G2" s="2">
        <v>3.06091215181481E-2</v>
      </c>
      <c r="H2" s="2">
        <v>5.3016553644482399E-2</v>
      </c>
      <c r="I2" s="2">
        <v>143.111111111111</v>
      </c>
      <c r="J2" s="2">
        <v>9.9223839728013097</v>
      </c>
      <c r="K2" s="2">
        <v>5.2485640721018502E-2</v>
      </c>
      <c r="L2" s="2">
        <v>4.5550883866620998E-2</v>
      </c>
      <c r="M2" s="2">
        <v>0.292003605435601</v>
      </c>
      <c r="N2" s="2">
        <v>0.11696493089802699</v>
      </c>
      <c r="O2" s="2">
        <v>1.0707747544989299</v>
      </c>
      <c r="P2" s="2">
        <v>0.72863439112569395</v>
      </c>
      <c r="Q2" s="2">
        <v>0</v>
      </c>
      <c r="R2" s="2">
        <v>0</v>
      </c>
      <c r="S2" s="2">
        <v>0.16550991874583301</v>
      </c>
      <c r="T2" s="2">
        <v>0.28667158842437901</v>
      </c>
      <c r="U2" s="2">
        <v>93.853161220602004</v>
      </c>
      <c r="V2" s="2">
        <v>6.5950930817069002</v>
      </c>
      <c r="W2" s="2">
        <v>5.2689023867752001</v>
      </c>
      <c r="X2" s="2">
        <v>9.1260066340155692</v>
      </c>
      <c r="Y2" s="2">
        <v>59.282655175887598</v>
      </c>
      <c r="Z2" s="2">
        <v>49.698951433090002</v>
      </c>
      <c r="AA2" s="2">
        <v>41.046899547339201</v>
      </c>
      <c r="AB2" s="2">
        <v>52.726302042546003</v>
      </c>
      <c r="AC2" s="2">
        <v>28.283551218623799</v>
      </c>
      <c r="AD2" s="2">
        <v>17.704105680386</v>
      </c>
      <c r="AE2" s="2">
        <v>0</v>
      </c>
      <c r="AF2" s="2">
        <v>0</v>
      </c>
      <c r="AG2" s="2">
        <v>130.13987995790501</v>
      </c>
      <c r="AH2" s="2">
        <v>225.40888417800701</v>
      </c>
      <c r="AI2" s="2">
        <v>98.876739604779999</v>
      </c>
      <c r="AJ2" s="2">
        <v>0.75468451151525195</v>
      </c>
    </row>
    <row r="3" spans="1:36" ht="14.25" x14ac:dyDescent="0.45">
      <c r="A3" s="2" t="s">
        <v>238</v>
      </c>
      <c r="B3" s="2" t="s">
        <v>239</v>
      </c>
      <c r="C3" s="2" t="s">
        <v>240</v>
      </c>
      <c r="D3" s="2" t="s">
        <v>85</v>
      </c>
      <c r="E3" s="2" t="s">
        <v>84</v>
      </c>
      <c r="G3" s="2">
        <v>0.15381321191518499</v>
      </c>
      <c r="H3" s="2">
        <v>4.9316888369847101E-2</v>
      </c>
      <c r="I3" s="2">
        <v>145.222222222222</v>
      </c>
      <c r="J3" s="2">
        <v>11.895117786743199</v>
      </c>
      <c r="K3" s="2">
        <v>9.3332002665925895E-2</v>
      </c>
      <c r="L3" s="2">
        <v>9.9306013707229995E-2</v>
      </c>
      <c r="M3" s="2">
        <v>0.42103893947111098</v>
      </c>
      <c r="N3" s="2">
        <v>2.27783305487212E-2</v>
      </c>
      <c r="O3" s="2">
        <v>1.22399829935888</v>
      </c>
      <c r="P3" s="2">
        <v>0.49803172709441601</v>
      </c>
      <c r="Q3" s="2">
        <v>0</v>
      </c>
      <c r="R3" s="2">
        <v>0</v>
      </c>
      <c r="S3" s="2">
        <v>0.13834522446185099</v>
      </c>
      <c r="T3" s="2">
        <v>7.0059444081850095E-2</v>
      </c>
      <c r="U3" s="2">
        <v>95.410460793760606</v>
      </c>
      <c r="V3" s="2">
        <v>10.4292813306432</v>
      </c>
      <c r="W3" s="2">
        <v>51.408786080212103</v>
      </c>
      <c r="X3" s="2">
        <v>41.826772143498097</v>
      </c>
      <c r="Y3" s="2">
        <v>67.005738321815699</v>
      </c>
      <c r="Z3" s="2">
        <v>41.496899961646399</v>
      </c>
      <c r="AA3" s="2">
        <v>54.467877173787301</v>
      </c>
      <c r="AB3" s="2">
        <v>54.324173205780802</v>
      </c>
      <c r="AC3" s="2">
        <v>39.259156811049401</v>
      </c>
      <c r="AD3" s="2">
        <v>13.303591279633</v>
      </c>
      <c r="AE3" s="2">
        <v>0</v>
      </c>
      <c r="AF3" s="2">
        <v>0</v>
      </c>
      <c r="AG3" s="2">
        <v>80.634544593318793</v>
      </c>
      <c r="AH3" s="2">
        <v>79.462793207565696</v>
      </c>
      <c r="AI3" s="2">
        <v>98.682669697975101</v>
      </c>
      <c r="AJ3" s="2">
        <v>0.45576933127300701</v>
      </c>
    </row>
    <row r="4" spans="1:36" ht="14.25" x14ac:dyDescent="0.45">
      <c r="A4" s="2" t="s">
        <v>238</v>
      </c>
      <c r="B4" s="2" t="s">
        <v>239</v>
      </c>
      <c r="C4" s="2" t="s">
        <v>241</v>
      </c>
      <c r="D4" s="2" t="s">
        <v>85</v>
      </c>
      <c r="E4" s="2" t="s">
        <v>84</v>
      </c>
      <c r="G4" s="2">
        <v>7.9538125345555502E-2</v>
      </c>
      <c r="H4" s="2">
        <v>7.3328150131304795E-2</v>
      </c>
      <c r="I4" s="2">
        <v>133.444444444444</v>
      </c>
      <c r="J4" s="2">
        <v>7.7052170878153197</v>
      </c>
      <c r="K4" s="2">
        <v>0.11092015546037</v>
      </c>
      <c r="L4" s="2">
        <v>9.6062322879931897E-2</v>
      </c>
      <c r="M4" s="2">
        <v>0.50822756227629595</v>
      </c>
      <c r="N4" s="2">
        <v>0.109496139714532</v>
      </c>
      <c r="O4" s="2">
        <v>2.58112676185111</v>
      </c>
      <c r="P4" s="2">
        <v>1.38408092842</v>
      </c>
      <c r="Q4" s="2">
        <v>2.3293733985555499E-2</v>
      </c>
      <c r="R4" s="2">
        <v>4.0345930760976097E-2</v>
      </c>
      <c r="S4" s="2">
        <v>8.1143761738518505E-2</v>
      </c>
      <c r="T4" s="2">
        <v>1.29978643011646E-2</v>
      </c>
      <c r="U4" s="2">
        <v>87.712362523073594</v>
      </c>
      <c r="V4" s="2">
        <v>8.9486999506436806</v>
      </c>
      <c r="W4" s="2">
        <v>15.536940513887901</v>
      </c>
      <c r="X4" s="2">
        <v>13.545505377712299</v>
      </c>
      <c r="Y4" s="2">
        <v>148.36741741457001</v>
      </c>
      <c r="Z4" s="2">
        <v>103.091133363952</v>
      </c>
      <c r="AA4" s="2">
        <v>89.192880017814304</v>
      </c>
      <c r="AB4" s="2">
        <v>117.01915430830699</v>
      </c>
      <c r="AC4" s="2">
        <v>49.390774435752498</v>
      </c>
      <c r="AD4" s="2">
        <v>26.584969849839801</v>
      </c>
      <c r="AE4" s="2">
        <v>0</v>
      </c>
      <c r="AF4" s="2">
        <v>0</v>
      </c>
      <c r="AG4" s="2">
        <v>38.593897264128501</v>
      </c>
      <c r="AH4" s="2">
        <v>13.154390017987501</v>
      </c>
      <c r="AI4" s="2">
        <v>97.307953082688499</v>
      </c>
      <c r="AJ4" s="2">
        <v>1.4795777106061101</v>
      </c>
    </row>
    <row r="5" spans="1:36" ht="14.25" x14ac:dyDescent="0.45">
      <c r="A5" s="2" t="s">
        <v>238</v>
      </c>
      <c r="B5" s="2" t="s">
        <v>239</v>
      </c>
      <c r="C5" s="2" t="s">
        <v>242</v>
      </c>
      <c r="D5" s="2" t="s">
        <v>85</v>
      </c>
      <c r="E5" s="2" t="s">
        <v>84</v>
      </c>
      <c r="G5" s="2">
        <v>0</v>
      </c>
      <c r="H5" s="2">
        <v>0</v>
      </c>
      <c r="I5" s="2">
        <v>123.35185185185099</v>
      </c>
      <c r="J5" s="2">
        <v>4.1755999913865898</v>
      </c>
      <c r="K5" s="2">
        <v>0.17427105937986101</v>
      </c>
      <c r="L5" s="2">
        <v>5.5962681550132801E-2</v>
      </c>
      <c r="M5" s="2">
        <v>3.6549707602499898E-2</v>
      </c>
      <c r="N5" s="2">
        <v>6.3305950569316399E-2</v>
      </c>
      <c r="O5" s="2">
        <v>2.52350599024986</v>
      </c>
      <c r="P5" s="2">
        <v>2.9100886348164101</v>
      </c>
      <c r="Q5" s="2">
        <v>0</v>
      </c>
      <c r="R5" s="2">
        <v>0</v>
      </c>
      <c r="S5" s="2">
        <v>0</v>
      </c>
      <c r="T5" s="2">
        <v>0</v>
      </c>
      <c r="U5" s="2">
        <v>80.872834914673206</v>
      </c>
      <c r="V5" s="2">
        <v>1.9287217383552799</v>
      </c>
      <c r="W5" s="2">
        <v>0</v>
      </c>
      <c r="X5" s="2">
        <v>0</v>
      </c>
      <c r="Y5" s="2">
        <v>93.194479293792895</v>
      </c>
      <c r="Z5" s="2">
        <v>72.026264885314504</v>
      </c>
      <c r="AA5" s="2">
        <v>192.068218589239</v>
      </c>
      <c r="AB5" s="2">
        <v>140.44841271264599</v>
      </c>
      <c r="AC5" s="2">
        <v>2.6042876945128999</v>
      </c>
      <c r="AD5" s="2">
        <v>4.5107586044227697</v>
      </c>
      <c r="AE5" s="2">
        <v>0</v>
      </c>
      <c r="AF5" s="2">
        <v>0</v>
      </c>
      <c r="AG5" s="2">
        <v>0</v>
      </c>
      <c r="AH5" s="2">
        <v>0</v>
      </c>
      <c r="AI5" s="2">
        <v>97.302222950370194</v>
      </c>
      <c r="AJ5" s="2">
        <v>2.9247375530662501</v>
      </c>
    </row>
    <row r="6" spans="1:36" ht="14.25" x14ac:dyDescent="0.45">
      <c r="A6" s="2" t="s">
        <v>238</v>
      </c>
      <c r="B6" s="2" t="s">
        <v>239</v>
      </c>
      <c r="C6" s="2" t="s">
        <v>243</v>
      </c>
      <c r="D6" s="2" t="s">
        <v>85</v>
      </c>
      <c r="E6" s="2" t="s">
        <v>84</v>
      </c>
      <c r="G6" s="2">
        <v>0</v>
      </c>
      <c r="H6" s="2">
        <v>0</v>
      </c>
      <c r="I6" s="2">
        <v>119.712962962962</v>
      </c>
      <c r="J6" s="2">
        <v>5.0117403316878999</v>
      </c>
      <c r="K6" s="2">
        <v>0.34706596075050899</v>
      </c>
      <c r="L6" s="2">
        <v>0.22915512080656</v>
      </c>
      <c r="M6" s="2">
        <v>0</v>
      </c>
      <c r="N6" s="2">
        <v>0</v>
      </c>
      <c r="O6" s="2">
        <v>0.80373309340425902</v>
      </c>
      <c r="P6" s="2">
        <v>0.70157087389648098</v>
      </c>
      <c r="Q6" s="2">
        <v>0</v>
      </c>
      <c r="R6" s="2">
        <v>0</v>
      </c>
      <c r="S6" s="2">
        <v>8.6877024788888896E-2</v>
      </c>
      <c r="T6" s="2">
        <v>0.101342237975386</v>
      </c>
      <c r="U6" s="2">
        <v>78.649178855796194</v>
      </c>
      <c r="V6" s="2">
        <v>6.7606036468011999</v>
      </c>
      <c r="W6" s="2">
        <v>0</v>
      </c>
      <c r="X6" s="2">
        <v>0</v>
      </c>
      <c r="Y6" s="2">
        <v>32.568407796616597</v>
      </c>
      <c r="Z6" s="2">
        <v>15.061279202566499</v>
      </c>
      <c r="AA6" s="2">
        <v>324.37865222793698</v>
      </c>
      <c r="AB6" s="2">
        <v>354.48092868987101</v>
      </c>
      <c r="AC6" s="2">
        <v>0</v>
      </c>
      <c r="AD6" s="2">
        <v>0</v>
      </c>
      <c r="AE6" s="2">
        <v>0</v>
      </c>
      <c r="AF6" s="2">
        <v>0</v>
      </c>
      <c r="AG6" s="2">
        <v>59.2722316837189</v>
      </c>
      <c r="AH6" s="2">
        <v>84.357779159063497</v>
      </c>
      <c r="AI6" s="2">
        <v>98.849200945845197</v>
      </c>
      <c r="AJ6" s="2">
        <v>0.47933502960532598</v>
      </c>
    </row>
    <row r="7" spans="1:36" ht="14.25" x14ac:dyDescent="0.45">
      <c r="A7" s="2" t="s">
        <v>238</v>
      </c>
      <c r="B7" s="2" t="s">
        <v>239</v>
      </c>
      <c r="C7" s="2" t="s">
        <v>244</v>
      </c>
      <c r="D7" s="2" t="s">
        <v>85</v>
      </c>
      <c r="E7" s="2" t="s">
        <v>84</v>
      </c>
      <c r="G7" s="2">
        <v>0</v>
      </c>
      <c r="H7" s="2">
        <v>0</v>
      </c>
      <c r="I7" s="2">
        <v>74.032407407407405</v>
      </c>
      <c r="J7" s="2">
        <v>8.0694364760589306</v>
      </c>
      <c r="K7" s="2">
        <v>0.15256469357037</v>
      </c>
      <c r="L7" s="2">
        <v>0.162720170252214</v>
      </c>
      <c r="M7" s="2">
        <v>0</v>
      </c>
      <c r="N7" s="2">
        <v>0</v>
      </c>
      <c r="O7" s="2">
        <v>4.6733428215425903</v>
      </c>
      <c r="P7" s="2">
        <v>0.81342811828152894</v>
      </c>
      <c r="Q7" s="2">
        <v>4.9382716048148097E-2</v>
      </c>
      <c r="R7" s="2">
        <v>8.5533373211139505E-2</v>
      </c>
      <c r="S7" s="2">
        <v>3.0999747594222198</v>
      </c>
      <c r="T7" s="2">
        <v>1.94836043890475</v>
      </c>
      <c r="U7" s="2">
        <v>48.607455291144902</v>
      </c>
      <c r="V7" s="2">
        <v>5.9448737259723599</v>
      </c>
      <c r="W7" s="2">
        <v>0</v>
      </c>
      <c r="X7" s="2">
        <v>0</v>
      </c>
      <c r="Y7" s="2">
        <v>236.289372903497</v>
      </c>
      <c r="Z7" s="2">
        <v>96.3189617664152</v>
      </c>
      <c r="AA7" s="2">
        <v>155.571798853807</v>
      </c>
      <c r="AB7" s="2">
        <v>238.069975072164</v>
      </c>
      <c r="AC7" s="2">
        <v>0</v>
      </c>
      <c r="AD7" s="2">
        <v>0</v>
      </c>
      <c r="AE7" s="2">
        <v>0</v>
      </c>
      <c r="AF7" s="2">
        <v>0</v>
      </c>
      <c r="AG7" s="2">
        <v>1445.8434932442899</v>
      </c>
      <c r="AH7" s="2">
        <v>759.21545000208198</v>
      </c>
      <c r="AI7" s="2">
        <v>95.174092484886998</v>
      </c>
      <c r="AJ7" s="2">
        <v>0.69064252758328304</v>
      </c>
    </row>
    <row r="8" spans="1:36" ht="14.25" x14ac:dyDescent="0.45">
      <c r="A8" s="2" t="s">
        <v>238</v>
      </c>
      <c r="B8" s="2" t="s">
        <v>239</v>
      </c>
      <c r="C8" s="2" t="s">
        <v>245</v>
      </c>
      <c r="D8" s="2" t="s">
        <v>85</v>
      </c>
      <c r="E8" s="2" t="s">
        <v>84</v>
      </c>
      <c r="G8" s="2">
        <v>3.1387319522962899E-2</v>
      </c>
      <c r="H8" s="2">
        <v>5.4364432127170299E-2</v>
      </c>
      <c r="I8" s="2">
        <v>114.259259259259</v>
      </c>
      <c r="J8" s="2">
        <v>3.0068508881169</v>
      </c>
      <c r="K8" s="2">
        <v>0.37868878862703698</v>
      </c>
      <c r="L8" s="2">
        <v>0.119488026357729</v>
      </c>
      <c r="M8" s="2">
        <v>0</v>
      </c>
      <c r="N8" s="2">
        <v>0</v>
      </c>
      <c r="O8" s="2">
        <v>2.76343980150518</v>
      </c>
      <c r="P8" s="2">
        <v>1.14943157486957</v>
      </c>
      <c r="Q8" s="2">
        <v>0</v>
      </c>
      <c r="R8" s="2">
        <v>0</v>
      </c>
      <c r="S8" s="2">
        <v>0.397157269916111</v>
      </c>
      <c r="T8" s="2">
        <v>0.34930624481480099</v>
      </c>
      <c r="U8" s="2">
        <v>74.9479812086864</v>
      </c>
      <c r="V8" s="2">
        <v>2.9607401369243398</v>
      </c>
      <c r="W8" s="2">
        <v>15.9556261502415</v>
      </c>
      <c r="X8" s="2">
        <v>27.635955158792999</v>
      </c>
      <c r="Y8" s="2">
        <v>126.799905135819</v>
      </c>
      <c r="Z8" s="2">
        <v>16.1921444108673</v>
      </c>
      <c r="AA8" s="2">
        <v>349.96000480612901</v>
      </c>
      <c r="AB8" s="2">
        <v>246.72980574071701</v>
      </c>
      <c r="AC8" s="2">
        <v>0</v>
      </c>
      <c r="AD8" s="2">
        <v>0</v>
      </c>
      <c r="AE8" s="2">
        <v>0</v>
      </c>
      <c r="AF8" s="2">
        <v>0</v>
      </c>
      <c r="AG8" s="2">
        <v>141.12892115044099</v>
      </c>
      <c r="AH8" s="2">
        <v>124.461297164024</v>
      </c>
      <c r="AI8" s="2">
        <v>96.857871409867698</v>
      </c>
      <c r="AJ8" s="2">
        <v>1.0394837704423201</v>
      </c>
    </row>
    <row r="9" spans="1:36" ht="14.25" x14ac:dyDescent="0.45">
      <c r="A9" s="2" t="s">
        <v>238</v>
      </c>
      <c r="B9" s="2" t="s">
        <v>239</v>
      </c>
      <c r="C9" s="2" t="s">
        <v>246</v>
      </c>
      <c r="D9" s="2" t="s">
        <v>85</v>
      </c>
      <c r="E9" s="2" t="s">
        <v>84</v>
      </c>
      <c r="G9" s="2">
        <v>0.29985730263259203</v>
      </c>
      <c r="H9" s="2">
        <v>0.41632447287640201</v>
      </c>
      <c r="I9" s="2">
        <v>115.51851851851799</v>
      </c>
      <c r="J9" s="2">
        <v>4.5192774104667501</v>
      </c>
      <c r="K9" s="2">
        <v>0.10126810892962899</v>
      </c>
      <c r="L9" s="2">
        <v>9.6255023706491999E-2</v>
      </c>
      <c r="M9" s="2">
        <v>0</v>
      </c>
      <c r="N9" s="2">
        <v>0</v>
      </c>
      <c r="O9" s="2">
        <v>1.9595834577424001</v>
      </c>
      <c r="P9" s="2">
        <v>0.28760763650694698</v>
      </c>
      <c r="Q9" s="2">
        <v>2.8710881424073999E-2</v>
      </c>
      <c r="R9" s="2">
        <v>4.97287053565817E-2</v>
      </c>
      <c r="S9" s="2">
        <v>0.89575297980777702</v>
      </c>
      <c r="T9" s="2">
        <v>0.15961017577168901</v>
      </c>
      <c r="U9" s="2">
        <v>75.780287960143497</v>
      </c>
      <c r="V9" s="2">
        <v>3.9313202318759899</v>
      </c>
      <c r="W9" s="2">
        <v>138.492230255896</v>
      </c>
      <c r="X9" s="2">
        <v>221.59284434659301</v>
      </c>
      <c r="Y9" s="2">
        <v>102.85918918436801</v>
      </c>
      <c r="Z9" s="2">
        <v>47.964198477219</v>
      </c>
      <c r="AA9" s="2">
        <v>133.930634684393</v>
      </c>
      <c r="AB9" s="2">
        <v>127.10624225290699</v>
      </c>
      <c r="AC9" s="2">
        <v>0</v>
      </c>
      <c r="AD9" s="2">
        <v>0</v>
      </c>
      <c r="AE9" s="2">
        <v>212.40310077508701</v>
      </c>
      <c r="AF9" s="2">
        <v>300.38334580622802</v>
      </c>
      <c r="AG9" s="2">
        <v>424.29253147797601</v>
      </c>
      <c r="AH9" s="2">
        <v>138.976389555682</v>
      </c>
      <c r="AI9" s="2">
        <v>97.939148433327901</v>
      </c>
      <c r="AJ9" s="2">
        <v>0.19181024913921901</v>
      </c>
    </row>
    <row r="10" spans="1:36" ht="14.25" x14ac:dyDescent="0.45">
      <c r="A10" s="2" t="s">
        <v>238</v>
      </c>
      <c r="B10" s="2" t="s">
        <v>240</v>
      </c>
      <c r="C10" s="2" t="s">
        <v>239</v>
      </c>
      <c r="D10" s="2" t="s">
        <v>85</v>
      </c>
      <c r="E10" s="2" t="s">
        <v>84</v>
      </c>
      <c r="G10" s="2">
        <v>2.7964205816666601E-2</v>
      </c>
      <c r="H10" s="2">
        <v>4.8435425267779698E-2</v>
      </c>
      <c r="I10" s="2">
        <v>144.08465608465599</v>
      </c>
      <c r="J10" s="2">
        <v>20.925550000302199</v>
      </c>
      <c r="K10" s="2">
        <v>0.119075904271203</v>
      </c>
      <c r="L10" s="2">
        <v>0.103302144443223</v>
      </c>
      <c r="M10" s="2">
        <v>0.858939096628201</v>
      </c>
      <c r="N10" s="2">
        <v>0.55092920481079899</v>
      </c>
      <c r="O10" s="2">
        <v>0.88781600450939802</v>
      </c>
      <c r="P10" s="2">
        <v>0.60270720467063199</v>
      </c>
      <c r="Q10" s="2">
        <v>2.9761904762083301E-2</v>
      </c>
      <c r="R10" s="2">
        <v>5.1549131177954399E-2</v>
      </c>
      <c r="S10" s="2">
        <v>0.15468750981579299</v>
      </c>
      <c r="T10" s="2">
        <v>6.1141673586152502E-2</v>
      </c>
      <c r="U10" s="2">
        <v>94.207642973313398</v>
      </c>
      <c r="V10" s="2">
        <v>10.2251730055044</v>
      </c>
      <c r="W10" s="2">
        <v>14.215499137245899</v>
      </c>
      <c r="X10" s="2">
        <v>24.6219667606615</v>
      </c>
      <c r="Y10" s="2">
        <v>51.757895545569703</v>
      </c>
      <c r="Z10" s="2">
        <v>43.735982375326202</v>
      </c>
      <c r="AA10" s="2">
        <v>97.6123678978405</v>
      </c>
      <c r="AB10" s="2">
        <v>129.901282263008</v>
      </c>
      <c r="AC10" s="2">
        <v>69.497527771662106</v>
      </c>
      <c r="AD10" s="2">
        <v>36.508538972835098</v>
      </c>
      <c r="AE10" s="2">
        <v>220.17857142967199</v>
      </c>
      <c r="AF10" s="2">
        <v>311.37952185977502</v>
      </c>
      <c r="AG10" s="2">
        <v>83.996956561188</v>
      </c>
      <c r="AH10" s="2">
        <v>66.653301762497705</v>
      </c>
      <c r="AI10" s="2">
        <v>98.993108091219398</v>
      </c>
      <c r="AJ10" s="2">
        <v>0.68583904414814201</v>
      </c>
    </row>
    <row r="11" spans="1:36" ht="14.25" x14ac:dyDescent="0.45">
      <c r="A11" s="2" t="s">
        <v>238</v>
      </c>
      <c r="B11" s="2" t="s">
        <v>240</v>
      </c>
      <c r="C11" s="2" t="s">
        <v>240</v>
      </c>
      <c r="D11" s="2" t="s">
        <v>85</v>
      </c>
      <c r="E11" s="2" t="s">
        <v>84</v>
      </c>
      <c r="G11" s="2">
        <v>6.3706869262361104E-2</v>
      </c>
      <c r="H11" s="2">
        <v>5.5174959771832399E-2</v>
      </c>
      <c r="I11" s="2">
        <v>140.666666666666</v>
      </c>
      <c r="J11" s="2">
        <v>5.5990140501099299</v>
      </c>
      <c r="K11" s="2">
        <v>0.200422932266481</v>
      </c>
      <c r="L11" s="2">
        <v>0.19807404777579099</v>
      </c>
      <c r="M11" s="2">
        <v>0.39079830263620302</v>
      </c>
      <c r="N11" s="2">
        <v>0.117745433517381</v>
      </c>
      <c r="O11" s="2">
        <v>1.2482391930918499</v>
      </c>
      <c r="P11" s="2">
        <v>1.3190322739582001</v>
      </c>
      <c r="Q11" s="2">
        <v>0</v>
      </c>
      <c r="R11" s="2">
        <v>0</v>
      </c>
      <c r="S11" s="2">
        <v>0.26599718121527699</v>
      </c>
      <c r="T11" s="2">
        <v>8.5393137124021801E-2</v>
      </c>
      <c r="U11" s="2">
        <v>92.2035074600592</v>
      </c>
      <c r="V11" s="2">
        <v>1.61650363859479</v>
      </c>
      <c r="W11" s="2">
        <v>12.850869027241799</v>
      </c>
      <c r="X11" s="2">
        <v>11.5082064661709</v>
      </c>
      <c r="Y11" s="2">
        <v>69.741923416003601</v>
      </c>
      <c r="Z11" s="2">
        <v>90.022991243466507</v>
      </c>
      <c r="AA11" s="2">
        <v>115.77399925898401</v>
      </c>
      <c r="AB11" s="2">
        <v>18.5456225044504</v>
      </c>
      <c r="AC11" s="2">
        <v>35.5653947416709</v>
      </c>
      <c r="AD11" s="2">
        <v>11.8520380819431</v>
      </c>
      <c r="AE11" s="2">
        <v>0</v>
      </c>
      <c r="AF11" s="2">
        <v>0</v>
      </c>
      <c r="AG11" s="2">
        <v>133.87697627091899</v>
      </c>
      <c r="AH11" s="2">
        <v>76.618937233037499</v>
      </c>
      <c r="AI11" s="2">
        <v>98.551337874641604</v>
      </c>
      <c r="AJ11" s="2">
        <v>1.5085943135883999</v>
      </c>
    </row>
    <row r="12" spans="1:36" ht="14.25" x14ac:dyDescent="0.45">
      <c r="A12" s="2" t="s">
        <v>238</v>
      </c>
      <c r="B12" s="2" t="s">
        <v>240</v>
      </c>
      <c r="C12" s="2" t="s">
        <v>241</v>
      </c>
      <c r="D12" s="2" t="s">
        <v>85</v>
      </c>
      <c r="E12" s="2" t="s">
        <v>84</v>
      </c>
      <c r="G12" s="2">
        <v>3.5014005602380903E-2</v>
      </c>
      <c r="H12" s="2">
        <v>6.0646036679825099E-2</v>
      </c>
      <c r="I12" s="2">
        <v>137.153439153439</v>
      </c>
      <c r="J12" s="2">
        <v>7.3580517466241604</v>
      </c>
      <c r="K12" s="2">
        <v>0.22146023276999899</v>
      </c>
      <c r="L12" s="2">
        <v>2.9115872831698999E-2</v>
      </c>
      <c r="M12" s="2">
        <v>0.16362574175719499</v>
      </c>
      <c r="N12" s="2">
        <v>5.5938524474748702E-2</v>
      </c>
      <c r="O12" s="2">
        <v>2.0956662956511098</v>
      </c>
      <c r="P12" s="2">
        <v>2.0351606040724999</v>
      </c>
      <c r="Q12" s="2">
        <v>0</v>
      </c>
      <c r="R12" s="2">
        <v>0</v>
      </c>
      <c r="S12" s="2">
        <v>8.5749836120899398E-2</v>
      </c>
      <c r="T12" s="2">
        <v>7.5810411075484502E-2</v>
      </c>
      <c r="U12" s="2">
        <v>89.854926167660096</v>
      </c>
      <c r="V12" s="2">
        <v>1.0683243268463101</v>
      </c>
      <c r="W12" s="2">
        <v>6.0271372891104997</v>
      </c>
      <c r="X12" s="2">
        <v>10.439308008932301</v>
      </c>
      <c r="Y12" s="2">
        <v>82.337742507833198</v>
      </c>
      <c r="Z12" s="2">
        <v>46.498000192395601</v>
      </c>
      <c r="AA12" s="2">
        <v>215.431755710777</v>
      </c>
      <c r="AB12" s="2">
        <v>138.46767916229101</v>
      </c>
      <c r="AC12" s="2">
        <v>15.425964008962399</v>
      </c>
      <c r="AD12" s="2">
        <v>7.05731531099973</v>
      </c>
      <c r="AE12" s="2">
        <v>0</v>
      </c>
      <c r="AF12" s="2">
        <v>0</v>
      </c>
      <c r="AG12" s="2">
        <v>46.591908358241099</v>
      </c>
      <c r="AH12" s="2">
        <v>44.711366116525198</v>
      </c>
      <c r="AI12" s="2">
        <v>97.682873471578802</v>
      </c>
      <c r="AJ12" s="2">
        <v>2.0619463694117299</v>
      </c>
    </row>
    <row r="13" spans="1:36" ht="14.25" x14ac:dyDescent="0.45">
      <c r="A13" s="2" t="s">
        <v>238</v>
      </c>
      <c r="B13" s="2" t="s">
        <v>240</v>
      </c>
      <c r="C13" s="2" t="s">
        <v>242</v>
      </c>
      <c r="D13" s="2" t="s">
        <v>85</v>
      </c>
      <c r="E13" s="2" t="s">
        <v>84</v>
      </c>
      <c r="G13" s="2">
        <v>5.7870370372222202E-2</v>
      </c>
      <c r="H13" s="2">
        <v>0.100234421737517</v>
      </c>
      <c r="I13" s="2">
        <v>128.013888888888</v>
      </c>
      <c r="J13" s="2">
        <v>13.5991940461077</v>
      </c>
      <c r="K13" s="2">
        <v>0.20931481632499899</v>
      </c>
      <c r="L13" s="2">
        <v>0.15552209660733299</v>
      </c>
      <c r="M13" s="2">
        <v>0</v>
      </c>
      <c r="N13" s="2">
        <v>0</v>
      </c>
      <c r="O13" s="2">
        <v>0.91252889699791595</v>
      </c>
      <c r="P13" s="2">
        <v>0.33594526165065303</v>
      </c>
      <c r="Q13" s="2">
        <v>0</v>
      </c>
      <c r="R13" s="2">
        <v>0</v>
      </c>
      <c r="S13" s="2">
        <v>0</v>
      </c>
      <c r="T13" s="2">
        <v>0</v>
      </c>
      <c r="U13" s="2">
        <v>83.765901104109602</v>
      </c>
      <c r="V13" s="2">
        <v>6.1037114256334997</v>
      </c>
      <c r="W13" s="2">
        <v>9.9615185753365498</v>
      </c>
      <c r="X13" s="2">
        <v>17.253856293024</v>
      </c>
      <c r="Y13" s="2">
        <v>45.420777504805898</v>
      </c>
      <c r="Z13" s="2">
        <v>24.3211962714077</v>
      </c>
      <c r="AA13" s="2">
        <v>143.827055807096</v>
      </c>
      <c r="AB13" s="2">
        <v>65.418169204158204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98.878156286676997</v>
      </c>
      <c r="AJ13" s="2">
        <v>0.42156405535232</v>
      </c>
    </row>
    <row r="14" spans="1:36" ht="14.25" x14ac:dyDescent="0.45">
      <c r="A14" s="2" t="s">
        <v>238</v>
      </c>
      <c r="B14" s="2" t="s">
        <v>240</v>
      </c>
      <c r="C14" s="2" t="s">
        <v>243</v>
      </c>
      <c r="D14" s="2" t="s">
        <v>85</v>
      </c>
      <c r="E14" s="2" t="s">
        <v>84</v>
      </c>
      <c r="G14" s="2">
        <v>0.18314154562036999</v>
      </c>
      <c r="H14" s="2">
        <v>0.20413558215579999</v>
      </c>
      <c r="I14" s="2">
        <v>118.78240740740701</v>
      </c>
      <c r="J14" s="2">
        <v>13.039679570938601</v>
      </c>
      <c r="K14" s="2">
        <v>0.45944327205111102</v>
      </c>
      <c r="L14" s="2">
        <v>0.15007088244883601</v>
      </c>
      <c r="M14" s="2">
        <v>0</v>
      </c>
      <c r="N14" s="2">
        <v>0</v>
      </c>
      <c r="O14" s="2">
        <v>3.5835467764311999</v>
      </c>
      <c r="P14" s="2">
        <v>4.9854065160074503</v>
      </c>
      <c r="Q14" s="2">
        <v>5.3937432578333298E-2</v>
      </c>
      <c r="R14" s="2">
        <v>9.3422373655494106E-2</v>
      </c>
      <c r="S14" s="2">
        <v>0.32268042519592499</v>
      </c>
      <c r="T14" s="2">
        <v>0.47362183140298098</v>
      </c>
      <c r="U14" s="2">
        <v>78.189801850481899</v>
      </c>
      <c r="V14" s="2">
        <v>12.1570155870936</v>
      </c>
      <c r="W14" s="2">
        <v>79.580358104796304</v>
      </c>
      <c r="X14" s="2">
        <v>109.902086438116</v>
      </c>
      <c r="Y14" s="2">
        <v>121.25226973689</v>
      </c>
      <c r="Z14" s="2">
        <v>134.45144175058601</v>
      </c>
      <c r="AA14" s="2">
        <v>501.048482088399</v>
      </c>
      <c r="AB14" s="2">
        <v>371.78101319963099</v>
      </c>
      <c r="AC14" s="2">
        <v>0</v>
      </c>
      <c r="AD14" s="2">
        <v>0</v>
      </c>
      <c r="AE14" s="2">
        <v>0</v>
      </c>
      <c r="AF14" s="2">
        <v>0</v>
      </c>
      <c r="AG14" s="2">
        <v>128.26318438784801</v>
      </c>
      <c r="AH14" s="2">
        <v>158.08800132094501</v>
      </c>
      <c r="AI14" s="2">
        <v>95.957009951517605</v>
      </c>
      <c r="AJ14" s="2">
        <v>5.1110653590366004</v>
      </c>
    </row>
    <row r="15" spans="1:36" ht="14.25" x14ac:dyDescent="0.45">
      <c r="A15" s="2" t="s">
        <v>238</v>
      </c>
      <c r="B15" s="2" t="s">
        <v>240</v>
      </c>
      <c r="C15" s="2" t="s">
        <v>244</v>
      </c>
      <c r="D15" s="2" t="s">
        <v>85</v>
      </c>
      <c r="E15" s="2" t="s">
        <v>84</v>
      </c>
      <c r="G15" s="2">
        <v>6.4977257959259196E-2</v>
      </c>
      <c r="H15" s="2">
        <v>0.112543912121946</v>
      </c>
      <c r="I15" s="2">
        <v>53.245370370370303</v>
      </c>
      <c r="J15" s="2">
        <v>30.294046130668601</v>
      </c>
      <c r="K15" s="2">
        <v>0.166546416548148</v>
      </c>
      <c r="L15" s="2">
        <v>0.288466855279922</v>
      </c>
      <c r="M15" s="2">
        <v>0</v>
      </c>
      <c r="N15" s="2">
        <v>0</v>
      </c>
      <c r="O15" s="2">
        <v>19.631054611832401</v>
      </c>
      <c r="P15" s="2">
        <v>21.929514628151502</v>
      </c>
      <c r="Q15" s="2">
        <v>0</v>
      </c>
      <c r="R15" s="2">
        <v>0</v>
      </c>
      <c r="S15" s="2">
        <v>2.8934659895041599</v>
      </c>
      <c r="T15" s="2">
        <v>0.59027656168800402</v>
      </c>
      <c r="U15" s="2">
        <v>35.349741916062598</v>
      </c>
      <c r="V15" s="2">
        <v>20.544382816803299</v>
      </c>
      <c r="W15" s="2">
        <v>11.1848629613451</v>
      </c>
      <c r="X15" s="2">
        <v>19.372750924745102</v>
      </c>
      <c r="Y15" s="2">
        <v>736.12082212603605</v>
      </c>
      <c r="Z15" s="2">
        <v>544.89127296207903</v>
      </c>
      <c r="AA15" s="2">
        <v>46.129898573060501</v>
      </c>
      <c r="AB15" s="2">
        <v>79.899328076539902</v>
      </c>
      <c r="AC15" s="2">
        <v>0</v>
      </c>
      <c r="AD15" s="2">
        <v>0</v>
      </c>
      <c r="AE15" s="2">
        <v>0</v>
      </c>
      <c r="AF15" s="2">
        <v>0</v>
      </c>
      <c r="AG15" s="2">
        <v>1379.2549064473901</v>
      </c>
      <c r="AH15" s="2">
        <v>497.31857292228801</v>
      </c>
      <c r="AI15" s="2">
        <v>80.202398971619402</v>
      </c>
      <c r="AJ15" s="2">
        <v>21.822303706528601</v>
      </c>
    </row>
    <row r="16" spans="1:36" ht="14.25" x14ac:dyDescent="0.45">
      <c r="A16" s="2" t="s">
        <v>238</v>
      </c>
      <c r="B16" s="2" t="s">
        <v>240</v>
      </c>
      <c r="C16" s="2" t="s">
        <v>245</v>
      </c>
      <c r="D16" s="2" t="s">
        <v>85</v>
      </c>
      <c r="E16" s="2" t="s">
        <v>84</v>
      </c>
      <c r="G16" s="2">
        <v>0</v>
      </c>
      <c r="H16" s="2">
        <v>0</v>
      </c>
      <c r="I16" s="2">
        <v>118.19907407407401</v>
      </c>
      <c r="J16" s="2">
        <v>3.4336842832736201</v>
      </c>
      <c r="K16" s="2">
        <v>0.298591010824166</v>
      </c>
      <c r="L16" s="2">
        <v>0.23985399339154401</v>
      </c>
      <c r="M16" s="2">
        <v>0</v>
      </c>
      <c r="N16" s="2">
        <v>0</v>
      </c>
      <c r="O16" s="2">
        <v>1.1785292537832801</v>
      </c>
      <c r="P16" s="2">
        <v>1.3689075766477601</v>
      </c>
      <c r="Q16" s="2">
        <v>0</v>
      </c>
      <c r="R16" s="2">
        <v>0</v>
      </c>
      <c r="S16" s="2">
        <v>0.44711949462421202</v>
      </c>
      <c r="T16" s="2">
        <v>0.34890412188619901</v>
      </c>
      <c r="U16" s="2">
        <v>77.592109620014398</v>
      </c>
      <c r="V16" s="2">
        <v>4.8990617483128798</v>
      </c>
      <c r="W16" s="2">
        <v>0</v>
      </c>
      <c r="X16" s="2">
        <v>0</v>
      </c>
      <c r="Y16" s="2">
        <v>69.2612679979662</v>
      </c>
      <c r="Z16" s="2">
        <v>91.938515393887698</v>
      </c>
      <c r="AA16" s="2">
        <v>352.50942467383999</v>
      </c>
      <c r="AB16" s="2">
        <v>370.26906671592599</v>
      </c>
      <c r="AC16" s="2">
        <v>0</v>
      </c>
      <c r="AD16" s="2">
        <v>0</v>
      </c>
      <c r="AE16" s="2">
        <v>0</v>
      </c>
      <c r="AF16" s="2">
        <v>0</v>
      </c>
      <c r="AG16" s="2">
        <v>206.11821148701401</v>
      </c>
      <c r="AH16" s="2">
        <v>126.98139598643</v>
      </c>
      <c r="AI16" s="2">
        <v>98.522879735392493</v>
      </c>
      <c r="AJ16" s="2">
        <v>1.21957900609951</v>
      </c>
    </row>
    <row r="17" spans="1:36" ht="14.25" x14ac:dyDescent="0.45">
      <c r="A17" s="2" t="s">
        <v>238</v>
      </c>
      <c r="B17" s="2" t="s">
        <v>240</v>
      </c>
      <c r="C17" s="2" t="s">
        <v>246</v>
      </c>
      <c r="D17" s="2" t="s">
        <v>85</v>
      </c>
      <c r="E17" s="2" t="s">
        <v>84</v>
      </c>
      <c r="G17" s="2">
        <v>3.8986354774074E-2</v>
      </c>
      <c r="H17" s="2">
        <v>6.7526347270601694E-2</v>
      </c>
      <c r="I17" s="2">
        <v>114.74074074073999</v>
      </c>
      <c r="J17" s="2">
        <v>14.616215134430901</v>
      </c>
      <c r="K17" s="2">
        <v>0.43886004230407399</v>
      </c>
      <c r="L17" s="2">
        <v>0.226841912662022</v>
      </c>
      <c r="M17" s="2">
        <v>0</v>
      </c>
      <c r="N17" s="2">
        <v>0</v>
      </c>
      <c r="O17" s="2">
        <v>1.66053108555269</v>
      </c>
      <c r="P17" s="2">
        <v>0.39859058290963401</v>
      </c>
      <c r="Q17" s="2">
        <v>1.3871549452222199E-2</v>
      </c>
      <c r="R17" s="2">
        <v>2.40262284309531E-2</v>
      </c>
      <c r="S17" s="2">
        <v>1.11810625642798</v>
      </c>
      <c r="T17" s="2">
        <v>0.21965001327487499</v>
      </c>
      <c r="U17" s="2">
        <v>75.032428518468606</v>
      </c>
      <c r="V17" s="2">
        <v>6.5616017529086301</v>
      </c>
      <c r="W17" s="2">
        <v>19.818567217271202</v>
      </c>
      <c r="X17" s="2">
        <v>34.3267653535327</v>
      </c>
      <c r="Y17" s="2">
        <v>80.403098612693597</v>
      </c>
      <c r="Z17" s="2">
        <v>21.029441129240499</v>
      </c>
      <c r="AA17" s="2">
        <v>392.24098560746</v>
      </c>
      <c r="AB17" s="2">
        <v>347.66994651741601</v>
      </c>
      <c r="AC17" s="2">
        <v>0</v>
      </c>
      <c r="AD17" s="2">
        <v>0</v>
      </c>
      <c r="AE17" s="2">
        <v>31.8746658948996</v>
      </c>
      <c r="AF17" s="2">
        <v>45.077584804678203</v>
      </c>
      <c r="AG17" s="2">
        <v>570.07020798451003</v>
      </c>
      <c r="AH17" s="2">
        <v>335.65511247276999</v>
      </c>
      <c r="AI17" s="2">
        <v>97.900608872143195</v>
      </c>
      <c r="AJ17" s="2">
        <v>0.19586359161454001</v>
      </c>
    </row>
    <row r="18" spans="1:36" ht="14.25" x14ac:dyDescent="0.45">
      <c r="A18" s="2" t="s">
        <v>238</v>
      </c>
      <c r="B18" s="2" t="s">
        <v>241</v>
      </c>
      <c r="C18" s="2" t="s">
        <v>239</v>
      </c>
      <c r="D18" s="2" t="s">
        <v>85</v>
      </c>
      <c r="E18" s="2" t="s">
        <v>84</v>
      </c>
      <c r="G18" s="2">
        <v>0.10193930648541601</v>
      </c>
      <c r="H18" s="2">
        <v>0.103332894239491</v>
      </c>
      <c r="I18" s="2">
        <v>133.31481481481401</v>
      </c>
      <c r="J18" s="2">
        <v>13.5837972351292</v>
      </c>
      <c r="K18" s="2">
        <v>0.118974465320833</v>
      </c>
      <c r="L18" s="2">
        <v>0.1036258500056</v>
      </c>
      <c r="M18" s="2">
        <v>0.68522446126587899</v>
      </c>
      <c r="N18" s="2">
        <v>0.51985792521526397</v>
      </c>
      <c r="O18" s="2">
        <v>2.1288742989909202</v>
      </c>
      <c r="P18" s="2">
        <v>2.12330270883816</v>
      </c>
      <c r="Q18" s="2">
        <v>5.5803571429166601E-2</v>
      </c>
      <c r="R18" s="2">
        <v>9.6654620959115603E-2</v>
      </c>
      <c r="S18" s="2">
        <v>0.43668634894208302</v>
      </c>
      <c r="T18" s="2">
        <v>0.26815397998697699</v>
      </c>
      <c r="U18" s="2">
        <v>87.274715496372295</v>
      </c>
      <c r="V18" s="2">
        <v>6.1895815522336397</v>
      </c>
      <c r="W18" s="2">
        <v>42.646884313660799</v>
      </c>
      <c r="X18" s="2">
        <v>55.226643455728201</v>
      </c>
      <c r="Y18" s="2">
        <v>121.471672726866</v>
      </c>
      <c r="Z18" s="2">
        <v>146.33365136065601</v>
      </c>
      <c r="AA18" s="2">
        <v>157.47649883299499</v>
      </c>
      <c r="AB18" s="2">
        <v>137.22552451384601</v>
      </c>
      <c r="AC18" s="2">
        <v>59.163038842530398</v>
      </c>
      <c r="AD18" s="2">
        <v>38.145665272030797</v>
      </c>
      <c r="AE18" s="2">
        <v>128.227938859555</v>
      </c>
      <c r="AF18" s="2">
        <v>181.34169021033199</v>
      </c>
      <c r="AG18" s="2">
        <v>183.35233661932699</v>
      </c>
      <c r="AH18" s="2">
        <v>66.511716751975996</v>
      </c>
      <c r="AI18" s="2">
        <v>97.752151235688203</v>
      </c>
      <c r="AJ18" s="2">
        <v>2.0196808744493699</v>
      </c>
    </row>
    <row r="19" spans="1:36" ht="14.25" x14ac:dyDescent="0.45">
      <c r="A19" s="2" t="s">
        <v>238</v>
      </c>
      <c r="B19" s="2" t="s">
        <v>241</v>
      </c>
      <c r="C19" s="2" t="s">
        <v>240</v>
      </c>
      <c r="D19" s="2" t="s">
        <v>85</v>
      </c>
      <c r="E19" s="2" t="s">
        <v>84</v>
      </c>
      <c r="G19" s="2">
        <v>5.74479589078703E-2</v>
      </c>
      <c r="H19" s="2">
        <v>5.0008950347943802E-2</v>
      </c>
      <c r="I19" s="2">
        <v>141.09259259259201</v>
      </c>
      <c r="J19" s="2">
        <v>11.2949576088992</v>
      </c>
      <c r="K19" s="2">
        <v>0.12536370569902699</v>
      </c>
      <c r="L19" s="2">
        <v>3.6636148282453998E-2</v>
      </c>
      <c r="M19" s="2">
        <v>0.44961875806106399</v>
      </c>
      <c r="N19" s="2">
        <v>0.27909341225405798</v>
      </c>
      <c r="O19" s="2">
        <v>0.74025047145412004</v>
      </c>
      <c r="P19" s="2">
        <v>0.38748710696063898</v>
      </c>
      <c r="Q19" s="2">
        <v>0</v>
      </c>
      <c r="R19" s="2">
        <v>0</v>
      </c>
      <c r="S19" s="2">
        <v>5.9023166592592498E-2</v>
      </c>
      <c r="T19" s="2">
        <v>0.102231123361972</v>
      </c>
      <c r="U19" s="2">
        <v>92.494634417978801</v>
      </c>
      <c r="V19" s="2">
        <v>6.8443094258582899</v>
      </c>
      <c r="W19" s="2">
        <v>18.978052723571999</v>
      </c>
      <c r="X19" s="2">
        <v>20.8080834067121</v>
      </c>
      <c r="Y19" s="2">
        <v>41.2105546469814</v>
      </c>
      <c r="Z19" s="2">
        <v>28.826847197174999</v>
      </c>
      <c r="AA19" s="2">
        <v>131.36749313761501</v>
      </c>
      <c r="AB19" s="2">
        <v>97.889098558238302</v>
      </c>
      <c r="AC19" s="2">
        <v>38.221893239324203</v>
      </c>
      <c r="AD19" s="2">
        <v>19.139414049394301</v>
      </c>
      <c r="AE19" s="2">
        <v>0</v>
      </c>
      <c r="AF19" s="2">
        <v>0</v>
      </c>
      <c r="AG19" s="2">
        <v>46.409712924161802</v>
      </c>
      <c r="AH19" s="2">
        <v>80.383980749334199</v>
      </c>
      <c r="AI19" s="2">
        <v>99.134385822846795</v>
      </c>
      <c r="AJ19" s="2">
        <v>0.41953736265936198</v>
      </c>
    </row>
    <row r="20" spans="1:36" ht="14.25" x14ac:dyDescent="0.45">
      <c r="A20" s="2" t="s">
        <v>238</v>
      </c>
      <c r="B20" s="2" t="s">
        <v>241</v>
      </c>
      <c r="C20" s="2" t="s">
        <v>241</v>
      </c>
      <c r="D20" s="2" t="s">
        <v>85</v>
      </c>
      <c r="E20" s="2" t="s">
        <v>84</v>
      </c>
      <c r="G20" s="2">
        <v>0</v>
      </c>
      <c r="H20" s="2">
        <v>0</v>
      </c>
      <c r="I20" s="2">
        <v>133.29761904761901</v>
      </c>
      <c r="J20" s="2">
        <v>5.07599559618785</v>
      </c>
      <c r="K20" s="2">
        <v>7.7362549480052903E-2</v>
      </c>
      <c r="L20" s="2">
        <v>8.3906428331594798E-2</v>
      </c>
      <c r="M20" s="2">
        <v>0.25093295244886898</v>
      </c>
      <c r="N20" s="2">
        <v>0.13180441083657399</v>
      </c>
      <c r="O20" s="2">
        <v>0.44199966924023798</v>
      </c>
      <c r="P20" s="2">
        <v>0.47725693550414899</v>
      </c>
      <c r="Q20" s="2">
        <v>0</v>
      </c>
      <c r="R20" s="2">
        <v>0</v>
      </c>
      <c r="S20" s="2">
        <v>0.159649940779966</v>
      </c>
      <c r="T20" s="2">
        <v>2.88911270571676E-2</v>
      </c>
      <c r="U20" s="2">
        <v>87.444226911216504</v>
      </c>
      <c r="V20" s="2">
        <v>4.4191118925653097</v>
      </c>
      <c r="W20" s="2">
        <v>0</v>
      </c>
      <c r="X20" s="2">
        <v>0</v>
      </c>
      <c r="Y20" s="2">
        <v>25.821878742166799</v>
      </c>
      <c r="Z20" s="2">
        <v>29.380125548533702</v>
      </c>
      <c r="AA20" s="2">
        <v>44.358682296384103</v>
      </c>
      <c r="AB20" s="2">
        <v>43.498771813852699</v>
      </c>
      <c r="AC20" s="2">
        <v>25.129583279877998</v>
      </c>
      <c r="AD20" s="2">
        <v>19.6886812868775</v>
      </c>
      <c r="AE20" s="2">
        <v>0</v>
      </c>
      <c r="AF20" s="2">
        <v>0</v>
      </c>
      <c r="AG20" s="2">
        <v>75.4898015380423</v>
      </c>
      <c r="AH20" s="2">
        <v>24.336859890149</v>
      </c>
      <c r="AI20" s="2">
        <v>99.480637781279697</v>
      </c>
      <c r="AJ20" s="2">
        <v>0.48831785661224802</v>
      </c>
    </row>
    <row r="21" spans="1:36" ht="15.75" customHeight="1" x14ac:dyDescent="0.45">
      <c r="A21" s="2" t="s">
        <v>238</v>
      </c>
      <c r="B21" s="2" t="s">
        <v>241</v>
      </c>
      <c r="C21" s="2" t="s">
        <v>242</v>
      </c>
      <c r="D21" s="2" t="s">
        <v>85</v>
      </c>
      <c r="E21" s="2" t="s">
        <v>84</v>
      </c>
      <c r="G21" s="2">
        <v>0.21545890112037</v>
      </c>
      <c r="H21" s="2">
        <v>0.23509438201139701</v>
      </c>
      <c r="I21" s="2">
        <v>137.62962962962899</v>
      </c>
      <c r="J21" s="2">
        <v>13.504609790612101</v>
      </c>
      <c r="K21" s="2">
        <v>0.16269534466777699</v>
      </c>
      <c r="L21" s="2">
        <v>8.9227429569122593E-2</v>
      </c>
      <c r="M21" s="2">
        <v>2.0807324178148099E-2</v>
      </c>
      <c r="N21" s="2">
        <v>3.6039342646108898E-2</v>
      </c>
      <c r="O21" s="2">
        <v>0.54079279636629596</v>
      </c>
      <c r="P21" s="2">
        <v>0.161680660306635</v>
      </c>
      <c r="Q21" s="2">
        <v>3.03582270796296E-2</v>
      </c>
      <c r="R21" s="2">
        <v>5.2581991729631801E-2</v>
      </c>
      <c r="S21" s="2">
        <v>7.7495942102222201E-2</v>
      </c>
      <c r="T21" s="2">
        <v>7.3285965094197006E-2</v>
      </c>
      <c r="U21" s="2">
        <v>90.114110866494002</v>
      </c>
      <c r="V21" s="2">
        <v>6.60367745235801</v>
      </c>
      <c r="W21" s="2">
        <v>46.225890900546503</v>
      </c>
      <c r="X21" s="2">
        <v>55.419928401777298</v>
      </c>
      <c r="Y21" s="2">
        <v>29.150346373369199</v>
      </c>
      <c r="Z21" s="2">
        <v>15.9802917352979</v>
      </c>
      <c r="AA21" s="2">
        <v>151.99335360680701</v>
      </c>
      <c r="AB21" s="2">
        <v>145.496420800946</v>
      </c>
      <c r="AC21" s="2">
        <v>1.6560707355282001</v>
      </c>
      <c r="AD21" s="2">
        <v>2.8683986548628</v>
      </c>
      <c r="AE21" s="2">
        <v>69.758490113710494</v>
      </c>
      <c r="AF21" s="2">
        <v>98.653402809478806</v>
      </c>
      <c r="AG21" s="2">
        <v>48.5467265199606</v>
      </c>
      <c r="AH21" s="2">
        <v>59.2362181616664</v>
      </c>
      <c r="AI21" s="2">
        <v>99.2965118589659</v>
      </c>
      <c r="AJ21" s="2">
        <v>7.4357089242369501E-2</v>
      </c>
    </row>
    <row r="22" spans="1:36" ht="15.75" customHeight="1" x14ac:dyDescent="0.45">
      <c r="A22" s="2" t="s">
        <v>238</v>
      </c>
      <c r="B22" s="2" t="s">
        <v>241</v>
      </c>
      <c r="C22" s="2" t="s">
        <v>243</v>
      </c>
      <c r="D22" s="2" t="s">
        <v>85</v>
      </c>
      <c r="E22" s="2" t="s">
        <v>84</v>
      </c>
      <c r="G22" s="2">
        <v>0</v>
      </c>
      <c r="H22" s="2">
        <v>0</v>
      </c>
      <c r="I22" s="2">
        <v>123.555555555555</v>
      </c>
      <c r="J22" s="2">
        <v>5.5688729271741604</v>
      </c>
      <c r="K22" s="2">
        <v>0.40022208693740702</v>
      </c>
      <c r="L22" s="2">
        <v>0.188257241689367</v>
      </c>
      <c r="M22" s="2">
        <v>0</v>
      </c>
      <c r="N22" s="2">
        <v>0</v>
      </c>
      <c r="O22" s="2">
        <v>0.73933190868592502</v>
      </c>
      <c r="P22" s="2">
        <v>0.31169768171057999</v>
      </c>
      <c r="Q22" s="2">
        <v>0</v>
      </c>
      <c r="R22" s="2">
        <v>0</v>
      </c>
      <c r="S22" s="2">
        <v>0.14824008231407401</v>
      </c>
      <c r="T22" s="2">
        <v>8.8854722515650894E-2</v>
      </c>
      <c r="U22" s="2">
        <v>81.186217742152493</v>
      </c>
      <c r="V22" s="2">
        <v>7.3489739801628202</v>
      </c>
      <c r="W22" s="2">
        <v>0</v>
      </c>
      <c r="X22" s="2">
        <v>0</v>
      </c>
      <c r="Y22" s="2">
        <v>39.916643351317099</v>
      </c>
      <c r="Z22" s="2">
        <v>27.2658734970124</v>
      </c>
      <c r="AA22" s="2">
        <v>366.69835061344099</v>
      </c>
      <c r="AB22" s="2">
        <v>314.13289518354998</v>
      </c>
      <c r="AC22" s="2">
        <v>0</v>
      </c>
      <c r="AD22" s="2">
        <v>0</v>
      </c>
      <c r="AE22" s="2">
        <v>0</v>
      </c>
      <c r="AF22" s="2">
        <v>0</v>
      </c>
      <c r="AG22" s="2">
        <v>65.7687911763567</v>
      </c>
      <c r="AH22" s="2">
        <v>26.984969210567499</v>
      </c>
      <c r="AI22" s="2">
        <v>98.860446004376598</v>
      </c>
      <c r="AJ22" s="2">
        <v>0.40930907083088902</v>
      </c>
    </row>
    <row r="23" spans="1:36" ht="15.75" customHeight="1" x14ac:dyDescent="0.45">
      <c r="A23" s="2" t="s">
        <v>238</v>
      </c>
      <c r="B23" s="2" t="s">
        <v>241</v>
      </c>
      <c r="C23" s="2" t="s">
        <v>244</v>
      </c>
      <c r="D23" s="2" t="s">
        <v>85</v>
      </c>
      <c r="E23" s="2" t="s">
        <v>84</v>
      </c>
      <c r="G23" s="2">
        <v>0.102762540574074</v>
      </c>
      <c r="H23" s="2">
        <v>8.9759939225178498E-2</v>
      </c>
      <c r="I23" s="2">
        <v>72.925925925925895</v>
      </c>
      <c r="J23" s="2">
        <v>5.8976175701816098</v>
      </c>
      <c r="K23" s="2">
        <v>0.15938951104074001</v>
      </c>
      <c r="L23" s="2">
        <v>0.142924830076854</v>
      </c>
      <c r="M23" s="2">
        <v>0</v>
      </c>
      <c r="N23" s="2">
        <v>0</v>
      </c>
      <c r="O23" s="2">
        <v>4.0471004184518504</v>
      </c>
      <c r="P23" s="2">
        <v>1.66663902302397</v>
      </c>
      <c r="Q23" s="2">
        <v>0</v>
      </c>
      <c r="R23" s="2">
        <v>0</v>
      </c>
      <c r="S23" s="2">
        <v>2.0557347812296198</v>
      </c>
      <c r="T23" s="2">
        <v>0.70956749734652902</v>
      </c>
      <c r="U23" s="2">
        <v>47.969562200806401</v>
      </c>
      <c r="V23" s="2">
        <v>6.0593966732377602</v>
      </c>
      <c r="W23" s="2">
        <v>20.939567889270101</v>
      </c>
      <c r="X23" s="2">
        <v>19.398535703758199</v>
      </c>
      <c r="Y23" s="2">
        <v>222.09058732531699</v>
      </c>
      <c r="Z23" s="2">
        <v>148.45454267665301</v>
      </c>
      <c r="AA23" s="2">
        <v>210.85481781417101</v>
      </c>
      <c r="AB23" s="2">
        <v>188.87292896883599</v>
      </c>
      <c r="AC23" s="2">
        <v>0</v>
      </c>
      <c r="AD23" s="2">
        <v>0</v>
      </c>
      <c r="AE23" s="2">
        <v>0</v>
      </c>
      <c r="AF23" s="2">
        <v>0</v>
      </c>
      <c r="AG23" s="2">
        <v>1020.2860180402</v>
      </c>
      <c r="AH23" s="2">
        <v>549.53417000244394</v>
      </c>
      <c r="AI23" s="2">
        <v>95.793510070507395</v>
      </c>
      <c r="AJ23" s="2">
        <v>1.5237654084525201</v>
      </c>
    </row>
    <row r="24" spans="1:36" ht="15.75" customHeight="1" x14ac:dyDescent="0.45">
      <c r="A24" s="2" t="s">
        <v>238</v>
      </c>
      <c r="B24" s="2" t="s">
        <v>241</v>
      </c>
      <c r="C24" s="2" t="s">
        <v>245</v>
      </c>
      <c r="D24" s="2" t="s">
        <v>85</v>
      </c>
      <c r="E24" s="2" t="s">
        <v>84</v>
      </c>
      <c r="G24" s="2">
        <v>0</v>
      </c>
      <c r="H24" s="2">
        <v>0</v>
      </c>
      <c r="I24" s="2">
        <v>116.222222222222</v>
      </c>
      <c r="J24" s="2">
        <v>6.9282032302754999</v>
      </c>
      <c r="K24" s="2">
        <v>0.36974932363037</v>
      </c>
      <c r="L24" s="2">
        <v>8.4686050569076105E-2</v>
      </c>
      <c r="M24" s="2">
        <v>0</v>
      </c>
      <c r="N24" s="2">
        <v>0</v>
      </c>
      <c r="O24" s="2">
        <v>1.08913460989185</v>
      </c>
      <c r="P24" s="2">
        <v>0.15324945432623799</v>
      </c>
      <c r="Q24" s="2">
        <v>0</v>
      </c>
      <c r="R24" s="2">
        <v>0</v>
      </c>
      <c r="S24" s="2">
        <v>0.45562903523814802</v>
      </c>
      <c r="T24" s="2">
        <v>0.19968671133177601</v>
      </c>
      <c r="U24" s="2">
        <v>76.159674432841101</v>
      </c>
      <c r="V24" s="2">
        <v>2.8168875641074398</v>
      </c>
      <c r="W24" s="2">
        <v>0</v>
      </c>
      <c r="X24" s="2">
        <v>0</v>
      </c>
      <c r="Y24" s="2">
        <v>57.430985903266702</v>
      </c>
      <c r="Z24" s="2">
        <v>26.534983856733898</v>
      </c>
      <c r="AA24" s="2">
        <v>332.36149199088101</v>
      </c>
      <c r="AB24" s="2">
        <v>190.815010037663</v>
      </c>
      <c r="AC24" s="2">
        <v>0</v>
      </c>
      <c r="AD24" s="2">
        <v>0</v>
      </c>
      <c r="AE24" s="2">
        <v>0</v>
      </c>
      <c r="AF24" s="2">
        <v>0</v>
      </c>
      <c r="AG24" s="2">
        <v>205.47260918821499</v>
      </c>
      <c r="AH24" s="2">
        <v>61.1171963982029</v>
      </c>
      <c r="AI24" s="2">
        <v>98.541116066477699</v>
      </c>
      <c r="AJ24" s="2">
        <v>0.17410442699325801</v>
      </c>
    </row>
    <row r="25" spans="1:36" ht="15.75" customHeight="1" x14ac:dyDescent="0.45">
      <c r="A25" s="2" t="s">
        <v>238</v>
      </c>
      <c r="B25" s="2" t="s">
        <v>241</v>
      </c>
      <c r="C25" s="2" t="s">
        <v>246</v>
      </c>
      <c r="D25" s="2" t="s">
        <v>85</v>
      </c>
      <c r="E25" s="2" t="s">
        <v>84</v>
      </c>
      <c r="G25" s="2">
        <v>3.0864197530740701E-2</v>
      </c>
      <c r="H25" s="2">
        <v>5.3458358258084801E-2</v>
      </c>
      <c r="I25" s="2">
        <v>109.85185185185099</v>
      </c>
      <c r="J25" s="2">
        <v>6.9320630365271798</v>
      </c>
      <c r="K25" s="2">
        <v>0.19271892788148101</v>
      </c>
      <c r="L25" s="2">
        <v>0.22846210009420501</v>
      </c>
      <c r="M25" s="2">
        <v>0</v>
      </c>
      <c r="N25" s="2">
        <v>0</v>
      </c>
      <c r="O25" s="2">
        <v>1.0091873147292501</v>
      </c>
      <c r="P25" s="2">
        <v>0.33643458999339299</v>
      </c>
      <c r="Q25" s="2">
        <v>0</v>
      </c>
      <c r="R25" s="2">
        <v>0</v>
      </c>
      <c r="S25" s="2">
        <v>0.68907258936148097</v>
      </c>
      <c r="T25" s="2">
        <v>0.41107562702551198</v>
      </c>
      <c r="U25" s="2">
        <v>72.031316855610697</v>
      </c>
      <c r="V25" s="2">
        <v>4.4056798860406499</v>
      </c>
      <c r="W25" s="2">
        <v>7.1276912541909097</v>
      </c>
      <c r="X25" s="2">
        <v>12.345523392923001</v>
      </c>
      <c r="Y25" s="2">
        <v>55.487661060792199</v>
      </c>
      <c r="Z25" s="2">
        <v>32.974707566230201</v>
      </c>
      <c r="AA25" s="2">
        <v>255.393862898386</v>
      </c>
      <c r="AB25" s="2">
        <v>303.22967855295002</v>
      </c>
      <c r="AC25" s="2">
        <v>0</v>
      </c>
      <c r="AD25" s="2">
        <v>0</v>
      </c>
      <c r="AE25" s="2">
        <v>0</v>
      </c>
      <c r="AF25" s="2">
        <v>0</v>
      </c>
      <c r="AG25" s="2">
        <v>291.74435453357398</v>
      </c>
      <c r="AH25" s="2">
        <v>101.191812323844</v>
      </c>
      <c r="AI25" s="2">
        <v>98.798093757389196</v>
      </c>
      <c r="AJ25" s="2">
        <v>0.37934143383888702</v>
      </c>
    </row>
    <row r="26" spans="1:36" ht="15.75" customHeight="1" x14ac:dyDescent="0.45">
      <c r="A26" s="2" t="s">
        <v>238</v>
      </c>
      <c r="B26" s="2" t="s">
        <v>242</v>
      </c>
      <c r="C26" s="2" t="s">
        <v>239</v>
      </c>
      <c r="D26" s="2" t="s">
        <v>85</v>
      </c>
      <c r="E26" s="2" t="s">
        <v>84</v>
      </c>
      <c r="G26" s="2">
        <v>2.8710881424073999E-2</v>
      </c>
      <c r="H26" s="2">
        <v>4.97287053565817E-2</v>
      </c>
      <c r="I26" s="2">
        <v>136.54100529100501</v>
      </c>
      <c r="J26" s="2">
        <v>8.5642462682327292</v>
      </c>
      <c r="K26" s="2">
        <v>6.5432474814232797E-2</v>
      </c>
      <c r="L26" s="2">
        <v>5.8677155991070602E-2</v>
      </c>
      <c r="M26" s="2">
        <v>0.63406011749868996</v>
      </c>
      <c r="N26" s="2">
        <v>0.32134078238066499</v>
      </c>
      <c r="O26" s="2">
        <v>0.94893612574336605</v>
      </c>
      <c r="P26" s="2">
        <v>0.63454214109173801</v>
      </c>
      <c r="Q26" s="2">
        <v>0</v>
      </c>
      <c r="R26" s="2">
        <v>0</v>
      </c>
      <c r="S26" s="2">
        <v>0.11578330893237999</v>
      </c>
      <c r="T26" s="2">
        <v>0.12922096815935599</v>
      </c>
      <c r="U26" s="2">
        <v>89.5645833949212</v>
      </c>
      <c r="V26" s="2">
        <v>6.1506436561082296</v>
      </c>
      <c r="W26" s="2">
        <v>4.9421487503988901</v>
      </c>
      <c r="X26" s="2">
        <v>8.5600527342539205</v>
      </c>
      <c r="Y26" s="2">
        <v>55.8623207357656</v>
      </c>
      <c r="Z26" s="2">
        <v>45.193130235764301</v>
      </c>
      <c r="AA26" s="2">
        <v>57.797468998619799</v>
      </c>
      <c r="AB26" s="2">
        <v>81.036111761451494</v>
      </c>
      <c r="AC26" s="2">
        <v>58.548840516992897</v>
      </c>
      <c r="AD26" s="2">
        <v>31.1409613098741</v>
      </c>
      <c r="AE26" s="2">
        <v>0</v>
      </c>
      <c r="AF26" s="2">
        <v>0</v>
      </c>
      <c r="AG26" s="2">
        <v>54.622571446431998</v>
      </c>
      <c r="AH26" s="2">
        <v>48.241980710174197</v>
      </c>
      <c r="AI26" s="2">
        <v>98.985631399442298</v>
      </c>
      <c r="AJ26" s="2">
        <v>0.68088551503319095</v>
      </c>
    </row>
    <row r="27" spans="1:36" ht="15.75" customHeight="1" x14ac:dyDescent="0.45">
      <c r="A27" s="2" t="s">
        <v>238</v>
      </c>
      <c r="B27" s="2" t="s">
        <v>242</v>
      </c>
      <c r="C27" s="2" t="s">
        <v>240</v>
      </c>
      <c r="D27" s="2" t="s">
        <v>85</v>
      </c>
      <c r="E27" s="2" t="s">
        <v>84</v>
      </c>
      <c r="G27" s="2">
        <v>0.103178698378009</v>
      </c>
      <c r="H27" s="2">
        <v>0.10522112513163701</v>
      </c>
      <c r="I27" s="2">
        <v>125.587962962962</v>
      </c>
      <c r="J27" s="2">
        <v>4.0955112560654996</v>
      </c>
      <c r="K27" s="2">
        <v>0.124124068271712</v>
      </c>
      <c r="L27" s="2">
        <v>6.7528242161619303E-2</v>
      </c>
      <c r="M27" s="2">
        <v>0.81674765062370303</v>
      </c>
      <c r="N27" s="2">
        <v>0.379566888695197</v>
      </c>
      <c r="O27" s="2">
        <v>0.73292236824120305</v>
      </c>
      <c r="P27" s="2">
        <v>0.66487806431129803</v>
      </c>
      <c r="Q27" s="2">
        <v>0</v>
      </c>
      <c r="R27" s="2">
        <v>0</v>
      </c>
      <c r="S27" s="2">
        <v>0.196479276471064</v>
      </c>
      <c r="T27" s="2">
        <v>0.204554100422152</v>
      </c>
      <c r="U27" s="2">
        <v>82.404808157811004</v>
      </c>
      <c r="V27" s="2">
        <v>4.4723607007768296</v>
      </c>
      <c r="W27" s="2">
        <v>28.878764981422702</v>
      </c>
      <c r="X27" s="2">
        <v>26.001585874963599</v>
      </c>
      <c r="Y27" s="2">
        <v>42.787477238925597</v>
      </c>
      <c r="Z27" s="2">
        <v>46.151206933292897</v>
      </c>
      <c r="AA27" s="2">
        <v>136.508486598692</v>
      </c>
      <c r="AB27" s="2">
        <v>123.70931827509</v>
      </c>
      <c r="AC27" s="2">
        <v>74.469730731889598</v>
      </c>
      <c r="AD27" s="2">
        <v>32.3976440845166</v>
      </c>
      <c r="AE27" s="2">
        <v>0</v>
      </c>
      <c r="AF27" s="2">
        <v>0</v>
      </c>
      <c r="AG27" s="2">
        <v>69.992909715354799</v>
      </c>
      <c r="AH27" s="2">
        <v>73.309553823747805</v>
      </c>
      <c r="AI27" s="2">
        <v>99.142953563486998</v>
      </c>
      <c r="AJ27" s="2">
        <v>0.63436421764587503</v>
      </c>
    </row>
    <row r="28" spans="1:36" ht="15.75" customHeight="1" x14ac:dyDescent="0.45">
      <c r="A28" s="2" t="s">
        <v>238</v>
      </c>
      <c r="B28" s="2" t="s">
        <v>242</v>
      </c>
      <c r="C28" s="2" t="s">
        <v>241</v>
      </c>
      <c r="D28" s="2" t="s">
        <v>85</v>
      </c>
      <c r="E28" s="2" t="s">
        <v>84</v>
      </c>
      <c r="G28" s="2">
        <v>0</v>
      </c>
      <c r="H28" s="2">
        <v>0</v>
      </c>
      <c r="I28" s="2">
        <v>135.14814814814801</v>
      </c>
      <c r="J28" s="2">
        <v>2.96550816608615</v>
      </c>
      <c r="K28" s="2">
        <v>0.16413333328365701</v>
      </c>
      <c r="L28" s="2">
        <v>8.1048202142643494E-2</v>
      </c>
      <c r="M28" s="2">
        <v>0.207939789114398</v>
      </c>
      <c r="N28" s="2">
        <v>0.14618448666317399</v>
      </c>
      <c r="O28" s="2">
        <v>3.0985689927352298</v>
      </c>
      <c r="P28" s="2">
        <v>1.9727995985262099</v>
      </c>
      <c r="Q28" s="2">
        <v>0</v>
      </c>
      <c r="R28" s="2">
        <v>0</v>
      </c>
      <c r="S28" s="2">
        <v>0.152284606308148</v>
      </c>
      <c r="T28" s="2">
        <v>0.15330698270208701</v>
      </c>
      <c r="U28" s="2">
        <v>88.640616421642093</v>
      </c>
      <c r="V28" s="2">
        <v>2.8741223391433799</v>
      </c>
      <c r="W28" s="2">
        <v>0</v>
      </c>
      <c r="X28" s="2">
        <v>0</v>
      </c>
      <c r="Y28" s="2">
        <v>141.965052474175</v>
      </c>
      <c r="Z28" s="2">
        <v>95.760696923229702</v>
      </c>
      <c r="AA28" s="2">
        <v>154.549144100745</v>
      </c>
      <c r="AB28" s="2">
        <v>139.124374684831</v>
      </c>
      <c r="AC28" s="2">
        <v>17.303112166270001</v>
      </c>
      <c r="AD28" s="2">
        <v>10.3337718259216</v>
      </c>
      <c r="AE28" s="2">
        <v>0</v>
      </c>
      <c r="AF28" s="2">
        <v>0</v>
      </c>
      <c r="AG28" s="2">
        <v>97.982812121886298</v>
      </c>
      <c r="AH28" s="2">
        <v>126.709088279995</v>
      </c>
      <c r="AI28" s="2">
        <v>96.737297673981104</v>
      </c>
      <c r="AJ28" s="2">
        <v>1.9681810937283799</v>
      </c>
    </row>
    <row r="29" spans="1:36" ht="15.75" customHeight="1" x14ac:dyDescent="0.45">
      <c r="A29" s="2" t="s">
        <v>238</v>
      </c>
      <c r="B29" s="2" t="s">
        <v>242</v>
      </c>
      <c r="C29" s="2" t="s">
        <v>242</v>
      </c>
      <c r="D29" s="2" t="s">
        <v>85</v>
      </c>
      <c r="E29" s="2" t="s">
        <v>84</v>
      </c>
      <c r="G29" s="2">
        <v>6.64767331433333E-2</v>
      </c>
      <c r="H29" s="2">
        <v>5.80094573735307E-2</v>
      </c>
      <c r="I29" s="2">
        <v>125.444444444444</v>
      </c>
      <c r="J29" s="2">
        <v>1.45296631451174</v>
      </c>
      <c r="K29" s="2">
        <v>0.17439249684185101</v>
      </c>
      <c r="L29" s="2">
        <v>9.2761293313246201E-2</v>
      </c>
      <c r="M29" s="2">
        <v>0</v>
      </c>
      <c r="N29" s="2">
        <v>0</v>
      </c>
      <c r="O29" s="2">
        <v>3.7584527354074</v>
      </c>
      <c r="P29" s="2">
        <v>1.81851793294064</v>
      </c>
      <c r="Q29" s="2">
        <v>0</v>
      </c>
      <c r="R29" s="2">
        <v>0</v>
      </c>
      <c r="S29" s="2">
        <v>4.3066322137036997E-2</v>
      </c>
      <c r="T29" s="2">
        <v>7.4593058036476395E-2</v>
      </c>
      <c r="U29" s="2">
        <v>82.324369604191702</v>
      </c>
      <c r="V29" s="2">
        <v>4.1268394623445301</v>
      </c>
      <c r="W29" s="2">
        <v>21.8198643245935</v>
      </c>
      <c r="X29" s="2">
        <v>23.7212015433999</v>
      </c>
      <c r="Y29" s="2">
        <v>172.612731283843</v>
      </c>
      <c r="Z29" s="2">
        <v>56.335778852665797</v>
      </c>
      <c r="AA29" s="2">
        <v>137.90328859049399</v>
      </c>
      <c r="AB29" s="2">
        <v>84.186114275351798</v>
      </c>
      <c r="AC29" s="2">
        <v>0</v>
      </c>
      <c r="AD29" s="2">
        <v>0</v>
      </c>
      <c r="AE29" s="2">
        <v>0</v>
      </c>
      <c r="AF29" s="2">
        <v>0</v>
      </c>
      <c r="AG29" s="2">
        <v>15.4248488870803</v>
      </c>
      <c r="AH29" s="2">
        <v>26.7166219714954</v>
      </c>
      <c r="AI29" s="2">
        <v>96.067154767750694</v>
      </c>
      <c r="AJ29" s="2">
        <v>1.8639245491776699</v>
      </c>
    </row>
    <row r="30" spans="1:36" ht="15.75" customHeight="1" x14ac:dyDescent="0.45">
      <c r="A30" s="2" t="s">
        <v>238</v>
      </c>
      <c r="B30" s="2" t="s">
        <v>242</v>
      </c>
      <c r="C30" s="2" t="s">
        <v>243</v>
      </c>
      <c r="D30" s="2" t="s">
        <v>85</v>
      </c>
      <c r="E30" s="2" t="s">
        <v>84</v>
      </c>
      <c r="G30" s="2">
        <v>0</v>
      </c>
      <c r="H30" s="2">
        <v>0</v>
      </c>
      <c r="I30" s="2">
        <v>126.666666666666</v>
      </c>
      <c r="J30" s="2">
        <v>12.055427546683299</v>
      </c>
      <c r="K30" s="2">
        <v>0.22741675174342499</v>
      </c>
      <c r="L30" s="2">
        <v>0.19703510582207201</v>
      </c>
      <c r="M30" s="2">
        <v>0</v>
      </c>
      <c r="N30" s="2">
        <v>0</v>
      </c>
      <c r="O30" s="2">
        <v>1.97861673921259</v>
      </c>
      <c r="P30" s="2">
        <v>2.2574910846124299</v>
      </c>
      <c r="Q30" s="2">
        <v>0</v>
      </c>
      <c r="R30" s="2">
        <v>0</v>
      </c>
      <c r="S30" s="2">
        <v>0.18621973929166599</v>
      </c>
      <c r="T30" s="2">
        <v>0.32254204982539603</v>
      </c>
      <c r="U30" s="2">
        <v>83.347930832094704</v>
      </c>
      <c r="V30" s="2">
        <v>11.595247824800699</v>
      </c>
      <c r="W30" s="2">
        <v>0</v>
      </c>
      <c r="X30" s="2">
        <v>0</v>
      </c>
      <c r="Y30" s="2">
        <v>118.753930490912</v>
      </c>
      <c r="Z30" s="2">
        <v>150.448764806616</v>
      </c>
      <c r="AA30" s="2">
        <v>300.97834080478998</v>
      </c>
      <c r="AB30" s="2">
        <v>260.80554395000303</v>
      </c>
      <c r="AC30" s="2">
        <v>0</v>
      </c>
      <c r="AD30" s="2">
        <v>0</v>
      </c>
      <c r="AE30" s="2">
        <v>0</v>
      </c>
      <c r="AF30" s="2">
        <v>0</v>
      </c>
      <c r="AG30" s="2">
        <v>66.697391275378607</v>
      </c>
      <c r="AH30" s="2">
        <v>115.523270421257</v>
      </c>
      <c r="AI30" s="2">
        <v>97.793966509043898</v>
      </c>
      <c r="AJ30" s="2">
        <v>2.0613833332480702</v>
      </c>
    </row>
    <row r="31" spans="1:36" ht="15.75" customHeight="1" x14ac:dyDescent="0.45">
      <c r="A31" s="2" t="s">
        <v>238</v>
      </c>
      <c r="B31" s="2" t="s">
        <v>242</v>
      </c>
      <c r="C31" s="2" t="s">
        <v>244</v>
      </c>
      <c r="D31" s="2" t="s">
        <v>85</v>
      </c>
      <c r="E31" s="2" t="s">
        <v>84</v>
      </c>
      <c r="G31" s="2">
        <v>0</v>
      </c>
      <c r="H31" s="2">
        <v>0</v>
      </c>
      <c r="I31" s="2">
        <v>64.778439153439095</v>
      </c>
      <c r="J31" s="2">
        <v>5.4054321009161601</v>
      </c>
      <c r="K31" s="2">
        <v>8.0128205129166602E-2</v>
      </c>
      <c r="L31" s="2">
        <v>0.13878612240301699</v>
      </c>
      <c r="M31" s="2">
        <v>0</v>
      </c>
      <c r="N31" s="2">
        <v>0</v>
      </c>
      <c r="O31" s="2">
        <v>3.9106448788794301</v>
      </c>
      <c r="P31" s="2">
        <v>2.4529171854621898</v>
      </c>
      <c r="Q31" s="2">
        <v>0</v>
      </c>
      <c r="R31" s="2">
        <v>0</v>
      </c>
      <c r="S31" s="2">
        <v>1.5423536135870299</v>
      </c>
      <c r="T31" s="2">
        <v>0.42722840600807199</v>
      </c>
      <c r="U31" s="2">
        <v>42.412629883244101</v>
      </c>
      <c r="V31" s="2">
        <v>1.9807547811809401</v>
      </c>
      <c r="W31" s="2">
        <v>0</v>
      </c>
      <c r="X31" s="2">
        <v>0</v>
      </c>
      <c r="Y31" s="2">
        <v>168.89838762019099</v>
      </c>
      <c r="Z31" s="2">
        <v>26.971492785628602</v>
      </c>
      <c r="AA31" s="2">
        <v>105.774314234754</v>
      </c>
      <c r="AB31" s="2">
        <v>183.20648639034999</v>
      </c>
      <c r="AC31" s="2">
        <v>0</v>
      </c>
      <c r="AD31" s="2">
        <v>0</v>
      </c>
      <c r="AE31" s="2">
        <v>0</v>
      </c>
      <c r="AF31" s="2">
        <v>0</v>
      </c>
      <c r="AG31" s="2">
        <v>723.28191651067004</v>
      </c>
      <c r="AH31" s="2">
        <v>235.32926929424201</v>
      </c>
      <c r="AI31" s="2">
        <v>96.009226915991306</v>
      </c>
      <c r="AJ31" s="2">
        <v>2.5913417425188099</v>
      </c>
    </row>
    <row r="32" spans="1:36" ht="15.75" customHeight="1" x14ac:dyDescent="0.45">
      <c r="A32" s="2" t="s">
        <v>238</v>
      </c>
      <c r="B32" s="2" t="s">
        <v>242</v>
      </c>
      <c r="C32" s="2" t="s">
        <v>245</v>
      </c>
      <c r="D32" s="2" t="s">
        <v>85</v>
      </c>
      <c r="E32" s="2" t="s">
        <v>84</v>
      </c>
      <c r="G32" s="2">
        <v>0</v>
      </c>
      <c r="H32" s="2">
        <v>0</v>
      </c>
      <c r="I32" s="2">
        <v>115.481481481481</v>
      </c>
      <c r="J32" s="2">
        <v>9.4211040566425694</v>
      </c>
      <c r="K32" s="2">
        <v>0.166273966389999</v>
      </c>
      <c r="L32" s="2">
        <v>0.15625740988443099</v>
      </c>
      <c r="M32" s="2">
        <v>0</v>
      </c>
      <c r="N32" s="2">
        <v>0</v>
      </c>
      <c r="O32" s="2">
        <v>1.13344019870555</v>
      </c>
      <c r="P32" s="2">
        <v>0.77016703822367705</v>
      </c>
      <c r="Q32" s="2">
        <v>0</v>
      </c>
      <c r="R32" s="2">
        <v>0</v>
      </c>
      <c r="S32" s="2">
        <v>0.31562326525777701</v>
      </c>
      <c r="T32" s="2">
        <v>0.197067546263267</v>
      </c>
      <c r="U32" s="2">
        <v>75.691875509249698</v>
      </c>
      <c r="V32" s="2">
        <v>5.3787940907584604</v>
      </c>
      <c r="W32" s="2">
        <v>0</v>
      </c>
      <c r="X32" s="2">
        <v>0</v>
      </c>
      <c r="Y32" s="2">
        <v>48.240956256036299</v>
      </c>
      <c r="Z32" s="2">
        <v>12.048193365568</v>
      </c>
      <c r="AA32" s="2">
        <v>219.913115169961</v>
      </c>
      <c r="AB32" s="2">
        <v>206.36173705170199</v>
      </c>
      <c r="AC32" s="2">
        <v>0</v>
      </c>
      <c r="AD32" s="2">
        <v>0</v>
      </c>
      <c r="AE32" s="2">
        <v>0</v>
      </c>
      <c r="AF32" s="2">
        <v>0</v>
      </c>
      <c r="AG32" s="2">
        <v>183.896035271823</v>
      </c>
      <c r="AH32" s="2">
        <v>186.447124815693</v>
      </c>
      <c r="AI32" s="2">
        <v>98.700285834904406</v>
      </c>
      <c r="AJ32" s="2">
        <v>0.91239922963134201</v>
      </c>
    </row>
    <row r="33" spans="1:36" ht="15.75" customHeight="1" x14ac:dyDescent="0.45">
      <c r="A33" s="2" t="s">
        <v>238</v>
      </c>
      <c r="B33" s="2" t="s">
        <v>242</v>
      </c>
      <c r="C33" s="2" t="s">
        <v>246</v>
      </c>
      <c r="D33" s="2" t="s">
        <v>85</v>
      </c>
      <c r="E33" s="2" t="s">
        <v>84</v>
      </c>
      <c r="G33" s="2">
        <v>0</v>
      </c>
      <c r="H33" s="2">
        <v>0</v>
      </c>
      <c r="I33" s="2">
        <v>109.248677248677</v>
      </c>
      <c r="J33" s="2">
        <v>8.2913429360313806</v>
      </c>
      <c r="K33" s="2">
        <v>0.19479071606798901</v>
      </c>
      <c r="L33" s="2">
        <v>9.7727952267777404E-2</v>
      </c>
      <c r="M33" s="2">
        <v>0</v>
      </c>
      <c r="N33" s="2">
        <v>0</v>
      </c>
      <c r="O33" s="2">
        <v>1.2813212585096201</v>
      </c>
      <c r="P33" s="2">
        <v>0.279203212497247</v>
      </c>
      <c r="Q33" s="2">
        <v>2.9163021288888799E-2</v>
      </c>
      <c r="R33" s="2">
        <v>5.0511834574568301E-2</v>
      </c>
      <c r="S33" s="2">
        <v>0.16393872113211599</v>
      </c>
      <c r="T33" s="2">
        <v>0.125535991647406</v>
      </c>
      <c r="U33" s="2">
        <v>71.547740494894498</v>
      </c>
      <c r="V33" s="2">
        <v>3.2590212809316799</v>
      </c>
      <c r="W33" s="2">
        <v>0</v>
      </c>
      <c r="X33" s="2">
        <v>0</v>
      </c>
      <c r="Y33" s="2">
        <v>61.856767773833603</v>
      </c>
      <c r="Z33" s="2">
        <v>12.5848477535006</v>
      </c>
      <c r="AA33" s="2">
        <v>157.43898079021699</v>
      </c>
      <c r="AB33" s="2">
        <v>99.7542619935912</v>
      </c>
      <c r="AC33" s="2">
        <v>0</v>
      </c>
      <c r="AD33" s="2">
        <v>0</v>
      </c>
      <c r="AE33" s="2">
        <v>67.012092864670095</v>
      </c>
      <c r="AF33" s="2">
        <v>94.769410572221801</v>
      </c>
      <c r="AG33" s="2">
        <v>71.415030811592899</v>
      </c>
      <c r="AH33" s="2">
        <v>39.026977450306298</v>
      </c>
      <c r="AI33" s="2">
        <v>98.523888025422295</v>
      </c>
      <c r="AJ33" s="2">
        <v>0.29072418201478301</v>
      </c>
    </row>
    <row r="34" spans="1:36" ht="15.75" customHeight="1" x14ac:dyDescent="0.45">
      <c r="A34" s="2" t="s">
        <v>238</v>
      </c>
      <c r="B34" s="2" t="s">
        <v>243</v>
      </c>
      <c r="C34" s="2" t="s">
        <v>239</v>
      </c>
      <c r="D34" s="2" t="s">
        <v>85</v>
      </c>
      <c r="E34" s="2" t="s">
        <v>84</v>
      </c>
      <c r="G34" s="2">
        <v>3.4435261707916602E-2</v>
      </c>
      <c r="H34" s="2">
        <v>5.9643622850042703E-2</v>
      </c>
      <c r="I34" s="2">
        <v>133.64814814814801</v>
      </c>
      <c r="J34" s="2">
        <v>5.2529631065878899</v>
      </c>
      <c r="K34" s="2">
        <v>0.15294288014171201</v>
      </c>
      <c r="L34" s="2">
        <v>6.1228889784894602E-2</v>
      </c>
      <c r="M34" s="2">
        <v>1.1702565564954099</v>
      </c>
      <c r="N34" s="2">
        <v>0.74333403838581402</v>
      </c>
      <c r="O34" s="2">
        <v>0.63123499070796196</v>
      </c>
      <c r="P34" s="2">
        <v>0.12595800605594901</v>
      </c>
      <c r="Q34" s="2">
        <v>0</v>
      </c>
      <c r="R34" s="2">
        <v>0</v>
      </c>
      <c r="S34" s="2">
        <v>8.9729196433750005E-2</v>
      </c>
      <c r="T34" s="2">
        <v>0.15541552714558299</v>
      </c>
      <c r="U34" s="2">
        <v>87.731237057912196</v>
      </c>
      <c r="V34" s="2">
        <v>5.91717743150486</v>
      </c>
      <c r="W34" s="2">
        <v>7.9523828042776996</v>
      </c>
      <c r="X34" s="2">
        <v>13.773931058245999</v>
      </c>
      <c r="Y34" s="2">
        <v>30.709423653753699</v>
      </c>
      <c r="Z34" s="2">
        <v>7.4269943948302499</v>
      </c>
      <c r="AA34" s="2">
        <v>173.69157276572301</v>
      </c>
      <c r="AB34" s="2">
        <v>130.708439150174</v>
      </c>
      <c r="AC34" s="2">
        <v>101.865106187132</v>
      </c>
      <c r="AD34" s="2">
        <v>53.339678577361902</v>
      </c>
      <c r="AE34" s="2">
        <v>0</v>
      </c>
      <c r="AF34" s="2">
        <v>0</v>
      </c>
      <c r="AG34" s="2">
        <v>70.553758597029997</v>
      </c>
      <c r="AH34" s="2">
        <v>122.202694555005</v>
      </c>
      <c r="AI34" s="2">
        <v>99.215822129150297</v>
      </c>
      <c r="AJ34" s="2">
        <v>0.15656454583318499</v>
      </c>
    </row>
    <row r="35" spans="1:36" ht="15.75" customHeight="1" x14ac:dyDescent="0.45">
      <c r="A35" s="2" t="s">
        <v>238</v>
      </c>
      <c r="B35" s="2" t="s">
        <v>243</v>
      </c>
      <c r="C35" s="2" t="s">
        <v>240</v>
      </c>
      <c r="D35" s="2" t="s">
        <v>85</v>
      </c>
      <c r="E35" s="2" t="s">
        <v>84</v>
      </c>
      <c r="G35" s="2">
        <v>0.17950972555462899</v>
      </c>
      <c r="H35" s="2">
        <v>0.238124335434443</v>
      </c>
      <c r="I35" s="2">
        <v>130.819444444444</v>
      </c>
      <c r="J35" s="2">
        <v>12.965789209100199</v>
      </c>
      <c r="K35" s="2">
        <v>5.70409424575E-2</v>
      </c>
      <c r="L35" s="2">
        <v>5.1493934011369001E-2</v>
      </c>
      <c r="M35" s="2">
        <v>0.55132362175402705</v>
      </c>
      <c r="N35" s="2">
        <v>0.28128972858135198</v>
      </c>
      <c r="O35" s="2">
        <v>0.83212987946981398</v>
      </c>
      <c r="P35" s="2">
        <v>0.24705840506811499</v>
      </c>
      <c r="Q35" s="2">
        <v>0</v>
      </c>
      <c r="R35" s="2">
        <v>0</v>
      </c>
      <c r="S35" s="2">
        <v>0.127953291781851</v>
      </c>
      <c r="T35" s="2">
        <v>0.15456436235616</v>
      </c>
      <c r="U35" s="2">
        <v>85.643116739815696</v>
      </c>
      <c r="V35" s="2">
        <v>6.16521272565</v>
      </c>
      <c r="W35" s="2">
        <v>81.291282095507995</v>
      </c>
      <c r="X35" s="2">
        <v>127.77890057924</v>
      </c>
      <c r="Y35" s="2">
        <v>44.887076607625303</v>
      </c>
      <c r="Z35" s="2">
        <v>24.572206473227201</v>
      </c>
      <c r="AA35" s="2">
        <v>40.651781831881401</v>
      </c>
      <c r="AB35" s="2">
        <v>48.426466079536802</v>
      </c>
      <c r="AC35" s="2">
        <v>46.978747459855398</v>
      </c>
      <c r="AD35" s="2">
        <v>13.644645976106</v>
      </c>
      <c r="AE35" s="2">
        <v>0</v>
      </c>
      <c r="AF35" s="2">
        <v>0</v>
      </c>
      <c r="AG35" s="2">
        <v>45.652275086955903</v>
      </c>
      <c r="AH35" s="2">
        <v>55.435155235372903</v>
      </c>
      <c r="AI35" s="2">
        <v>99.110829178072606</v>
      </c>
      <c r="AJ35" s="2">
        <v>0.284616282734866</v>
      </c>
    </row>
    <row r="36" spans="1:36" ht="15.75" customHeight="1" x14ac:dyDescent="0.45">
      <c r="A36" s="2" t="s">
        <v>238</v>
      </c>
      <c r="B36" s="2" t="s">
        <v>243</v>
      </c>
      <c r="C36" s="2" t="s">
        <v>241</v>
      </c>
      <c r="D36" s="2" t="s">
        <v>85</v>
      </c>
      <c r="E36" s="2" t="s">
        <v>84</v>
      </c>
      <c r="G36" s="2">
        <v>2.96296296296296E-2</v>
      </c>
      <c r="H36" s="2">
        <v>5.1320023927966703E-2</v>
      </c>
      <c r="I36" s="2">
        <v>128.378968253968</v>
      </c>
      <c r="J36" s="2">
        <v>3.46786518016303</v>
      </c>
      <c r="K36" s="2">
        <v>7.8867424832857094E-2</v>
      </c>
      <c r="L36" s="2">
        <v>0.13660238687262699</v>
      </c>
      <c r="M36" s="2">
        <v>0.30678569427937802</v>
      </c>
      <c r="N36" s="2">
        <v>5.5619675970930899E-2</v>
      </c>
      <c r="O36" s="2">
        <v>0.90671725533125602</v>
      </c>
      <c r="P36" s="2">
        <v>0.74129107863430199</v>
      </c>
      <c r="Q36" s="2">
        <v>0</v>
      </c>
      <c r="R36" s="2">
        <v>0</v>
      </c>
      <c r="S36" s="2">
        <v>0.31961465651763199</v>
      </c>
      <c r="T36" s="2">
        <v>0.18970093467295199</v>
      </c>
      <c r="U36" s="2">
        <v>84.252908315625803</v>
      </c>
      <c r="V36" s="2">
        <v>4.7886032432988301</v>
      </c>
      <c r="W36" s="2">
        <v>5.1002975104091002</v>
      </c>
      <c r="X36" s="2">
        <v>8.83397442174563</v>
      </c>
      <c r="Y36" s="2">
        <v>50.997709989377498</v>
      </c>
      <c r="Z36" s="2">
        <v>48.348731032952401</v>
      </c>
      <c r="AA36" s="2">
        <v>104.11000425766299</v>
      </c>
      <c r="AB36" s="2">
        <v>180.323816950485</v>
      </c>
      <c r="AC36" s="2">
        <v>29.402123244236002</v>
      </c>
      <c r="AD36" s="2">
        <v>13.942114380655299</v>
      </c>
      <c r="AE36" s="2">
        <v>0</v>
      </c>
      <c r="AF36" s="2">
        <v>0</v>
      </c>
      <c r="AG36" s="2">
        <v>129.64039806904299</v>
      </c>
      <c r="AH36" s="2">
        <v>42.653411179316102</v>
      </c>
      <c r="AI36" s="2">
        <v>99.014415319835805</v>
      </c>
      <c r="AJ36" s="2">
        <v>0.66773734432802201</v>
      </c>
    </row>
    <row r="37" spans="1:36" ht="15.75" customHeight="1" x14ac:dyDescent="0.45">
      <c r="A37" s="2" t="s">
        <v>238</v>
      </c>
      <c r="B37" s="2" t="s">
        <v>243</v>
      </c>
      <c r="C37" s="2" t="s">
        <v>242</v>
      </c>
      <c r="D37" s="2" t="s">
        <v>85</v>
      </c>
      <c r="E37" s="2" t="s">
        <v>84</v>
      </c>
      <c r="G37" s="2">
        <v>0.38554208501666598</v>
      </c>
      <c r="H37" s="2">
        <v>0.58461478812700396</v>
      </c>
      <c r="I37" s="2">
        <v>125.972222222222</v>
      </c>
      <c r="J37" s="2">
        <v>5.9477534922812598</v>
      </c>
      <c r="K37" s="2">
        <v>0.24738971869569401</v>
      </c>
      <c r="L37" s="2">
        <v>0.16658249016440099</v>
      </c>
      <c r="M37" s="2">
        <v>2.5720164608888801E-2</v>
      </c>
      <c r="N37" s="2">
        <v>4.4548631881630399E-2</v>
      </c>
      <c r="O37" s="2">
        <v>0.47446053992749998</v>
      </c>
      <c r="P37" s="2">
        <v>0.243620711138018</v>
      </c>
      <c r="Q37" s="2">
        <v>0</v>
      </c>
      <c r="R37" s="2">
        <v>0</v>
      </c>
      <c r="S37" s="2">
        <v>5.9522962583703702E-2</v>
      </c>
      <c r="T37" s="2">
        <v>5.2193613753719802E-2</v>
      </c>
      <c r="U37" s="2">
        <v>82.546103829909697</v>
      </c>
      <c r="V37" s="2">
        <v>0.72253749740617701</v>
      </c>
      <c r="W37" s="2">
        <v>77.395854051523798</v>
      </c>
      <c r="X37" s="2">
        <v>94.108834985021801</v>
      </c>
      <c r="Y37" s="2">
        <v>22.410548516475099</v>
      </c>
      <c r="Z37" s="2">
        <v>12.1651899033528</v>
      </c>
      <c r="AA37" s="2">
        <v>247.63174639655199</v>
      </c>
      <c r="AB37" s="2">
        <v>271.95698958440801</v>
      </c>
      <c r="AC37" s="2">
        <v>3.3028727200988701</v>
      </c>
      <c r="AD37" s="2">
        <v>5.7207433621444599</v>
      </c>
      <c r="AE37" s="2">
        <v>0</v>
      </c>
      <c r="AF37" s="2">
        <v>0</v>
      </c>
      <c r="AG37" s="2">
        <v>21.149354372955699</v>
      </c>
      <c r="AH37" s="2">
        <v>18.5907121796014</v>
      </c>
      <c r="AI37" s="2">
        <v>99.278149741376794</v>
      </c>
      <c r="AJ37" s="2">
        <v>8.9176351766795905E-2</v>
      </c>
    </row>
    <row r="38" spans="1:36" ht="15.75" customHeight="1" x14ac:dyDescent="0.45">
      <c r="A38" s="2" t="s">
        <v>238</v>
      </c>
      <c r="B38" s="2" t="s">
        <v>243</v>
      </c>
      <c r="C38" s="2" t="s">
        <v>243</v>
      </c>
      <c r="D38" s="2" t="s">
        <v>85</v>
      </c>
      <c r="E38" s="2" t="s">
        <v>84</v>
      </c>
      <c r="G38" s="2">
        <v>0</v>
      </c>
      <c r="H38" s="2">
        <v>0</v>
      </c>
      <c r="I38" s="2">
        <v>121.31746031746</v>
      </c>
      <c r="J38" s="2">
        <v>4.3825911358751704</v>
      </c>
      <c r="K38" s="2">
        <v>0.55499237943124902</v>
      </c>
      <c r="L38" s="2">
        <v>0.49490574186136199</v>
      </c>
      <c r="M38" s="2">
        <v>0</v>
      </c>
      <c r="N38" s="2">
        <v>0</v>
      </c>
      <c r="O38" s="2">
        <v>0.44785944450015802</v>
      </c>
      <c r="P38" s="2">
        <v>0.27599741167447001</v>
      </c>
      <c r="Q38" s="2">
        <v>0</v>
      </c>
      <c r="R38" s="2">
        <v>0</v>
      </c>
      <c r="S38" s="2">
        <v>3.5273368606666598E-2</v>
      </c>
      <c r="T38" s="2">
        <v>6.1095266580851598E-2</v>
      </c>
      <c r="U38" s="2">
        <v>79.532214010855895</v>
      </c>
      <c r="V38" s="2">
        <v>1.72065719881485</v>
      </c>
      <c r="W38" s="2">
        <v>0</v>
      </c>
      <c r="X38" s="2">
        <v>0</v>
      </c>
      <c r="Y38" s="2">
        <v>24.739189233383499</v>
      </c>
      <c r="Z38" s="2">
        <v>21.159653415137001</v>
      </c>
      <c r="AA38" s="2">
        <v>403.74573910379399</v>
      </c>
      <c r="AB38" s="2">
        <v>489.35400312855199</v>
      </c>
      <c r="AC38" s="2">
        <v>0</v>
      </c>
      <c r="AD38" s="2">
        <v>0</v>
      </c>
      <c r="AE38" s="2">
        <v>0</v>
      </c>
      <c r="AF38" s="2">
        <v>0</v>
      </c>
      <c r="AG38" s="2">
        <v>27.735328438121901</v>
      </c>
      <c r="AH38" s="2">
        <v>48.038998019437102</v>
      </c>
      <c r="AI38" s="2">
        <v>98.997148176068507</v>
      </c>
      <c r="AJ38" s="2">
        <v>0.708813526688304</v>
      </c>
    </row>
    <row r="39" spans="1:36" ht="15.75" customHeight="1" x14ac:dyDescent="0.45">
      <c r="A39" s="2" t="s">
        <v>238</v>
      </c>
      <c r="B39" s="2" t="s">
        <v>243</v>
      </c>
      <c r="C39" s="2" t="s">
        <v>244</v>
      </c>
      <c r="D39" s="2" t="s">
        <v>85</v>
      </c>
      <c r="E39" s="2" t="s">
        <v>84</v>
      </c>
      <c r="G39" s="2">
        <v>0</v>
      </c>
      <c r="H39" s="2">
        <v>0</v>
      </c>
      <c r="I39" s="2">
        <v>70.4861111111111</v>
      </c>
      <c r="J39" s="2">
        <v>11.291342075422</v>
      </c>
      <c r="K39" s="2">
        <v>0.287424331523981</v>
      </c>
      <c r="L39" s="2">
        <v>0.271615903998987</v>
      </c>
      <c r="M39" s="2">
        <v>0</v>
      </c>
      <c r="N39" s="2">
        <v>0</v>
      </c>
      <c r="O39" s="2">
        <v>4.3737648467777701</v>
      </c>
      <c r="P39" s="2">
        <v>2.2362547972588001</v>
      </c>
      <c r="Q39" s="2">
        <v>0</v>
      </c>
      <c r="R39" s="2">
        <v>0</v>
      </c>
      <c r="S39" s="2">
        <v>1.86354861416666</v>
      </c>
      <c r="T39" s="2">
        <v>0.87257393956850304</v>
      </c>
      <c r="U39" s="2">
        <v>46.338647011189202</v>
      </c>
      <c r="V39" s="2">
        <v>8.2452091779907093</v>
      </c>
      <c r="W39" s="2">
        <v>0</v>
      </c>
      <c r="X39" s="2">
        <v>0</v>
      </c>
      <c r="Y39" s="2">
        <v>200.84128832443301</v>
      </c>
      <c r="Z39" s="2">
        <v>78.033259706604795</v>
      </c>
      <c r="AA39" s="2">
        <v>268.51275710428399</v>
      </c>
      <c r="AB39" s="2">
        <v>390.29736740347602</v>
      </c>
      <c r="AC39" s="2">
        <v>0</v>
      </c>
      <c r="AD39" s="2">
        <v>0</v>
      </c>
      <c r="AE39" s="2">
        <v>0</v>
      </c>
      <c r="AF39" s="2">
        <v>0</v>
      </c>
      <c r="AG39" s="2">
        <v>788.296487626974</v>
      </c>
      <c r="AH39" s="2">
        <v>103.804485885994</v>
      </c>
      <c r="AI39" s="2">
        <v>95.338810821698203</v>
      </c>
      <c r="AJ39" s="2">
        <v>1.96737701325493</v>
      </c>
    </row>
    <row r="40" spans="1:36" ht="15.75" customHeight="1" x14ac:dyDescent="0.45">
      <c r="A40" s="2" t="s">
        <v>238</v>
      </c>
      <c r="B40" s="2" t="s">
        <v>243</v>
      </c>
      <c r="C40" s="2" t="s">
        <v>245</v>
      </c>
      <c r="D40" s="2" t="s">
        <v>85</v>
      </c>
      <c r="E40" s="2" t="s">
        <v>84</v>
      </c>
      <c r="G40" s="2">
        <v>0</v>
      </c>
      <c r="H40" s="2">
        <v>0</v>
      </c>
      <c r="I40" s="2">
        <v>111.430555555555</v>
      </c>
      <c r="J40" s="2">
        <v>3.1264811304818498</v>
      </c>
      <c r="K40" s="2">
        <v>0.17160430259749901</v>
      </c>
      <c r="L40" s="2">
        <v>0.103881499792186</v>
      </c>
      <c r="M40" s="2">
        <v>0</v>
      </c>
      <c r="N40" s="2">
        <v>0</v>
      </c>
      <c r="O40" s="2">
        <v>0.78811666796819402</v>
      </c>
      <c r="P40" s="2">
        <v>0.19972035426405199</v>
      </c>
      <c r="Q40" s="2">
        <v>0</v>
      </c>
      <c r="R40" s="2">
        <v>0</v>
      </c>
      <c r="S40" s="2">
        <v>0.204186468492083</v>
      </c>
      <c r="T40" s="2">
        <v>0.121953027037194</v>
      </c>
      <c r="U40" s="2">
        <v>73.120447701555406</v>
      </c>
      <c r="V40" s="2">
        <v>3.9263851288385698</v>
      </c>
      <c r="W40" s="2">
        <v>0</v>
      </c>
      <c r="X40" s="2">
        <v>0</v>
      </c>
      <c r="Y40" s="2">
        <v>41.780175449920002</v>
      </c>
      <c r="Z40" s="2">
        <v>22.6602952929452</v>
      </c>
      <c r="AA40" s="2">
        <v>186.24297655089799</v>
      </c>
      <c r="AB40" s="2">
        <v>180.37315313363399</v>
      </c>
      <c r="AC40" s="2">
        <v>0</v>
      </c>
      <c r="AD40" s="2">
        <v>0</v>
      </c>
      <c r="AE40" s="2">
        <v>0</v>
      </c>
      <c r="AF40" s="2">
        <v>0</v>
      </c>
      <c r="AG40" s="2">
        <v>121.442156141493</v>
      </c>
      <c r="AH40" s="2">
        <v>126.93258493634001</v>
      </c>
      <c r="AI40" s="2">
        <v>99.040279029434302</v>
      </c>
      <c r="AJ40" s="2">
        <v>0.170316710019005</v>
      </c>
    </row>
    <row r="41" spans="1:36" ht="15.75" customHeight="1" x14ac:dyDescent="0.45">
      <c r="A41" s="2" t="s">
        <v>238</v>
      </c>
      <c r="B41" s="2" t="s">
        <v>243</v>
      </c>
      <c r="C41" s="2" t="s">
        <v>246</v>
      </c>
      <c r="D41" s="2" t="s">
        <v>85</v>
      </c>
      <c r="E41" s="2" t="s">
        <v>84</v>
      </c>
      <c r="G41" s="2">
        <v>3.4940600978518498E-2</v>
      </c>
      <c r="H41" s="2">
        <v>6.0518896141784899E-2</v>
      </c>
      <c r="I41" s="2">
        <v>113.64444444444401</v>
      </c>
      <c r="J41" s="2">
        <v>3.1656333596780399</v>
      </c>
      <c r="K41" s="2">
        <v>0.37174417936592502</v>
      </c>
      <c r="L41" s="2">
        <v>0.26534804677111901</v>
      </c>
      <c r="M41" s="2">
        <v>0</v>
      </c>
      <c r="N41" s="2">
        <v>0</v>
      </c>
      <c r="O41" s="2">
        <v>1.41713456235888</v>
      </c>
      <c r="P41" s="2">
        <v>0.15514780390682201</v>
      </c>
      <c r="Q41" s="2">
        <v>0</v>
      </c>
      <c r="R41" s="2">
        <v>0</v>
      </c>
      <c r="S41" s="2">
        <v>0.65399241701592503</v>
      </c>
      <c r="T41" s="2">
        <v>0.26795287301901499</v>
      </c>
      <c r="U41" s="2">
        <v>74.608880156753997</v>
      </c>
      <c r="V41" s="2">
        <v>4.8351108678811201</v>
      </c>
      <c r="W41" s="2">
        <v>17.761923450332802</v>
      </c>
      <c r="X41" s="2">
        <v>30.764553856125598</v>
      </c>
      <c r="Y41" s="2">
        <v>73.678968511940894</v>
      </c>
      <c r="Z41" s="2">
        <v>31.342896054468699</v>
      </c>
      <c r="AA41" s="2">
        <v>255.917694445866</v>
      </c>
      <c r="AB41" s="2">
        <v>68.8292575548749</v>
      </c>
      <c r="AC41" s="2">
        <v>0</v>
      </c>
      <c r="AD41" s="2">
        <v>0</v>
      </c>
      <c r="AE41" s="2">
        <v>0</v>
      </c>
      <c r="AF41" s="2">
        <v>0</v>
      </c>
      <c r="AG41" s="2">
        <v>287.78826037367799</v>
      </c>
      <c r="AH41" s="2">
        <v>51.0510009167565</v>
      </c>
      <c r="AI41" s="2">
        <v>98.211121258275099</v>
      </c>
      <c r="AJ41" s="2">
        <v>0.27814317503106301</v>
      </c>
    </row>
    <row r="42" spans="1:36" ht="15.75" customHeight="1" x14ac:dyDescent="0.45">
      <c r="A42" s="2" t="s">
        <v>238</v>
      </c>
      <c r="B42" s="2" t="s">
        <v>244</v>
      </c>
      <c r="C42" s="2" t="s">
        <v>239</v>
      </c>
      <c r="D42" s="2" t="s">
        <v>85</v>
      </c>
      <c r="E42" s="2" t="s">
        <v>84</v>
      </c>
      <c r="G42" s="2">
        <v>9.9674299259259205E-2</v>
      </c>
      <c r="H42" s="2">
        <v>0.17264095052586101</v>
      </c>
      <c r="I42" s="2">
        <v>149.59259259259201</v>
      </c>
      <c r="J42" s="2">
        <v>24.119643480907602</v>
      </c>
      <c r="K42" s="2">
        <v>7.4916814047407396E-2</v>
      </c>
      <c r="L42" s="2">
        <v>8.3344302995938702E-2</v>
      </c>
      <c r="M42" s="2">
        <v>0.65721710387407395</v>
      </c>
      <c r="N42" s="2">
        <v>0.34831538158743502</v>
      </c>
      <c r="O42" s="2">
        <v>0.64101031943111098</v>
      </c>
      <c r="P42" s="2">
        <v>6.2651371271463294E-2</v>
      </c>
      <c r="Q42" s="2">
        <v>0</v>
      </c>
      <c r="R42" s="2">
        <v>0</v>
      </c>
      <c r="S42" s="2">
        <v>0.24632711713296199</v>
      </c>
      <c r="T42" s="2">
        <v>0.138783050763858</v>
      </c>
      <c r="U42" s="2">
        <v>97.689751767562797</v>
      </c>
      <c r="V42" s="2">
        <v>11.531979511793301</v>
      </c>
      <c r="W42" s="2">
        <v>50.669056164688698</v>
      </c>
      <c r="X42" s="2">
        <v>87.761379648801807</v>
      </c>
      <c r="Y42" s="2">
        <v>32.991294130451699</v>
      </c>
      <c r="Z42" s="2">
        <v>13.234175382213399</v>
      </c>
      <c r="AA42" s="2">
        <v>99.028895074240396</v>
      </c>
      <c r="AB42" s="2">
        <v>109.984190534378</v>
      </c>
      <c r="AC42" s="2">
        <v>67.861965916493901</v>
      </c>
      <c r="AD42" s="2">
        <v>57.970836780288401</v>
      </c>
      <c r="AE42" s="2">
        <v>0</v>
      </c>
      <c r="AF42" s="2">
        <v>0</v>
      </c>
      <c r="AG42" s="2">
        <v>139.34604006456101</v>
      </c>
      <c r="AH42" s="2">
        <v>130.42821834860001</v>
      </c>
      <c r="AI42" s="2">
        <v>99.284072866521399</v>
      </c>
      <c r="AJ42" s="2">
        <v>9.66916867808848E-2</v>
      </c>
    </row>
    <row r="43" spans="1:36" ht="15.75" customHeight="1" x14ac:dyDescent="0.45">
      <c r="A43" s="2" t="s">
        <v>238</v>
      </c>
      <c r="B43" s="2" t="s">
        <v>244</v>
      </c>
      <c r="C43" s="2" t="s">
        <v>240</v>
      </c>
      <c r="D43" s="2" t="s">
        <v>85</v>
      </c>
      <c r="E43" s="2" t="s">
        <v>84</v>
      </c>
      <c r="G43" s="2">
        <v>0</v>
      </c>
      <c r="H43" s="2">
        <v>0</v>
      </c>
      <c r="I43" s="2">
        <v>118.37037037037</v>
      </c>
      <c r="J43" s="2">
        <v>3.4072061132166902</v>
      </c>
      <c r="K43" s="2">
        <v>6.918021446E-2</v>
      </c>
      <c r="L43" s="2">
        <v>6.0677402683501698E-2</v>
      </c>
      <c r="M43" s="2">
        <v>0.23407493575111099</v>
      </c>
      <c r="N43" s="2">
        <v>0.22797084254588401</v>
      </c>
      <c r="O43" s="2">
        <v>0.75317610970333304</v>
      </c>
      <c r="P43" s="2">
        <v>0.41818317184798198</v>
      </c>
      <c r="Q43" s="2">
        <v>0</v>
      </c>
      <c r="R43" s="2">
        <v>0</v>
      </c>
      <c r="S43" s="2">
        <v>0.13070922161814799</v>
      </c>
      <c r="T43" s="2">
        <v>0.153879552561765</v>
      </c>
      <c r="U43" s="2">
        <v>77.722680870902494</v>
      </c>
      <c r="V43" s="2">
        <v>5.32686594185604</v>
      </c>
      <c r="W43" s="2">
        <v>0</v>
      </c>
      <c r="X43" s="2">
        <v>0</v>
      </c>
      <c r="Y43" s="2">
        <v>39.985613859894698</v>
      </c>
      <c r="Z43" s="2">
        <v>32.217599537659098</v>
      </c>
      <c r="AA43" s="2">
        <v>58.582654620651702</v>
      </c>
      <c r="AB43" s="2">
        <v>79.952046117768901</v>
      </c>
      <c r="AC43" s="2">
        <v>19.094148058681601</v>
      </c>
      <c r="AD43" s="2">
        <v>14.5911988890321</v>
      </c>
      <c r="AE43" s="2">
        <v>0</v>
      </c>
      <c r="AF43" s="2">
        <v>0</v>
      </c>
      <c r="AG43" s="2">
        <v>59.920198458175499</v>
      </c>
      <c r="AH43" s="2">
        <v>54.8205286850459</v>
      </c>
      <c r="AI43" s="2">
        <v>99.177643675836606</v>
      </c>
      <c r="AJ43" s="2">
        <v>0.45885722656446698</v>
      </c>
    </row>
    <row r="44" spans="1:36" ht="15.75" customHeight="1" x14ac:dyDescent="0.45">
      <c r="A44" s="2" t="s">
        <v>238</v>
      </c>
      <c r="B44" s="2" t="s">
        <v>244</v>
      </c>
      <c r="C44" s="2" t="s">
        <v>241</v>
      </c>
      <c r="D44" s="2" t="s">
        <v>85</v>
      </c>
      <c r="E44" s="2" t="s">
        <v>84</v>
      </c>
      <c r="G44" s="2">
        <v>0.185462824144074</v>
      </c>
      <c r="H44" s="2">
        <v>0.32123103433274802</v>
      </c>
      <c r="I44" s="2">
        <v>132.70370370370301</v>
      </c>
      <c r="J44" s="2">
        <v>11.1650542414264</v>
      </c>
      <c r="K44" s="2">
        <v>2.6645350386296202E-2</v>
      </c>
      <c r="L44" s="2">
        <v>4.6151100654540103E-2</v>
      </c>
      <c r="M44" s="2">
        <v>0</v>
      </c>
      <c r="N44" s="2">
        <v>0</v>
      </c>
      <c r="O44" s="2">
        <v>0.53009659601925896</v>
      </c>
      <c r="P44" s="2">
        <v>0.30501272950890002</v>
      </c>
      <c r="Q44" s="2">
        <v>0</v>
      </c>
      <c r="R44" s="2">
        <v>0</v>
      </c>
      <c r="S44" s="2">
        <v>0.18318137913777699</v>
      </c>
      <c r="T44" s="2">
        <v>0.17452620821293499</v>
      </c>
      <c r="U44" s="2">
        <v>87.094628947389495</v>
      </c>
      <c r="V44" s="2">
        <v>8.5706279343769705</v>
      </c>
      <c r="W44" s="2">
        <v>42.830264688159502</v>
      </c>
      <c r="X44" s="2">
        <v>74.184194541515396</v>
      </c>
      <c r="Y44" s="2">
        <v>25.001845946514301</v>
      </c>
      <c r="Z44" s="2">
        <v>16.505206575969002</v>
      </c>
      <c r="AA44" s="2">
        <v>35.351828632432401</v>
      </c>
      <c r="AB44" s="2">
        <v>61.231163331841103</v>
      </c>
      <c r="AC44" s="2">
        <v>0</v>
      </c>
      <c r="AD44" s="2">
        <v>0</v>
      </c>
      <c r="AE44" s="2">
        <v>0</v>
      </c>
      <c r="AF44" s="2">
        <v>0</v>
      </c>
      <c r="AG44" s="2">
        <v>93.712462097160198</v>
      </c>
      <c r="AH44" s="2">
        <v>83.190411415187697</v>
      </c>
      <c r="AI44" s="2">
        <v>99.443258053594406</v>
      </c>
      <c r="AJ44" s="2">
        <v>0.33284231275073201</v>
      </c>
    </row>
    <row r="45" spans="1:36" ht="15.75" customHeight="1" x14ac:dyDescent="0.45">
      <c r="A45" s="2" t="s">
        <v>238</v>
      </c>
      <c r="B45" s="2" t="s">
        <v>244</v>
      </c>
      <c r="C45" s="2" t="s">
        <v>242</v>
      </c>
      <c r="D45" s="2" t="s">
        <v>85</v>
      </c>
      <c r="E45" s="2" t="s">
        <v>84</v>
      </c>
      <c r="G45" s="2">
        <v>0</v>
      </c>
      <c r="H45" s="2">
        <v>0</v>
      </c>
      <c r="I45" s="2">
        <v>124.29629629629601</v>
      </c>
      <c r="J45" s="2">
        <v>11.954826990571</v>
      </c>
      <c r="K45" s="2">
        <v>0.39184806773990699</v>
      </c>
      <c r="L45" s="2">
        <v>0.36711577457641598</v>
      </c>
      <c r="M45" s="2">
        <v>0</v>
      </c>
      <c r="N45" s="2">
        <v>0</v>
      </c>
      <c r="O45" s="2">
        <v>0.69171254430731399</v>
      </c>
      <c r="P45" s="2">
        <v>0.33423049614621603</v>
      </c>
      <c r="Q45" s="2">
        <v>2.4654832347083301E-2</v>
      </c>
      <c r="R45" s="2">
        <v>4.2703422277240902E-2</v>
      </c>
      <c r="S45" s="2">
        <v>0.204384758649861</v>
      </c>
      <c r="T45" s="2">
        <v>8.1315885463941501E-2</v>
      </c>
      <c r="U45" s="2">
        <v>81.668037669927102</v>
      </c>
      <c r="V45" s="2">
        <v>9.8479107976337694</v>
      </c>
      <c r="W45" s="2">
        <v>0</v>
      </c>
      <c r="X45" s="2">
        <v>0</v>
      </c>
      <c r="Y45" s="2">
        <v>37.177912158422799</v>
      </c>
      <c r="Z45" s="2">
        <v>25.346505028651301</v>
      </c>
      <c r="AA45" s="2">
        <v>426.555206136126</v>
      </c>
      <c r="AB45" s="2">
        <v>556.827658706124</v>
      </c>
      <c r="AC45" s="2">
        <v>0</v>
      </c>
      <c r="AD45" s="2">
        <v>0</v>
      </c>
      <c r="AE45" s="2">
        <v>182.39644970353999</v>
      </c>
      <c r="AF45" s="2">
        <v>257.94753289944799</v>
      </c>
      <c r="AG45" s="2">
        <v>104.627844039924</v>
      </c>
      <c r="AH45" s="2">
        <v>67.071118362904798</v>
      </c>
      <c r="AI45" s="2">
        <v>98.916439387952707</v>
      </c>
      <c r="AJ45" s="2">
        <v>0.69901253975912003</v>
      </c>
    </row>
    <row r="46" spans="1:36" ht="15.75" customHeight="1" x14ac:dyDescent="0.45">
      <c r="A46" s="2" t="s">
        <v>238</v>
      </c>
      <c r="B46" s="2" t="s">
        <v>244</v>
      </c>
      <c r="C46" s="2" t="s">
        <v>243</v>
      </c>
      <c r="D46" s="2" t="s">
        <v>85</v>
      </c>
      <c r="E46" s="2" t="s">
        <v>84</v>
      </c>
      <c r="G46" s="2">
        <v>0</v>
      </c>
      <c r="H46" s="2">
        <v>0</v>
      </c>
      <c r="I46" s="2">
        <v>139.99999999999901</v>
      </c>
      <c r="J46" s="2">
        <v>40.513372277969403</v>
      </c>
      <c r="K46" s="2">
        <v>0.512104430239259</v>
      </c>
      <c r="L46" s="2">
        <v>0.22690506519603501</v>
      </c>
      <c r="M46" s="2">
        <v>0</v>
      </c>
      <c r="N46" s="2">
        <v>0</v>
      </c>
      <c r="O46" s="2">
        <v>0.52103111080888798</v>
      </c>
      <c r="P46" s="2">
        <v>0.362591574751634</v>
      </c>
      <c r="Q46" s="2">
        <v>9.3764650725925904E-3</v>
      </c>
      <c r="R46" s="2">
        <v>1.6240513901125301E-2</v>
      </c>
      <c r="S46" s="2">
        <v>9.4048675730740702E-2</v>
      </c>
      <c r="T46" s="2">
        <v>0.162897084750212</v>
      </c>
      <c r="U46" s="2">
        <v>92.665971181485205</v>
      </c>
      <c r="V46" s="2">
        <v>31.185996960306898</v>
      </c>
      <c r="W46" s="2">
        <v>0</v>
      </c>
      <c r="X46" s="2">
        <v>0</v>
      </c>
      <c r="Y46" s="2">
        <v>27.326707468957299</v>
      </c>
      <c r="Z46" s="2">
        <v>25.8292209450162</v>
      </c>
      <c r="AA46" s="2">
        <v>421.72688822255299</v>
      </c>
      <c r="AB46" s="2">
        <v>247.84738613256201</v>
      </c>
      <c r="AC46" s="2">
        <v>0</v>
      </c>
      <c r="AD46" s="2">
        <v>0</v>
      </c>
      <c r="AE46" s="2">
        <v>0</v>
      </c>
      <c r="AF46" s="2">
        <v>0</v>
      </c>
      <c r="AG46" s="2">
        <v>33.684943110781802</v>
      </c>
      <c r="AH46" s="2">
        <v>58.344032917941398</v>
      </c>
      <c r="AI46" s="2">
        <v>98.966864458951804</v>
      </c>
      <c r="AJ46" s="2">
        <v>0.58866317509446398</v>
      </c>
    </row>
    <row r="47" spans="1:36" ht="15.75" customHeight="1" x14ac:dyDescent="0.45">
      <c r="A47" s="2" t="s">
        <v>238</v>
      </c>
      <c r="B47" s="2" t="s">
        <v>244</v>
      </c>
      <c r="C47" s="2" t="s">
        <v>244</v>
      </c>
      <c r="D47" s="2" t="s">
        <v>85</v>
      </c>
      <c r="E47" s="2" t="s">
        <v>84</v>
      </c>
      <c r="G47" s="2">
        <v>0.52083333333333304</v>
      </c>
      <c r="H47" s="2">
        <v>0.90210979560879001</v>
      </c>
      <c r="I47" s="2">
        <v>54.0416666666666</v>
      </c>
      <c r="J47" s="2">
        <v>4.7718794340734298</v>
      </c>
      <c r="K47" s="2">
        <v>0.21375431045833301</v>
      </c>
      <c r="L47" s="2">
        <v>0.20546507881510701</v>
      </c>
      <c r="M47" s="2">
        <v>0</v>
      </c>
      <c r="N47" s="2">
        <v>0</v>
      </c>
      <c r="O47" s="2">
        <v>5.3669288842874998</v>
      </c>
      <c r="P47" s="2">
        <v>2.1340865896092698</v>
      </c>
      <c r="Q47" s="2">
        <v>0</v>
      </c>
      <c r="R47" s="2">
        <v>0</v>
      </c>
      <c r="S47" s="2">
        <v>2.0771193583000001</v>
      </c>
      <c r="T47" s="2">
        <v>1.03855752043738</v>
      </c>
      <c r="U47" s="2">
        <v>35.380356893730799</v>
      </c>
      <c r="V47" s="2">
        <v>1.9993841739998499</v>
      </c>
      <c r="W47" s="2">
        <v>264.76367143014699</v>
      </c>
      <c r="X47" s="2">
        <v>458.58413091548698</v>
      </c>
      <c r="Y47" s="2">
        <v>296.81937338499603</v>
      </c>
      <c r="Z47" s="2">
        <v>192.51769246351401</v>
      </c>
      <c r="AA47" s="2">
        <v>283.08315719330602</v>
      </c>
      <c r="AB47" s="2">
        <v>272.53628770197503</v>
      </c>
      <c r="AC47" s="2">
        <v>0</v>
      </c>
      <c r="AD47" s="2">
        <v>0</v>
      </c>
      <c r="AE47" s="2">
        <v>0</v>
      </c>
      <c r="AF47" s="2">
        <v>0</v>
      </c>
      <c r="AG47" s="2">
        <v>1089.3937290128899</v>
      </c>
      <c r="AH47" s="2">
        <v>798.63940362796905</v>
      </c>
      <c r="AI47" s="2">
        <v>94.419316805254098</v>
      </c>
      <c r="AJ47" s="2">
        <v>2.0103849652311001</v>
      </c>
    </row>
    <row r="48" spans="1:36" ht="15.75" customHeight="1" x14ac:dyDescent="0.45">
      <c r="A48" s="2" t="s">
        <v>238</v>
      </c>
      <c r="B48" s="2" t="s">
        <v>244</v>
      </c>
      <c r="C48" s="2" t="s">
        <v>245</v>
      </c>
      <c r="D48" s="2" t="s">
        <v>85</v>
      </c>
      <c r="E48" s="2" t="s">
        <v>84</v>
      </c>
      <c r="G48" s="2">
        <v>0</v>
      </c>
      <c r="H48" s="2">
        <v>0</v>
      </c>
      <c r="I48" s="2">
        <v>104.21164021164</v>
      </c>
      <c r="J48" s="2">
        <v>3.8636803091356202</v>
      </c>
      <c r="K48" s="2">
        <v>0.325418615829629</v>
      </c>
      <c r="L48" s="2">
        <v>0.134385037601051</v>
      </c>
      <c r="M48" s="2">
        <v>0</v>
      </c>
      <c r="N48" s="2">
        <v>0</v>
      </c>
      <c r="O48" s="2">
        <v>0.87929860685925898</v>
      </c>
      <c r="P48" s="2">
        <v>9.1092879193931206E-2</v>
      </c>
      <c r="Q48" s="2">
        <v>0</v>
      </c>
      <c r="R48" s="2">
        <v>0</v>
      </c>
      <c r="S48" s="2">
        <v>0.49715516757539602</v>
      </c>
      <c r="T48" s="2">
        <v>0.19565659427350199</v>
      </c>
      <c r="U48" s="2">
        <v>68.314523802997996</v>
      </c>
      <c r="V48" s="2">
        <v>1.38509803495469</v>
      </c>
      <c r="W48" s="2">
        <v>0</v>
      </c>
      <c r="X48" s="2">
        <v>0</v>
      </c>
      <c r="Y48" s="2">
        <v>44.309259988687202</v>
      </c>
      <c r="Z48" s="2">
        <v>15.2968712385141</v>
      </c>
      <c r="AA48" s="2">
        <v>368.664334918191</v>
      </c>
      <c r="AB48" s="2">
        <v>282.36348635984598</v>
      </c>
      <c r="AC48" s="2">
        <v>0</v>
      </c>
      <c r="AD48" s="2">
        <v>0</v>
      </c>
      <c r="AE48" s="2">
        <v>0</v>
      </c>
      <c r="AF48" s="2">
        <v>0</v>
      </c>
      <c r="AG48" s="2">
        <v>252.42581502231499</v>
      </c>
      <c r="AH48" s="2">
        <v>157.940374291197</v>
      </c>
      <c r="AI48" s="2">
        <v>98.795282777311101</v>
      </c>
      <c r="AJ48" s="2">
        <v>0.22472383580574401</v>
      </c>
    </row>
    <row r="49" spans="1:36" ht="15.75" customHeight="1" x14ac:dyDescent="0.45">
      <c r="A49" s="2" t="s">
        <v>238</v>
      </c>
      <c r="B49" s="2" t="s">
        <v>244</v>
      </c>
      <c r="C49" s="2" t="s">
        <v>246</v>
      </c>
      <c r="D49" s="2" t="s">
        <v>85</v>
      </c>
      <c r="E49" s="2" t="s">
        <v>84</v>
      </c>
      <c r="G49" s="2">
        <v>3.1806615776249998E-2</v>
      </c>
      <c r="H49" s="2">
        <v>5.5090674541286799E-2</v>
      </c>
      <c r="I49" s="2">
        <v>105.212962962962</v>
      </c>
      <c r="J49" s="2">
        <v>3.9189643903720799</v>
      </c>
      <c r="K49" s="2">
        <v>0.104130804450787</v>
      </c>
      <c r="L49" s="2">
        <v>0.117351642058258</v>
      </c>
      <c r="M49" s="2">
        <v>0</v>
      </c>
      <c r="N49" s="2">
        <v>0</v>
      </c>
      <c r="O49" s="2">
        <v>1.1627969759186101</v>
      </c>
      <c r="P49" s="2">
        <v>0.46349095612666202</v>
      </c>
      <c r="Q49" s="2">
        <v>3.1806615776249998E-2</v>
      </c>
      <c r="R49" s="2">
        <v>5.5090674541286799E-2</v>
      </c>
      <c r="S49" s="2">
        <v>0.614827251667175</v>
      </c>
      <c r="T49" s="2">
        <v>0.17080380135060499</v>
      </c>
      <c r="U49" s="2">
        <v>69.077167765343205</v>
      </c>
      <c r="V49" s="2">
        <v>4.8445161564526602</v>
      </c>
      <c r="W49" s="2">
        <v>16.168773827880901</v>
      </c>
      <c r="X49" s="2">
        <v>28.005137765979701</v>
      </c>
      <c r="Y49" s="2">
        <v>64.960444171069199</v>
      </c>
      <c r="Z49" s="2">
        <v>41.0376640372385</v>
      </c>
      <c r="AA49" s="2">
        <v>137.97509645436301</v>
      </c>
      <c r="AB49" s="2">
        <v>155.750321947331</v>
      </c>
      <c r="AC49" s="2">
        <v>0</v>
      </c>
      <c r="AD49" s="2">
        <v>0</v>
      </c>
      <c r="AE49" s="2">
        <v>235.305343512462</v>
      </c>
      <c r="AF49" s="2">
        <v>332.772008094184</v>
      </c>
      <c r="AG49" s="2">
        <v>332.80196495525797</v>
      </c>
      <c r="AH49" s="2">
        <v>254.89692677434101</v>
      </c>
      <c r="AI49" s="2">
        <v>98.7330722196306</v>
      </c>
      <c r="AJ49" s="2">
        <v>0.46623571486229698</v>
      </c>
    </row>
    <row r="50" spans="1:36" ht="15.75" customHeight="1" x14ac:dyDescent="0.45">
      <c r="A50" s="2" t="s">
        <v>238</v>
      </c>
      <c r="B50" s="2" t="s">
        <v>245</v>
      </c>
      <c r="C50" s="2" t="s">
        <v>239</v>
      </c>
      <c r="D50" s="2" t="s">
        <v>85</v>
      </c>
      <c r="E50" s="2" t="s">
        <v>84</v>
      </c>
      <c r="G50" s="2">
        <v>8.0326052548148105E-2</v>
      </c>
      <c r="H50" s="2">
        <v>1.10298827669699E-2</v>
      </c>
      <c r="I50" s="2">
        <v>150.74074074073999</v>
      </c>
      <c r="J50" s="2">
        <v>14.432616239706601</v>
      </c>
      <c r="K50" s="2">
        <v>0.132486208988148</v>
      </c>
      <c r="L50" s="2">
        <v>5.65961174779777E-2</v>
      </c>
      <c r="M50" s="2">
        <v>0.87667682299148098</v>
      </c>
      <c r="N50" s="2">
        <v>0.31043484502961499</v>
      </c>
      <c r="O50" s="2">
        <v>1.0475183718533301</v>
      </c>
      <c r="P50" s="2">
        <v>5.6681556958617201E-2</v>
      </c>
      <c r="Q50" s="2">
        <v>0</v>
      </c>
      <c r="R50" s="2">
        <v>0</v>
      </c>
      <c r="S50" s="2">
        <v>0.135938206181481</v>
      </c>
      <c r="T50" s="2">
        <v>0.13760081790955001</v>
      </c>
      <c r="U50" s="2">
        <v>99.145310548857694</v>
      </c>
      <c r="V50" s="2">
        <v>13.2157748018095</v>
      </c>
      <c r="W50" s="2">
        <v>23.6240321106125</v>
      </c>
      <c r="X50" s="2">
        <v>11.6256190335908</v>
      </c>
      <c r="Y50" s="2">
        <v>54.025598841678402</v>
      </c>
      <c r="Z50" s="2">
        <v>21.728788051836801</v>
      </c>
      <c r="AA50" s="2">
        <v>109.023451627226</v>
      </c>
      <c r="AB50" s="2">
        <v>60.225940926412797</v>
      </c>
      <c r="AC50" s="2">
        <v>87.980587017578202</v>
      </c>
      <c r="AD50" s="2">
        <v>61.245639052569302</v>
      </c>
      <c r="AE50" s="2">
        <v>0</v>
      </c>
      <c r="AF50" s="2">
        <v>0</v>
      </c>
      <c r="AG50" s="2">
        <v>67.621877891924797</v>
      </c>
      <c r="AH50" s="2">
        <v>58.633336466878703</v>
      </c>
      <c r="AI50" s="2">
        <v>98.819995419158502</v>
      </c>
      <c r="AJ50" s="2">
        <v>0.11325898709129301</v>
      </c>
    </row>
    <row r="51" spans="1:36" ht="15.75" customHeight="1" x14ac:dyDescent="0.45">
      <c r="A51" s="2" t="s">
        <v>238</v>
      </c>
      <c r="B51" s="2" t="s">
        <v>245</v>
      </c>
      <c r="C51" s="2" t="s">
        <v>240</v>
      </c>
      <c r="D51" s="2" t="s">
        <v>85</v>
      </c>
      <c r="E51" s="2" t="s">
        <v>84</v>
      </c>
      <c r="G51" s="2">
        <v>2.42072137496296E-2</v>
      </c>
      <c r="H51" s="2">
        <v>4.1928124124038402E-2</v>
      </c>
      <c r="I51" s="2">
        <v>139.81481481481401</v>
      </c>
      <c r="J51" s="2">
        <v>0.66974597481026799</v>
      </c>
      <c r="K51" s="2">
        <v>3.4293552812222197E-2</v>
      </c>
      <c r="L51" s="2">
        <v>5.9398175842815398E-2</v>
      </c>
      <c r="M51" s="2">
        <v>0.29546184793185098</v>
      </c>
      <c r="N51" s="2">
        <v>0.116477666180566</v>
      </c>
      <c r="O51" s="2">
        <v>1.3841666399000001</v>
      </c>
      <c r="P51" s="2">
        <v>1.58333207822254</v>
      </c>
      <c r="Q51" s="2">
        <v>0</v>
      </c>
      <c r="R51" s="2">
        <v>0</v>
      </c>
      <c r="S51" s="2">
        <v>0.14501357487592501</v>
      </c>
      <c r="T51" s="2">
        <v>6.1878845664655902E-2</v>
      </c>
      <c r="U51" s="2">
        <v>91.732613108392997</v>
      </c>
      <c r="V51" s="2">
        <v>3.71045483413064</v>
      </c>
      <c r="W51" s="2">
        <v>12.305646311896799</v>
      </c>
      <c r="X51" s="2">
        <v>21.314004632177902</v>
      </c>
      <c r="Y51" s="2">
        <v>80.319797879004398</v>
      </c>
      <c r="Z51" s="2">
        <v>97.430018627659905</v>
      </c>
      <c r="AA51" s="2">
        <v>9.4986019256701706</v>
      </c>
      <c r="AB51" s="2">
        <v>16.452061136132301</v>
      </c>
      <c r="AC51" s="2">
        <v>29.857795552427099</v>
      </c>
      <c r="AD51" s="2">
        <v>21.940627974179101</v>
      </c>
      <c r="AE51" s="2">
        <v>0</v>
      </c>
      <c r="AF51" s="2">
        <v>0</v>
      </c>
      <c r="AG51" s="2">
        <v>77.360193945708502</v>
      </c>
      <c r="AH51" s="2">
        <v>58.454829234361</v>
      </c>
      <c r="AI51" s="2">
        <v>98.581539807287697</v>
      </c>
      <c r="AJ51" s="2">
        <v>1.5597958517603401</v>
      </c>
    </row>
    <row r="52" spans="1:36" ht="15.75" customHeight="1" x14ac:dyDescent="0.45">
      <c r="A52" s="2" t="s">
        <v>238</v>
      </c>
      <c r="B52" s="2" t="s">
        <v>245</v>
      </c>
      <c r="C52" s="2" t="s">
        <v>241</v>
      </c>
      <c r="D52" s="2" t="s">
        <v>85</v>
      </c>
      <c r="E52" s="2" t="s">
        <v>84</v>
      </c>
      <c r="G52" s="2">
        <v>2.7639579878518498E-2</v>
      </c>
      <c r="H52" s="2">
        <v>4.7873156649452402E-2</v>
      </c>
      <c r="I52" s="2">
        <v>133.777777777777</v>
      </c>
      <c r="J52" s="2">
        <v>17.421074225216099</v>
      </c>
      <c r="K52" s="2">
        <v>0</v>
      </c>
      <c r="L52" s="2">
        <v>0</v>
      </c>
      <c r="M52" s="2">
        <v>0.20524379960814801</v>
      </c>
      <c r="N52" s="2">
        <v>6.1550234183277597E-2</v>
      </c>
      <c r="O52" s="2">
        <v>0.86568554981851797</v>
      </c>
      <c r="P52" s="2">
        <v>0.57774029852263198</v>
      </c>
      <c r="Q52" s="2">
        <v>3.1123560535185099E-2</v>
      </c>
      <c r="R52" s="2">
        <v>5.3907588159386302E-2</v>
      </c>
      <c r="S52" s="2">
        <v>0.29453554812370297</v>
      </c>
      <c r="T52" s="2">
        <v>0.10652163864075501</v>
      </c>
      <c r="U52" s="2">
        <v>88.022619634921199</v>
      </c>
      <c r="V52" s="2">
        <v>14.742427833396301</v>
      </c>
      <c r="W52" s="2">
        <v>14.0504767592129</v>
      </c>
      <c r="X52" s="2">
        <v>24.336139617522399</v>
      </c>
      <c r="Y52" s="2">
        <v>48.354407844533597</v>
      </c>
      <c r="Z52" s="2">
        <v>39.549603299626902</v>
      </c>
      <c r="AA52" s="2">
        <v>0</v>
      </c>
      <c r="AB52" s="2">
        <v>0</v>
      </c>
      <c r="AC52" s="2">
        <v>18.639182669962899</v>
      </c>
      <c r="AD52" s="2">
        <v>5.7129942247616103</v>
      </c>
      <c r="AE52" s="2">
        <v>230.25210083906899</v>
      </c>
      <c r="AF52" s="2">
        <v>325.62564377150898</v>
      </c>
      <c r="AG52" s="2">
        <v>159.124135361171</v>
      </c>
      <c r="AH52" s="2">
        <v>123.18033737988701</v>
      </c>
      <c r="AI52" s="2">
        <v>99.134314450181407</v>
      </c>
      <c r="AJ52" s="2">
        <v>0.57774029852237696</v>
      </c>
    </row>
    <row r="53" spans="1:36" ht="15.75" customHeight="1" x14ac:dyDescent="0.45">
      <c r="A53" s="2" t="s">
        <v>238</v>
      </c>
      <c r="B53" s="2" t="s">
        <v>245</v>
      </c>
      <c r="C53" s="2" t="s">
        <v>242</v>
      </c>
      <c r="D53" s="2" t="s">
        <v>85</v>
      </c>
      <c r="E53" s="2" t="s">
        <v>84</v>
      </c>
      <c r="G53" s="2">
        <v>6.1919860306805498E-2</v>
      </c>
      <c r="H53" s="2">
        <v>5.3724028758044003E-2</v>
      </c>
      <c r="I53" s="2">
        <v>134.79629629629599</v>
      </c>
      <c r="J53" s="2">
        <v>5.3680390853081699</v>
      </c>
      <c r="K53" s="2">
        <v>0.22530742329939801</v>
      </c>
      <c r="L53" s="2">
        <v>4.6047834166684301E-2</v>
      </c>
      <c r="M53" s="2">
        <v>0</v>
      </c>
      <c r="N53" s="2">
        <v>0</v>
      </c>
      <c r="O53" s="2">
        <v>0.40433487786773098</v>
      </c>
      <c r="P53" s="2">
        <v>0.182900018719236</v>
      </c>
      <c r="Q53" s="2">
        <v>0</v>
      </c>
      <c r="R53" s="2">
        <v>0</v>
      </c>
      <c r="S53" s="2">
        <v>0.17652002145717499</v>
      </c>
      <c r="T53" s="2">
        <v>0.176546597710108</v>
      </c>
      <c r="U53" s="2">
        <v>88.428270075644306</v>
      </c>
      <c r="V53" s="2">
        <v>4.6854849775362304</v>
      </c>
      <c r="W53" s="2">
        <v>20.700728472767</v>
      </c>
      <c r="X53" s="2">
        <v>23.0571001425661</v>
      </c>
      <c r="Y53" s="2">
        <v>22.6834037480481</v>
      </c>
      <c r="Z53" s="2">
        <v>15.4674119634397</v>
      </c>
      <c r="AA53" s="2">
        <v>203.662391688996</v>
      </c>
      <c r="AB53" s="2">
        <v>115.61562929140599</v>
      </c>
      <c r="AC53" s="2">
        <v>0</v>
      </c>
      <c r="AD53" s="2">
        <v>0</v>
      </c>
      <c r="AE53" s="2">
        <v>0</v>
      </c>
      <c r="AF53" s="2">
        <v>0</v>
      </c>
      <c r="AG53" s="2">
        <v>88.406972858288796</v>
      </c>
      <c r="AH53" s="2">
        <v>76.8088779064161</v>
      </c>
      <c r="AI53" s="2">
        <v>99.370357698832805</v>
      </c>
      <c r="AJ53" s="2">
        <v>0.20929363140859999</v>
      </c>
    </row>
    <row r="54" spans="1:36" ht="15.75" customHeight="1" x14ac:dyDescent="0.45">
      <c r="A54" s="2" t="s">
        <v>238</v>
      </c>
      <c r="B54" s="2" t="s">
        <v>245</v>
      </c>
      <c r="C54" s="2" t="s">
        <v>243</v>
      </c>
      <c r="D54" s="2" t="s">
        <v>85</v>
      </c>
      <c r="E54" s="2" t="s">
        <v>84</v>
      </c>
      <c r="G54" s="2">
        <v>0</v>
      </c>
      <c r="H54" s="2">
        <v>0</v>
      </c>
      <c r="I54" s="2">
        <v>128.62962962962899</v>
      </c>
      <c r="J54" s="2">
        <v>5.6702965861131203</v>
      </c>
      <c r="K54" s="2">
        <v>0.42865705826036998</v>
      </c>
      <c r="L54" s="2">
        <v>3.4376835345993298E-2</v>
      </c>
      <c r="M54" s="2">
        <v>0</v>
      </c>
      <c r="N54" s="2">
        <v>0</v>
      </c>
      <c r="O54" s="2">
        <v>0.42508169564925902</v>
      </c>
      <c r="P54" s="2">
        <v>9.5544771276933102E-2</v>
      </c>
      <c r="Q54" s="2">
        <v>0</v>
      </c>
      <c r="R54" s="2">
        <v>0</v>
      </c>
      <c r="S54" s="2">
        <v>0.11554989859111101</v>
      </c>
      <c r="T54" s="2">
        <v>0.13648240496782699</v>
      </c>
      <c r="U54" s="2">
        <v>84.468771870469894</v>
      </c>
      <c r="V54" s="2">
        <v>6.5781101046406301</v>
      </c>
      <c r="W54" s="2">
        <v>0</v>
      </c>
      <c r="X54" s="2">
        <v>0</v>
      </c>
      <c r="Y54" s="2">
        <v>22.7203549798399</v>
      </c>
      <c r="Z54" s="2">
        <v>11.482283431011901</v>
      </c>
      <c r="AA54" s="2">
        <v>406.24016873386</v>
      </c>
      <c r="AB54" s="2">
        <v>242.472658670567</v>
      </c>
      <c r="AC54" s="2">
        <v>0</v>
      </c>
      <c r="AD54" s="2">
        <v>0</v>
      </c>
      <c r="AE54" s="2">
        <v>0</v>
      </c>
      <c r="AF54" s="2">
        <v>0</v>
      </c>
      <c r="AG54" s="2">
        <v>52.876308708799698</v>
      </c>
      <c r="AH54" s="2">
        <v>48.5088240026367</v>
      </c>
      <c r="AI54" s="2">
        <v>99.146261246090305</v>
      </c>
      <c r="AJ54" s="2">
        <v>0.121014423755338</v>
      </c>
    </row>
    <row r="55" spans="1:36" ht="15.75" customHeight="1" x14ac:dyDescent="0.45">
      <c r="A55" s="2" t="s">
        <v>238</v>
      </c>
      <c r="B55" s="2" t="s">
        <v>245</v>
      </c>
      <c r="C55" s="2" t="s">
        <v>244</v>
      </c>
      <c r="D55" s="2" t="s">
        <v>85</v>
      </c>
      <c r="E55" s="2" t="s">
        <v>84</v>
      </c>
      <c r="G55" s="2">
        <v>4.6882325362962898E-2</v>
      </c>
      <c r="H55" s="2">
        <v>8.1202569505626807E-2</v>
      </c>
      <c r="I55" s="2">
        <v>66.259259259259196</v>
      </c>
      <c r="J55" s="2">
        <v>2.7940265500064001</v>
      </c>
      <c r="K55" s="2">
        <v>0.312121324481481</v>
      </c>
      <c r="L55" s="2">
        <v>0.17311150648826601</v>
      </c>
      <c r="M55" s="2">
        <v>0</v>
      </c>
      <c r="N55" s="2">
        <v>0</v>
      </c>
      <c r="O55" s="2">
        <v>5.0731632186703699</v>
      </c>
      <c r="P55" s="2">
        <v>1.4262378104781399</v>
      </c>
      <c r="Q55" s="2">
        <v>0</v>
      </c>
      <c r="R55" s="2">
        <v>0</v>
      </c>
      <c r="S55" s="2">
        <v>1.9788392741444401</v>
      </c>
      <c r="T55" s="2">
        <v>0.69723084468837904</v>
      </c>
      <c r="U55" s="2">
        <v>43.533398142581603</v>
      </c>
      <c r="V55" s="2">
        <v>3.8201813987593898</v>
      </c>
      <c r="W55" s="2">
        <v>8.0700909974182</v>
      </c>
      <c r="X55" s="2">
        <v>13.977807629232499</v>
      </c>
      <c r="Y55" s="2">
        <v>260.95497913182197</v>
      </c>
      <c r="Z55" s="2">
        <v>137.90687764600301</v>
      </c>
      <c r="AA55" s="2">
        <v>314.56454184243</v>
      </c>
      <c r="AB55" s="2">
        <v>304.54150048754002</v>
      </c>
      <c r="AC55" s="2">
        <v>0</v>
      </c>
      <c r="AD55" s="2">
        <v>0</v>
      </c>
      <c r="AE55" s="2">
        <v>0</v>
      </c>
      <c r="AF55" s="2">
        <v>0</v>
      </c>
      <c r="AG55" s="2">
        <v>948.96012764244995</v>
      </c>
      <c r="AH55" s="2">
        <v>414.93767218139902</v>
      </c>
      <c r="AI55" s="2">
        <v>94.614715456848103</v>
      </c>
      <c r="AJ55" s="2">
        <v>1.4932342940660901</v>
      </c>
    </row>
    <row r="56" spans="1:36" ht="15.75" customHeight="1" x14ac:dyDescent="0.45">
      <c r="A56" s="2" t="s">
        <v>238</v>
      </c>
      <c r="B56" s="2" t="s">
        <v>245</v>
      </c>
      <c r="C56" s="2" t="s">
        <v>245</v>
      </c>
      <c r="D56" s="2" t="s">
        <v>85</v>
      </c>
      <c r="E56" s="2" t="s">
        <v>84</v>
      </c>
      <c r="G56" s="2">
        <v>0</v>
      </c>
      <c r="H56" s="2">
        <v>0</v>
      </c>
      <c r="I56" s="2">
        <v>117.398148148148</v>
      </c>
      <c r="J56" s="2">
        <v>5.9145362187684398</v>
      </c>
      <c r="K56" s="2">
        <v>0.31261851537948998</v>
      </c>
      <c r="L56" s="2">
        <v>0.289778484725422</v>
      </c>
      <c r="M56" s="2">
        <v>0</v>
      </c>
      <c r="N56" s="2">
        <v>0</v>
      </c>
      <c r="O56" s="2">
        <v>1.7603486164214299</v>
      </c>
      <c r="P56" s="2">
        <v>0.92439289442166095</v>
      </c>
      <c r="Q56" s="2">
        <v>3.22061191625925E-2</v>
      </c>
      <c r="R56" s="2">
        <v>5.5782634704227903E-2</v>
      </c>
      <c r="S56" s="2">
        <v>0.42597705252712897</v>
      </c>
      <c r="T56" s="2">
        <v>7.2266426710327694E-2</v>
      </c>
      <c r="U56" s="2">
        <v>77.147820170273704</v>
      </c>
      <c r="V56" s="2">
        <v>7.3684673039211699</v>
      </c>
      <c r="W56" s="2">
        <v>0</v>
      </c>
      <c r="X56" s="2">
        <v>0</v>
      </c>
      <c r="Y56" s="2">
        <v>101.229078680534</v>
      </c>
      <c r="Z56" s="2">
        <v>70.344951534122103</v>
      </c>
      <c r="AA56" s="2">
        <v>213.71076110401199</v>
      </c>
      <c r="AB56" s="2">
        <v>246.00799147692101</v>
      </c>
      <c r="AC56" s="2">
        <v>0</v>
      </c>
      <c r="AD56" s="2">
        <v>0</v>
      </c>
      <c r="AE56" s="2">
        <v>238.260869564621</v>
      </c>
      <c r="AF56" s="2">
        <v>336.95175312109501</v>
      </c>
      <c r="AG56" s="2">
        <v>220.97466844084099</v>
      </c>
      <c r="AH56" s="2">
        <v>139.84919836242699</v>
      </c>
      <c r="AI56" s="2">
        <v>97.927032868199007</v>
      </c>
      <c r="AJ56" s="2">
        <v>0.94286715373024998</v>
      </c>
    </row>
    <row r="57" spans="1:36" ht="15.75" customHeight="1" x14ac:dyDescent="0.45">
      <c r="A57" s="2" t="s">
        <v>238</v>
      </c>
      <c r="B57" s="2" t="s">
        <v>245</v>
      </c>
      <c r="C57" s="2" t="s">
        <v>246</v>
      </c>
      <c r="D57" s="2" t="s">
        <v>85</v>
      </c>
      <c r="E57" s="2" t="s">
        <v>84</v>
      </c>
      <c r="G57" s="2">
        <v>0</v>
      </c>
      <c r="H57" s="2">
        <v>0</v>
      </c>
      <c r="I57" s="2">
        <v>103.675925925925</v>
      </c>
      <c r="J57" s="2">
        <v>13.041365909836101</v>
      </c>
      <c r="K57" s="2">
        <v>0.52659004709870305</v>
      </c>
      <c r="L57" s="2">
        <v>0.43393776441062698</v>
      </c>
      <c r="M57" s="2">
        <v>0</v>
      </c>
      <c r="N57" s="2">
        <v>0</v>
      </c>
      <c r="O57" s="2">
        <v>3.4497752985931398</v>
      </c>
      <c r="P57" s="2">
        <v>3.0943570778556899</v>
      </c>
      <c r="Q57" s="2">
        <v>4.4802867383333299E-2</v>
      </c>
      <c r="R57" s="2">
        <v>7.7600842632703795E-2</v>
      </c>
      <c r="S57" s="2">
        <v>0.43999022975601798</v>
      </c>
      <c r="T57" s="2">
        <v>8.0946616472836505E-2</v>
      </c>
      <c r="U57" s="2">
        <v>67.889316666643296</v>
      </c>
      <c r="V57" s="2">
        <v>7.1081082309766703</v>
      </c>
      <c r="W57" s="2">
        <v>0</v>
      </c>
      <c r="X57" s="2">
        <v>0</v>
      </c>
      <c r="Y57" s="2">
        <v>140.69479987510999</v>
      </c>
      <c r="Z57" s="2">
        <v>81.912530699096294</v>
      </c>
      <c r="AA57" s="2">
        <v>569.44292108424395</v>
      </c>
      <c r="AB57" s="2">
        <v>676.22530278267004</v>
      </c>
      <c r="AC57" s="2">
        <v>0</v>
      </c>
      <c r="AD57" s="2">
        <v>0</v>
      </c>
      <c r="AE57" s="2">
        <v>102.950029763868</v>
      </c>
      <c r="AF57" s="2">
        <v>145.59332833877599</v>
      </c>
      <c r="AG57" s="2">
        <v>214.070214229356</v>
      </c>
      <c r="AH57" s="2">
        <v>92.196361102351901</v>
      </c>
      <c r="AI57" s="2">
        <v>96.023634654308097</v>
      </c>
      <c r="AJ57" s="2">
        <v>3.5254966321208099</v>
      </c>
    </row>
    <row r="58" spans="1:36" ht="15.75" customHeight="1" x14ac:dyDescent="0.45">
      <c r="A58" s="2" t="s">
        <v>238</v>
      </c>
      <c r="B58" s="2" t="s">
        <v>246</v>
      </c>
      <c r="C58" s="2" t="s">
        <v>239</v>
      </c>
      <c r="D58" s="2" t="s">
        <v>85</v>
      </c>
      <c r="E58" s="2" t="s">
        <v>84</v>
      </c>
      <c r="G58" s="2">
        <v>3.1123560535185099E-2</v>
      </c>
      <c r="H58" s="2">
        <v>5.3907588159386302E-2</v>
      </c>
      <c r="I58" s="2">
        <v>137.37037037037001</v>
      </c>
      <c r="J58" s="2">
        <v>14.5679901650352</v>
      </c>
      <c r="K58" s="2">
        <v>0.172500755764074</v>
      </c>
      <c r="L58" s="2">
        <v>9.0859054694614305E-2</v>
      </c>
      <c r="M58" s="2">
        <v>1.11816848698407</v>
      </c>
      <c r="N58" s="2">
        <v>0.34863049052600098</v>
      </c>
      <c r="O58" s="2">
        <v>1.00042125152962</v>
      </c>
      <c r="P58" s="2">
        <v>1.18408326625147</v>
      </c>
      <c r="Q58" s="2">
        <v>0</v>
      </c>
      <c r="R58" s="2">
        <v>0</v>
      </c>
      <c r="S58" s="2">
        <v>0.23219977113703699</v>
      </c>
      <c r="T58" s="2">
        <v>0.13033967894898099</v>
      </c>
      <c r="U58" s="2">
        <v>90.291255454418604</v>
      </c>
      <c r="V58" s="2">
        <v>12.372250969664799</v>
      </c>
      <c r="W58" s="2">
        <v>15.8215452581262</v>
      </c>
      <c r="X58" s="2">
        <v>27.403720241325001</v>
      </c>
      <c r="Y58" s="2">
        <v>36.4520947415579</v>
      </c>
      <c r="Z58" s="2">
        <v>29.300054466161299</v>
      </c>
      <c r="AA58" s="2">
        <v>183.733709602114</v>
      </c>
      <c r="AB58" s="2">
        <v>168.83240279174601</v>
      </c>
      <c r="AC58" s="2">
        <v>106.408742332521</v>
      </c>
      <c r="AD58" s="2">
        <v>50.848910596841598</v>
      </c>
      <c r="AE58" s="2">
        <v>0</v>
      </c>
      <c r="AF58" s="2">
        <v>0</v>
      </c>
      <c r="AG58" s="2">
        <v>94.183611012238799</v>
      </c>
      <c r="AH58" s="2">
        <v>25.9621490291029</v>
      </c>
      <c r="AI58" s="2">
        <v>98.827077992706293</v>
      </c>
      <c r="AJ58" s="2">
        <v>1.13078720746013</v>
      </c>
    </row>
    <row r="59" spans="1:36" ht="15.75" customHeight="1" x14ac:dyDescent="0.45">
      <c r="A59" s="2" t="s">
        <v>238</v>
      </c>
      <c r="B59" s="2" t="s">
        <v>246</v>
      </c>
      <c r="C59" s="2" t="s">
        <v>240</v>
      </c>
      <c r="D59" s="2" t="s">
        <v>85</v>
      </c>
      <c r="E59" s="2" t="s">
        <v>84</v>
      </c>
      <c r="G59" s="2">
        <v>0</v>
      </c>
      <c r="H59" s="2">
        <v>0</v>
      </c>
      <c r="I59" s="2">
        <v>142.74074074073999</v>
      </c>
      <c r="J59" s="2">
        <v>21.508635455950099</v>
      </c>
      <c r="K59" s="2">
        <v>0.28478716318481401</v>
      </c>
      <c r="L59" s="2">
        <v>0.28309636152497097</v>
      </c>
      <c r="M59" s="2">
        <v>0.33121126794148098</v>
      </c>
      <c r="N59" s="2">
        <v>0.14154419898862999</v>
      </c>
      <c r="O59" s="2">
        <v>1.52306725836444</v>
      </c>
      <c r="P59" s="2">
        <v>1.05634015889074</v>
      </c>
      <c r="Q59" s="2">
        <v>0</v>
      </c>
      <c r="R59" s="2">
        <v>0</v>
      </c>
      <c r="S59" s="2">
        <v>5.8894463454074002E-2</v>
      </c>
      <c r="T59" s="2">
        <v>5.1291586210669302E-2</v>
      </c>
      <c r="U59" s="2">
        <v>93.329350797401503</v>
      </c>
      <c r="V59" s="2">
        <v>10.7608285470104</v>
      </c>
      <c r="W59" s="2">
        <v>0</v>
      </c>
      <c r="X59" s="2">
        <v>0</v>
      </c>
      <c r="Y59" s="2">
        <v>81.7462616448977</v>
      </c>
      <c r="Z59" s="2">
        <v>71.593655586994501</v>
      </c>
      <c r="AA59" s="2">
        <v>275.73163261906399</v>
      </c>
      <c r="AB59" s="2">
        <v>410.39589596809998</v>
      </c>
      <c r="AC59" s="2">
        <v>31.107607470232299</v>
      </c>
      <c r="AD59" s="2">
        <v>16.7301973003282</v>
      </c>
      <c r="AE59" s="2">
        <v>0</v>
      </c>
      <c r="AF59" s="2">
        <v>0</v>
      </c>
      <c r="AG59" s="2">
        <v>32.731133498775897</v>
      </c>
      <c r="AH59" s="2">
        <v>32.600158893807603</v>
      </c>
      <c r="AI59" s="2">
        <v>98.192145578450706</v>
      </c>
      <c r="AJ59" s="2">
        <v>0.84120357659918499</v>
      </c>
    </row>
    <row r="60" spans="1:36" ht="15.75" customHeight="1" x14ac:dyDescent="0.45">
      <c r="A60" s="2" t="s">
        <v>238</v>
      </c>
      <c r="B60" s="2" t="s">
        <v>246</v>
      </c>
      <c r="C60" s="2" t="s">
        <v>241</v>
      </c>
      <c r="D60" s="2" t="s">
        <v>85</v>
      </c>
      <c r="E60" s="2" t="s">
        <v>84</v>
      </c>
      <c r="G60" s="2">
        <v>0.18196758640555499</v>
      </c>
      <c r="H60" s="2">
        <v>0.24440824812039599</v>
      </c>
      <c r="I60" s="2">
        <v>135.62962962962899</v>
      </c>
      <c r="J60" s="2">
        <v>3.52825164504873</v>
      </c>
      <c r="K60" s="2">
        <v>0.14473141457111099</v>
      </c>
      <c r="L60" s="2">
        <v>0.10314665165051</v>
      </c>
      <c r="M60" s="2">
        <v>0.41597407918444401</v>
      </c>
      <c r="N60" s="2">
        <v>0.40643714434357497</v>
      </c>
      <c r="O60" s="2">
        <v>0.80184488581999902</v>
      </c>
      <c r="P60" s="2">
        <v>0.37617129141278599</v>
      </c>
      <c r="Q60" s="2">
        <v>2.5542784163333301E-2</v>
      </c>
      <c r="R60" s="2">
        <v>4.4241399937659E-2</v>
      </c>
      <c r="S60" s="2">
        <v>2.8710881424073999E-2</v>
      </c>
      <c r="T60" s="2">
        <v>4.97287053565817E-2</v>
      </c>
      <c r="U60" s="2">
        <v>88.933792383578293</v>
      </c>
      <c r="V60" s="2">
        <v>1.9830547039259101</v>
      </c>
      <c r="W60" s="2">
        <v>82.849619884192094</v>
      </c>
      <c r="X60" s="2">
        <v>130.86980455731501</v>
      </c>
      <c r="Y60" s="2">
        <v>37.098872428404398</v>
      </c>
      <c r="Z60" s="2">
        <v>14.6687503063355</v>
      </c>
      <c r="AA60" s="2">
        <v>99.6413870479862</v>
      </c>
      <c r="AB60" s="2">
        <v>25.731036720762699</v>
      </c>
      <c r="AC60" s="2">
        <v>46.999496111002898</v>
      </c>
      <c r="AD60" s="2">
        <v>56.471121765094502</v>
      </c>
      <c r="AE60" s="2">
        <v>188.965517240151</v>
      </c>
      <c r="AF60" s="2">
        <v>267.23759730186799</v>
      </c>
      <c r="AG60" s="2">
        <v>10.283232591165801</v>
      </c>
      <c r="AH60" s="2">
        <v>17.811081313947302</v>
      </c>
      <c r="AI60" s="2">
        <v>99.0534236996088</v>
      </c>
      <c r="AJ60" s="2">
        <v>0.28398403362805202</v>
      </c>
    </row>
    <row r="61" spans="1:36" ht="15.75" customHeight="1" x14ac:dyDescent="0.45">
      <c r="A61" s="2" t="s">
        <v>238</v>
      </c>
      <c r="B61" s="2" t="s">
        <v>246</v>
      </c>
      <c r="C61" s="2" t="s">
        <v>242</v>
      </c>
      <c r="D61" s="2" t="s">
        <v>85</v>
      </c>
      <c r="E61" s="2" t="s">
        <v>84</v>
      </c>
      <c r="G61" s="2">
        <v>0</v>
      </c>
      <c r="H61" s="2">
        <v>0</v>
      </c>
      <c r="I61" s="2">
        <v>122.31018518518501</v>
      </c>
      <c r="J61" s="2">
        <v>5.9606530924105998</v>
      </c>
      <c r="K61" s="2">
        <v>0.14960046924097201</v>
      </c>
      <c r="L61" s="2">
        <v>0.134064207885599</v>
      </c>
      <c r="M61" s="2">
        <v>0</v>
      </c>
      <c r="N61" s="2">
        <v>0</v>
      </c>
      <c r="O61" s="2">
        <v>0.56148842042036995</v>
      </c>
      <c r="P61" s="2">
        <v>0.37833904447643202</v>
      </c>
      <c r="Q61" s="2">
        <v>0</v>
      </c>
      <c r="R61" s="2">
        <v>0</v>
      </c>
      <c r="S61" s="2">
        <v>0</v>
      </c>
      <c r="T61" s="2">
        <v>0</v>
      </c>
      <c r="U61" s="2">
        <v>80.237040948702003</v>
      </c>
      <c r="V61" s="2">
        <v>4.8016533416229503</v>
      </c>
      <c r="W61" s="2">
        <v>0</v>
      </c>
      <c r="X61" s="2">
        <v>0</v>
      </c>
      <c r="Y61" s="2">
        <v>24.590398069847499</v>
      </c>
      <c r="Z61" s="2">
        <v>13.404541334701999</v>
      </c>
      <c r="AA61" s="2">
        <v>107.89870467159599</v>
      </c>
      <c r="AB61" s="2">
        <v>129.83868728347801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99.288911110338603</v>
      </c>
      <c r="AJ61" s="2">
        <v>0.25889759479576802</v>
      </c>
    </row>
    <row r="62" spans="1:36" ht="15.75" customHeight="1" x14ac:dyDescent="0.45">
      <c r="A62" s="2" t="s">
        <v>238</v>
      </c>
      <c r="B62" s="2" t="s">
        <v>246</v>
      </c>
      <c r="C62" s="2" t="s">
        <v>243</v>
      </c>
      <c r="D62" s="2" t="s">
        <v>85</v>
      </c>
      <c r="E62" s="2" t="s">
        <v>84</v>
      </c>
      <c r="G62" s="2">
        <v>0</v>
      </c>
      <c r="H62" s="2">
        <v>0</v>
      </c>
      <c r="I62" s="2">
        <v>133.111111111111</v>
      </c>
      <c r="J62" s="2">
        <v>15.3482214355464</v>
      </c>
      <c r="K62" s="2">
        <v>0.42892970868333302</v>
      </c>
      <c r="L62" s="2">
        <v>0.24122091639401699</v>
      </c>
      <c r="M62" s="2">
        <v>0</v>
      </c>
      <c r="N62" s="2">
        <v>0</v>
      </c>
      <c r="O62" s="2">
        <v>0.68249024230259203</v>
      </c>
      <c r="P62" s="2">
        <v>0.19357227223452</v>
      </c>
      <c r="Q62" s="2">
        <v>0</v>
      </c>
      <c r="R62" s="2">
        <v>0</v>
      </c>
      <c r="S62" s="2">
        <v>7.9498690610370307E-2</v>
      </c>
      <c r="T62" s="2">
        <v>0.13769577127235999</v>
      </c>
      <c r="U62" s="2">
        <v>87.199591048534899</v>
      </c>
      <c r="V62" s="2">
        <v>8.8824802712157993</v>
      </c>
      <c r="W62" s="2">
        <v>0</v>
      </c>
      <c r="X62" s="2">
        <v>0</v>
      </c>
      <c r="Y62" s="2">
        <v>37.201153749476397</v>
      </c>
      <c r="Z62" s="2">
        <v>20.618066000563498</v>
      </c>
      <c r="AA62" s="2">
        <v>440.38408871217899</v>
      </c>
      <c r="AB62" s="2">
        <v>426.46748601370899</v>
      </c>
      <c r="AC62" s="2">
        <v>0</v>
      </c>
      <c r="AD62" s="2">
        <v>0</v>
      </c>
      <c r="AE62" s="2">
        <v>0</v>
      </c>
      <c r="AF62" s="2">
        <v>0</v>
      </c>
      <c r="AG62" s="2">
        <v>62.509547048549599</v>
      </c>
      <c r="AH62" s="2">
        <v>108.26971144620499</v>
      </c>
      <c r="AI62" s="2">
        <v>98.888580049013996</v>
      </c>
      <c r="AJ62" s="2">
        <v>9.5859900855647995E-2</v>
      </c>
    </row>
    <row r="63" spans="1:36" ht="15.75" customHeight="1" x14ac:dyDescent="0.45">
      <c r="A63" s="2" t="s">
        <v>238</v>
      </c>
      <c r="B63" s="2" t="s">
        <v>246</v>
      </c>
      <c r="C63" s="2" t="s">
        <v>244</v>
      </c>
      <c r="D63" s="2" t="s">
        <v>85</v>
      </c>
      <c r="E63" s="2" t="s">
        <v>84</v>
      </c>
      <c r="G63" s="2">
        <v>0</v>
      </c>
      <c r="H63" s="2">
        <v>0</v>
      </c>
      <c r="I63" s="2">
        <v>71.023148148148096</v>
      </c>
      <c r="J63" s="2">
        <v>6.4888367657089301</v>
      </c>
      <c r="K63" s="2">
        <v>0.32848626202592501</v>
      </c>
      <c r="L63" s="2">
        <v>0.28888923240832298</v>
      </c>
      <c r="M63" s="2">
        <v>0</v>
      </c>
      <c r="N63" s="2">
        <v>0</v>
      </c>
      <c r="O63" s="2">
        <v>2.8885677721652701</v>
      </c>
      <c r="P63" s="2">
        <v>0.62369320051416</v>
      </c>
      <c r="Q63" s="2">
        <v>0</v>
      </c>
      <c r="R63" s="2">
        <v>0</v>
      </c>
      <c r="S63" s="2">
        <v>1.6978893819472201</v>
      </c>
      <c r="T63" s="2">
        <v>0.94111231206822399</v>
      </c>
      <c r="U63" s="2">
        <v>46.618266025068401</v>
      </c>
      <c r="V63" s="2">
        <v>4.8398244276577804</v>
      </c>
      <c r="W63" s="2">
        <v>0</v>
      </c>
      <c r="X63" s="2">
        <v>0</v>
      </c>
      <c r="Y63" s="2">
        <v>151.067667223537</v>
      </c>
      <c r="Z63" s="2">
        <v>76.258780209598001</v>
      </c>
      <c r="AA63" s="2">
        <v>281.00160659525898</v>
      </c>
      <c r="AB63" s="2">
        <v>385.48261940669602</v>
      </c>
      <c r="AC63" s="2">
        <v>0</v>
      </c>
      <c r="AD63" s="2">
        <v>0</v>
      </c>
      <c r="AE63" s="2">
        <v>0</v>
      </c>
      <c r="AF63" s="2">
        <v>0</v>
      </c>
      <c r="AG63" s="2">
        <v>782.94838328890296</v>
      </c>
      <c r="AH63" s="2">
        <v>351.30918262344198</v>
      </c>
      <c r="AI63" s="2">
        <v>96.782945965808693</v>
      </c>
      <c r="AJ63" s="2">
        <v>0.74551215725930398</v>
      </c>
    </row>
    <row r="64" spans="1:36" ht="15.75" customHeight="1" x14ac:dyDescent="0.45">
      <c r="A64" s="2" t="s">
        <v>238</v>
      </c>
      <c r="B64" s="2" t="s">
        <v>246</v>
      </c>
      <c r="C64" s="2" t="s">
        <v>245</v>
      </c>
      <c r="D64" s="2" t="s">
        <v>85</v>
      </c>
      <c r="E64" s="2" t="s">
        <v>84</v>
      </c>
      <c r="G64" s="2">
        <v>6.02228244518518E-2</v>
      </c>
      <c r="H64" s="2">
        <v>0.104308991725908</v>
      </c>
      <c r="I64" s="2">
        <v>100.259259259259</v>
      </c>
      <c r="J64" s="2">
        <v>2.01945272299487</v>
      </c>
      <c r="K64" s="2">
        <v>0.386221264783703</v>
      </c>
      <c r="L64" s="2">
        <v>0.117683215092654</v>
      </c>
      <c r="M64" s="2">
        <v>0</v>
      </c>
      <c r="N64" s="2">
        <v>0</v>
      </c>
      <c r="O64" s="2">
        <v>1.13945262814851</v>
      </c>
      <c r="P64" s="2">
        <v>0.26897169645767699</v>
      </c>
      <c r="Q64" s="2">
        <v>0</v>
      </c>
      <c r="R64" s="2">
        <v>0</v>
      </c>
      <c r="S64" s="2">
        <v>0.22688371318259201</v>
      </c>
      <c r="T64" s="2">
        <v>9.4005130192389305E-2</v>
      </c>
      <c r="U64" s="2">
        <v>65.806263959601694</v>
      </c>
      <c r="V64" s="2">
        <v>3.7601862313068302</v>
      </c>
      <c r="W64" s="2">
        <v>30.6140469230698</v>
      </c>
      <c r="X64" s="2">
        <v>53.025084696054599</v>
      </c>
      <c r="Y64" s="2">
        <v>60.868687163859001</v>
      </c>
      <c r="Z64" s="2">
        <v>32.394360572844299</v>
      </c>
      <c r="AA64" s="2">
        <v>397.33161525763597</v>
      </c>
      <c r="AB64" s="2">
        <v>299.65940565589398</v>
      </c>
      <c r="AC64" s="2">
        <v>0</v>
      </c>
      <c r="AD64" s="2">
        <v>0</v>
      </c>
      <c r="AE64" s="2">
        <v>0</v>
      </c>
      <c r="AF64" s="2">
        <v>0</v>
      </c>
      <c r="AG64" s="2">
        <v>118.13261026361801</v>
      </c>
      <c r="AH64" s="2">
        <v>81.556411066290593</v>
      </c>
      <c r="AI64" s="2">
        <v>98.474326107067697</v>
      </c>
      <c r="AJ64" s="2">
        <v>0.20032078050723201</v>
      </c>
    </row>
    <row r="65" spans="1:36" ht="15.75" customHeight="1" x14ac:dyDescent="0.45">
      <c r="A65" s="2" t="s">
        <v>238</v>
      </c>
      <c r="B65" s="2" t="s">
        <v>246</v>
      </c>
      <c r="C65" s="2" t="s">
        <v>246</v>
      </c>
      <c r="D65" s="2" t="s">
        <v>85</v>
      </c>
      <c r="E65" s="2" t="s">
        <v>84</v>
      </c>
      <c r="G65" s="2">
        <v>0</v>
      </c>
      <c r="H65" s="2">
        <v>0</v>
      </c>
      <c r="I65" s="2">
        <v>111.56018518518501</v>
      </c>
      <c r="J65" s="2">
        <v>6.5853889976999502</v>
      </c>
      <c r="K65" s="2">
        <v>0.100729798187268</v>
      </c>
      <c r="L65" s="2">
        <v>0.102698677785484</v>
      </c>
      <c r="M65" s="2">
        <v>3.8182512411111098E-2</v>
      </c>
      <c r="N65" s="2">
        <v>6.6134051456673601E-2</v>
      </c>
      <c r="O65" s="2">
        <v>1.52469843826</v>
      </c>
      <c r="P65" s="2">
        <v>1.2092215211247499</v>
      </c>
      <c r="Q65" s="2">
        <v>0</v>
      </c>
      <c r="R65" s="2">
        <v>0</v>
      </c>
      <c r="S65" s="2">
        <v>0.492118614812036</v>
      </c>
      <c r="T65" s="2">
        <v>0.44033667005230998</v>
      </c>
      <c r="U65" s="2">
        <v>73.074913132571396</v>
      </c>
      <c r="V65" s="2">
        <v>1.0886269110622999</v>
      </c>
      <c r="W65" s="2">
        <v>0</v>
      </c>
      <c r="X65" s="2">
        <v>0</v>
      </c>
      <c r="Y65" s="2">
        <v>62.739516176379098</v>
      </c>
      <c r="Z65" s="2">
        <v>22.917526761450599</v>
      </c>
      <c r="AA65" s="2">
        <v>61.807520051610602</v>
      </c>
      <c r="AB65" s="2">
        <v>64.423300044164407</v>
      </c>
      <c r="AC65" s="2">
        <v>2.7206304438682101</v>
      </c>
      <c r="AD65" s="2">
        <v>4.71227015739841</v>
      </c>
      <c r="AE65" s="2">
        <v>0</v>
      </c>
      <c r="AF65" s="2">
        <v>0</v>
      </c>
      <c r="AG65" s="2">
        <v>212.013618814328</v>
      </c>
      <c r="AH65" s="2">
        <v>140.42797714537599</v>
      </c>
      <c r="AI65" s="2">
        <v>98.374571763552694</v>
      </c>
      <c r="AJ65" s="2">
        <v>1.1145611921762</v>
      </c>
    </row>
    <row r="66" spans="1:36" ht="15.75" customHeight="1" x14ac:dyDescent="0.45">
      <c r="A66" s="2" t="s">
        <v>147</v>
      </c>
      <c r="B66" s="2" t="s">
        <v>247</v>
      </c>
      <c r="C66" s="2" t="s">
        <v>247</v>
      </c>
      <c r="D66" s="2" t="s">
        <v>85</v>
      </c>
      <c r="E66" s="2" t="s">
        <v>84</v>
      </c>
      <c r="G66" s="2">
        <v>0.21798209741313601</v>
      </c>
      <c r="H66" s="2">
        <v>0.37645838337967802</v>
      </c>
      <c r="I66" s="2">
        <v>146.37955246913501</v>
      </c>
      <c r="J66" s="2">
        <v>12.624600152675299</v>
      </c>
      <c r="K66" s="2">
        <v>0.187947458936774</v>
      </c>
      <c r="L66" s="2">
        <v>0.16591719033272501</v>
      </c>
      <c r="M66" s="2">
        <v>1.1993054390529201</v>
      </c>
      <c r="N66" s="2">
        <v>0.44718524022016598</v>
      </c>
      <c r="O66" s="2">
        <v>2.32280724308165</v>
      </c>
      <c r="P66" s="2">
        <v>1.5181046197616701</v>
      </c>
      <c r="Q66" s="2">
        <v>1.7290758096447902E-2</v>
      </c>
      <c r="R66" s="2">
        <v>3.8621967638906199E-2</v>
      </c>
      <c r="S66" s="2">
        <v>0.22713726012650101</v>
      </c>
      <c r="T66" s="2">
        <v>0.14773592374237701</v>
      </c>
      <c r="U66" s="2">
        <v>99.999999999999901</v>
      </c>
      <c r="V66" s="2">
        <v>6.13102264665494</v>
      </c>
      <c r="W66" s="2">
        <v>100</v>
      </c>
      <c r="X66" s="2">
        <v>91.5832348341102</v>
      </c>
      <c r="Y66" s="2">
        <v>99.999999999999901</v>
      </c>
      <c r="Z66" s="2">
        <v>38.134785212286502</v>
      </c>
      <c r="AA66" s="2">
        <v>100</v>
      </c>
      <c r="AB66" s="2">
        <v>86.582960562203795</v>
      </c>
      <c r="AC66" s="2">
        <v>100</v>
      </c>
      <c r="AD66" s="2">
        <v>31.197236588373599</v>
      </c>
      <c r="AE66" s="2">
        <v>100</v>
      </c>
      <c r="AF66" s="2">
        <v>154.86881717933201</v>
      </c>
      <c r="AG66" s="2">
        <v>100</v>
      </c>
      <c r="AH66" s="2">
        <v>65.310949232645896</v>
      </c>
      <c r="AI66" s="2">
        <v>97.489245297981498</v>
      </c>
      <c r="AJ66" s="2">
        <v>1.5909464503394299</v>
      </c>
    </row>
    <row r="67" spans="1:36" ht="15.75" customHeight="1" x14ac:dyDescent="0.45">
      <c r="A67" s="6" t="s">
        <v>248</v>
      </c>
      <c r="B67" s="6" t="s">
        <v>247</v>
      </c>
      <c r="C67" s="6" t="s">
        <v>247</v>
      </c>
      <c r="D67" s="6" t="s">
        <v>85</v>
      </c>
      <c r="E67" s="6" t="s">
        <v>84</v>
      </c>
      <c r="F67" s="6"/>
      <c r="G67" s="6">
        <v>0.13475249458122801</v>
      </c>
      <c r="H67" s="6">
        <v>0.198999637878746</v>
      </c>
      <c r="I67" s="6">
        <v>146.51614858906501</v>
      </c>
      <c r="J67" s="6">
        <v>9.3946798523202606</v>
      </c>
      <c r="K67" s="6">
        <v>0.15868561387365501</v>
      </c>
      <c r="L67" s="6">
        <v>0.13796862386623099</v>
      </c>
      <c r="M67" s="6">
        <v>0.65056501544579703</v>
      </c>
      <c r="N67" s="6">
        <v>0.27965687406711298</v>
      </c>
      <c r="O67" s="6">
        <v>2.8014086846222499</v>
      </c>
      <c r="P67" s="6">
        <v>1.6481089661231101</v>
      </c>
      <c r="Q67" s="6">
        <v>4.1404529381481401E-3</v>
      </c>
      <c r="R67" s="6">
        <v>1.7429477836772601E-2</v>
      </c>
      <c r="S67" s="6">
        <v>0.17344604784497999</v>
      </c>
      <c r="T67" s="6">
        <v>0.13263158705220399</v>
      </c>
      <c r="U67" s="6">
        <v>100.431740653795</v>
      </c>
      <c r="V67" s="6">
        <v>8.5961364761616199</v>
      </c>
      <c r="W67" s="6">
        <v>116.700409873955</v>
      </c>
      <c r="X67" s="6">
        <v>245.56218614465899</v>
      </c>
      <c r="Y67" s="6">
        <v>136.79933340736201</v>
      </c>
      <c r="Z67" s="6">
        <v>93.4410047209916</v>
      </c>
      <c r="AA67" s="6">
        <v>113.227861513467</v>
      </c>
      <c r="AB67" s="6">
        <v>117.765477417075</v>
      </c>
      <c r="AC67" s="6">
        <v>57.659580764913997</v>
      </c>
      <c r="AD67" s="6">
        <v>31.315186461427299</v>
      </c>
      <c r="AE67" s="6">
        <v>34.211008057967099</v>
      </c>
      <c r="AF67" s="6">
        <v>114.86821090806799</v>
      </c>
      <c r="AG67" s="6">
        <v>89.097780430366299</v>
      </c>
      <c r="AH67" s="6">
        <v>76.591829262925401</v>
      </c>
      <c r="AI67" s="6">
        <v>97.039905701503997</v>
      </c>
      <c r="AJ67" s="6">
        <v>1.67546191187667</v>
      </c>
    </row>
    <row r="68" spans="1:36" ht="15.75" customHeight="1" x14ac:dyDescent="0.45">
      <c r="A68" s="2" t="s">
        <v>238</v>
      </c>
      <c r="B68" s="2" t="s">
        <v>239</v>
      </c>
      <c r="C68" s="2" t="s">
        <v>239</v>
      </c>
      <c r="D68" s="2" t="s">
        <v>83</v>
      </c>
      <c r="E68" s="2" t="s">
        <v>84</v>
      </c>
      <c r="G68" s="2">
        <v>1.45645966720203</v>
      </c>
      <c r="H68" s="2">
        <v>0.76669502976511505</v>
      </c>
      <c r="I68" s="2">
        <v>248.847222222222</v>
      </c>
      <c r="J68" s="2">
        <v>25.3191549322149</v>
      </c>
      <c r="K68" s="2">
        <v>18.561156494810099</v>
      </c>
      <c r="L68" s="2">
        <v>0.74888654484598605</v>
      </c>
      <c r="M68" s="2">
        <v>30.5042983352037</v>
      </c>
      <c r="N68" s="2">
        <v>2.4064573736189301</v>
      </c>
      <c r="O68" s="2">
        <v>2.0257525260070799</v>
      </c>
      <c r="P68" s="2">
        <v>0.55766532109308098</v>
      </c>
      <c r="Q68" s="2">
        <v>0.20852893733435099</v>
      </c>
      <c r="R68" s="2">
        <v>0.103417687870101</v>
      </c>
      <c r="S68" s="2">
        <v>4.4317769773648097</v>
      </c>
      <c r="T68" s="2">
        <v>0.72468081173927301</v>
      </c>
      <c r="U68" s="2">
        <v>97.731946068617205</v>
      </c>
      <c r="V68" s="2">
        <v>14.1580487145673</v>
      </c>
      <c r="W68" s="2">
        <v>69.549909717671397</v>
      </c>
      <c r="X68" s="2">
        <v>21.135506428334001</v>
      </c>
      <c r="Y68" s="2">
        <v>71.397297698018207</v>
      </c>
      <c r="Z68" s="2">
        <v>20.633020687717</v>
      </c>
      <c r="AA68" s="2">
        <v>102.674623415808</v>
      </c>
      <c r="AB68" s="2">
        <v>3.75663307660645</v>
      </c>
      <c r="AC68" s="2">
        <v>94.845394207934206</v>
      </c>
      <c r="AD68" s="2">
        <v>11.245280287681499</v>
      </c>
      <c r="AE68" s="2">
        <v>55.266993211773098</v>
      </c>
      <c r="AF68" s="2">
        <v>48.285386151040903</v>
      </c>
      <c r="AG68" s="2">
        <v>102.33834310124099</v>
      </c>
      <c r="AH68" s="2">
        <v>8.3087612940325499</v>
      </c>
      <c r="AI68" s="2">
        <v>79.413090979182698</v>
      </c>
      <c r="AJ68" s="2">
        <v>0.51150298206334099</v>
      </c>
    </row>
    <row r="69" spans="1:36" ht="15.75" customHeight="1" x14ac:dyDescent="0.45">
      <c r="A69" s="2" t="s">
        <v>238</v>
      </c>
      <c r="B69" s="2" t="s">
        <v>239</v>
      </c>
      <c r="C69" s="2" t="s">
        <v>240</v>
      </c>
      <c r="D69" s="2" t="s">
        <v>83</v>
      </c>
      <c r="E69" s="2" t="s">
        <v>84</v>
      </c>
      <c r="G69" s="2">
        <v>1.25093974610898</v>
      </c>
      <c r="H69" s="2">
        <v>0.45850832483856102</v>
      </c>
      <c r="I69" s="2">
        <v>239.236111111111</v>
      </c>
      <c r="J69" s="2">
        <v>40.010229691145902</v>
      </c>
      <c r="K69" s="2">
        <v>18.454463377717499</v>
      </c>
      <c r="L69" s="2">
        <v>0.87081648876051998</v>
      </c>
      <c r="M69" s="2">
        <v>27.4441980318703</v>
      </c>
      <c r="N69" s="2">
        <v>4.1217442302626504</v>
      </c>
      <c r="O69" s="2">
        <v>2.2060264929620299</v>
      </c>
      <c r="P69" s="2">
        <v>0.57011384797923603</v>
      </c>
      <c r="Q69" s="2">
        <v>0.204415821997638</v>
      </c>
      <c r="R69" s="2">
        <v>0.12759884647265199</v>
      </c>
      <c r="S69" s="2">
        <v>3.6311774576315701</v>
      </c>
      <c r="T69" s="2">
        <v>0.51331785114254402</v>
      </c>
      <c r="U69" s="2">
        <v>93.184380599148497</v>
      </c>
      <c r="V69" s="2">
        <v>9.9520614766536895</v>
      </c>
      <c r="W69" s="2">
        <v>63.217288076200802</v>
      </c>
      <c r="X69" s="2">
        <v>9.0245147272828099</v>
      </c>
      <c r="Y69" s="2">
        <v>77.370789495566797</v>
      </c>
      <c r="Z69" s="2">
        <v>19.092243140468899</v>
      </c>
      <c r="AA69" s="2">
        <v>102.228743617112</v>
      </c>
      <c r="AB69" s="2">
        <v>8.0434844369117506</v>
      </c>
      <c r="AC69" s="2">
        <v>84.720993052637397</v>
      </c>
      <c r="AD69" s="2">
        <v>7.54606493093842</v>
      </c>
      <c r="AE69" s="2">
        <v>42.511623221075503</v>
      </c>
      <c r="AF69" s="2">
        <v>16.184124455176999</v>
      </c>
      <c r="AG69" s="2">
        <v>85.293472260999295</v>
      </c>
      <c r="AH69" s="2">
        <v>18.631462627145201</v>
      </c>
      <c r="AI69" s="2">
        <v>79.339510129320303</v>
      </c>
      <c r="AJ69" s="2">
        <v>0.70514473660840604</v>
      </c>
    </row>
    <row r="70" spans="1:36" ht="15.75" customHeight="1" x14ac:dyDescent="0.45">
      <c r="A70" s="2" t="s">
        <v>238</v>
      </c>
      <c r="B70" s="2" t="s">
        <v>239</v>
      </c>
      <c r="C70" s="2" t="s">
        <v>241</v>
      </c>
      <c r="D70" s="2" t="s">
        <v>83</v>
      </c>
      <c r="E70" s="2" t="s">
        <v>84</v>
      </c>
      <c r="G70" s="2">
        <v>2.34790408913925</v>
      </c>
      <c r="H70" s="2">
        <v>0.83598590242391602</v>
      </c>
      <c r="I70" s="2">
        <v>245.18518518518499</v>
      </c>
      <c r="J70" s="2">
        <v>48.382265567035901</v>
      </c>
      <c r="K70" s="2">
        <v>19.923819057259202</v>
      </c>
      <c r="L70" s="2">
        <v>1.4212556717275699</v>
      </c>
      <c r="M70" s="2">
        <v>25.380483026533302</v>
      </c>
      <c r="N70" s="2">
        <v>12.8209944626739</v>
      </c>
      <c r="O70" s="2">
        <v>3.1503625879955499</v>
      </c>
      <c r="P70" s="2">
        <v>1.7583620171783301</v>
      </c>
      <c r="Q70" s="2">
        <v>0.51834030164629596</v>
      </c>
      <c r="R70" s="2">
        <v>0.32000641564436499</v>
      </c>
      <c r="S70" s="2">
        <v>3.8274662170999898</v>
      </c>
      <c r="T70" s="2">
        <v>0.817022447252579</v>
      </c>
      <c r="U70" s="2">
        <v>95.640103564790195</v>
      </c>
      <c r="V70" s="2">
        <v>15.8904319684776</v>
      </c>
      <c r="W70" s="2">
        <v>125.711838732667</v>
      </c>
      <c r="X70" s="2">
        <v>48.419230135210903</v>
      </c>
      <c r="Y70" s="2">
        <v>109.751607177336</v>
      </c>
      <c r="Z70" s="2">
        <v>58.262299553351497</v>
      </c>
      <c r="AA70" s="2">
        <v>110.127384430326</v>
      </c>
      <c r="AB70" s="2">
        <v>5.57821945175625</v>
      </c>
      <c r="AC70" s="2">
        <v>77.111648985738597</v>
      </c>
      <c r="AD70" s="2">
        <v>33.404350977151303</v>
      </c>
      <c r="AE70" s="2">
        <v>107.574511871897</v>
      </c>
      <c r="AF70" s="2">
        <v>39.456648538685599</v>
      </c>
      <c r="AG70" s="2">
        <v>90.392578653050805</v>
      </c>
      <c r="AH70" s="2">
        <v>27.962992758786701</v>
      </c>
      <c r="AI70" s="2">
        <v>76.925818354745104</v>
      </c>
      <c r="AJ70" s="2">
        <v>1.86744411131529</v>
      </c>
    </row>
    <row r="71" spans="1:36" ht="15.75" customHeight="1" x14ac:dyDescent="0.45">
      <c r="A71" s="2" t="s">
        <v>238</v>
      </c>
      <c r="B71" s="2" t="s">
        <v>239</v>
      </c>
      <c r="C71" s="2" t="s">
        <v>242</v>
      </c>
      <c r="D71" s="2" t="s">
        <v>83</v>
      </c>
      <c r="E71" s="2" t="s">
        <v>84</v>
      </c>
      <c r="G71" s="2">
        <v>0.91820298331296202</v>
      </c>
      <c r="H71" s="2">
        <v>0.58306093462859399</v>
      </c>
      <c r="I71" s="2">
        <v>120.138888888888</v>
      </c>
      <c r="J71" s="2">
        <v>8.0018805660041394</v>
      </c>
      <c r="K71" s="2">
        <v>20.360182632958299</v>
      </c>
      <c r="L71" s="2">
        <v>0.125628613467966</v>
      </c>
      <c r="M71" s="2">
        <v>6.5022663813629604</v>
      </c>
      <c r="N71" s="2">
        <v>3.1837139893814799</v>
      </c>
      <c r="O71" s="2">
        <v>2.1698386328117998</v>
      </c>
      <c r="P71" s="2">
        <v>0.64165369148653995</v>
      </c>
      <c r="Q71" s="2">
        <v>0.398899509832222</v>
      </c>
      <c r="R71" s="2">
        <v>0.122710163780009</v>
      </c>
      <c r="S71" s="2">
        <v>4.0392536715149996</v>
      </c>
      <c r="T71" s="2">
        <v>0.281127820746704</v>
      </c>
      <c r="U71" s="2">
        <v>46.988415795305997</v>
      </c>
      <c r="V71" s="2">
        <v>1.7409749525364899</v>
      </c>
      <c r="W71" s="2">
        <v>49.447751874946903</v>
      </c>
      <c r="X71" s="2">
        <v>29.012522891761801</v>
      </c>
      <c r="Y71" s="2">
        <v>76.454118036874306</v>
      </c>
      <c r="Z71" s="2">
        <v>23.549248377439898</v>
      </c>
      <c r="AA71" s="2">
        <v>112.707709559964</v>
      </c>
      <c r="AB71" s="2">
        <v>5.01946140900841</v>
      </c>
      <c r="AC71" s="2">
        <v>19.7490147676878</v>
      </c>
      <c r="AD71" s="2">
        <v>8.2647522710691792</v>
      </c>
      <c r="AE71" s="2">
        <v>90.136401816421099</v>
      </c>
      <c r="AF71" s="2">
        <v>32.348289779084901</v>
      </c>
      <c r="AG71" s="2">
        <v>93.844369671554901</v>
      </c>
      <c r="AH71" s="2">
        <v>3.4186220236254701</v>
      </c>
      <c r="AI71" s="2">
        <v>77.469978734229798</v>
      </c>
      <c r="AJ71" s="2">
        <v>0.64949037391711195</v>
      </c>
    </row>
    <row r="72" spans="1:36" ht="15.75" customHeight="1" x14ac:dyDescent="0.45">
      <c r="A72" s="2" t="s">
        <v>238</v>
      </c>
      <c r="B72" s="2" t="s">
        <v>239</v>
      </c>
      <c r="C72" s="2" t="s">
        <v>243</v>
      </c>
      <c r="D72" s="2" t="s">
        <v>83</v>
      </c>
      <c r="E72" s="2" t="s">
        <v>84</v>
      </c>
      <c r="G72" s="2">
        <v>0</v>
      </c>
      <c r="H72" s="2">
        <v>0</v>
      </c>
      <c r="I72" s="2">
        <v>72.1527777777777</v>
      </c>
      <c r="J72" s="2">
        <v>2.3732937340644602</v>
      </c>
      <c r="K72" s="2">
        <v>18.523246694427701</v>
      </c>
      <c r="L72" s="2">
        <v>5.4484506805100201</v>
      </c>
      <c r="M72" s="2">
        <v>0</v>
      </c>
      <c r="N72" s="2">
        <v>0</v>
      </c>
      <c r="O72" s="2">
        <v>3.0418610810685101</v>
      </c>
      <c r="P72" s="2">
        <v>0.57615855799596305</v>
      </c>
      <c r="Q72" s="2">
        <v>0.37609309690833298</v>
      </c>
      <c r="R72" s="2">
        <v>0.159455545076092</v>
      </c>
      <c r="S72" s="2">
        <v>3.4788338188879599</v>
      </c>
      <c r="T72" s="2">
        <v>1.36702621884215</v>
      </c>
      <c r="U72" s="2">
        <v>28.290199915808</v>
      </c>
      <c r="V72" s="2">
        <v>2.0740446006914701</v>
      </c>
      <c r="W72" s="2">
        <v>0</v>
      </c>
      <c r="X72" s="2">
        <v>0</v>
      </c>
      <c r="Y72" s="2">
        <v>106.73696077103099</v>
      </c>
      <c r="Z72" s="2">
        <v>18.8138122908992</v>
      </c>
      <c r="AA72" s="2">
        <v>102.44551279434199</v>
      </c>
      <c r="AB72" s="2">
        <v>29.4730621447133</v>
      </c>
      <c r="AC72" s="2">
        <v>0</v>
      </c>
      <c r="AD72" s="2">
        <v>0</v>
      </c>
      <c r="AE72" s="2">
        <v>94.921479510860607</v>
      </c>
      <c r="AF72" s="2">
        <v>75.826941134019705</v>
      </c>
      <c r="AG72" s="2">
        <v>79.280200079281698</v>
      </c>
      <c r="AH72" s="2">
        <v>24.737681454272298</v>
      </c>
      <c r="AI72" s="2">
        <v>78.434892224503699</v>
      </c>
      <c r="AJ72" s="2">
        <v>4.8723374980722598</v>
      </c>
    </row>
    <row r="73" spans="1:36" ht="15.75" customHeight="1" x14ac:dyDescent="0.45">
      <c r="A73" s="2" t="s">
        <v>238</v>
      </c>
      <c r="B73" s="2" t="s">
        <v>239</v>
      </c>
      <c r="C73" s="2" t="s">
        <v>244</v>
      </c>
      <c r="D73" s="2" t="s">
        <v>83</v>
      </c>
      <c r="E73" s="2" t="s">
        <v>84</v>
      </c>
      <c r="G73" s="2">
        <v>5.1094276094055502</v>
      </c>
      <c r="H73" s="2">
        <v>8.8497882170856101</v>
      </c>
      <c r="I73" s="2">
        <v>19.592592592592499</v>
      </c>
      <c r="J73" s="2">
        <v>3.1354865204884201</v>
      </c>
      <c r="K73" s="2">
        <v>0.93667340654074005</v>
      </c>
      <c r="L73" s="2">
        <v>0.41221742193953498</v>
      </c>
      <c r="M73" s="2">
        <v>0</v>
      </c>
      <c r="N73" s="2">
        <v>0</v>
      </c>
      <c r="O73" s="2">
        <v>33.867475381121601</v>
      </c>
      <c r="P73" s="2">
        <v>3.07378867771954</v>
      </c>
      <c r="Q73" s="2">
        <v>0</v>
      </c>
      <c r="R73" s="2">
        <v>0</v>
      </c>
      <c r="S73" s="2">
        <v>11.803469426685901</v>
      </c>
      <c r="T73" s="2">
        <v>2.3622674032334299</v>
      </c>
      <c r="U73" s="2">
        <v>7.75436136094741</v>
      </c>
      <c r="V73" s="2">
        <v>1.80876767069747</v>
      </c>
      <c r="W73" s="2">
        <v>223.273233976607</v>
      </c>
      <c r="X73" s="2">
        <v>386.72058521769702</v>
      </c>
      <c r="Y73" s="2">
        <v>1191.7035352386499</v>
      </c>
      <c r="Z73" s="2">
        <v>129.48773619188299</v>
      </c>
      <c r="AA73" s="2">
        <v>5.1296727423015103</v>
      </c>
      <c r="AB73" s="2">
        <v>2.1104875019609199</v>
      </c>
      <c r="AC73" s="2">
        <v>0</v>
      </c>
      <c r="AD73" s="2">
        <v>0</v>
      </c>
      <c r="AE73" s="2">
        <v>0</v>
      </c>
      <c r="AF73" s="2">
        <v>0</v>
      </c>
      <c r="AG73" s="2">
        <v>276.87172280800502</v>
      </c>
      <c r="AH73" s="2">
        <v>72.301043290242504</v>
      </c>
      <c r="AI73" s="2">
        <v>65.195851212337502</v>
      </c>
      <c r="AJ73" s="2">
        <v>2.75936482854924</v>
      </c>
    </row>
    <row r="74" spans="1:36" ht="15.75" customHeight="1" x14ac:dyDescent="0.45">
      <c r="A74" s="2" t="s">
        <v>238</v>
      </c>
      <c r="B74" s="2" t="s">
        <v>239</v>
      </c>
      <c r="C74" s="2" t="s">
        <v>245</v>
      </c>
      <c r="D74" s="2" t="s">
        <v>83</v>
      </c>
      <c r="E74" s="2" t="s">
        <v>84</v>
      </c>
      <c r="G74" s="2">
        <v>0</v>
      </c>
      <c r="H74" s="2">
        <v>0</v>
      </c>
      <c r="I74" s="2">
        <v>13.857142857142801</v>
      </c>
      <c r="J74" s="2">
        <v>2.42436610692529</v>
      </c>
      <c r="K74" s="2">
        <v>7.9904152803857098</v>
      </c>
      <c r="L74" s="2">
        <v>3.7053602085234201</v>
      </c>
      <c r="M74" s="2">
        <v>0</v>
      </c>
      <c r="N74" s="2">
        <v>0</v>
      </c>
      <c r="O74" s="2">
        <v>12.5004617232642</v>
      </c>
      <c r="P74" s="2">
        <v>0.491304433008241</v>
      </c>
      <c r="Q74" s="2">
        <v>0</v>
      </c>
      <c r="R74" s="2">
        <v>0</v>
      </c>
      <c r="S74" s="2">
        <v>9.2594566964571392</v>
      </c>
      <c r="T74" s="2">
        <v>2.94559724813401</v>
      </c>
      <c r="U74" s="2">
        <v>5.3381327061736501</v>
      </c>
      <c r="V74" s="2">
        <v>0.318621601160545</v>
      </c>
      <c r="W74" s="2">
        <v>0</v>
      </c>
      <c r="X74" s="2">
        <v>0</v>
      </c>
      <c r="Y74" s="2">
        <v>446.18770070026801</v>
      </c>
      <c r="Z74" s="2">
        <v>14.7944461940473</v>
      </c>
      <c r="AA74" s="2">
        <v>44.437123906599702</v>
      </c>
      <c r="AB74" s="2">
        <v>18.973301488657999</v>
      </c>
      <c r="AC74" s="2">
        <v>0</v>
      </c>
      <c r="AD74" s="2">
        <v>0</v>
      </c>
      <c r="AE74" s="2">
        <v>0</v>
      </c>
      <c r="AF74" s="2">
        <v>0</v>
      </c>
      <c r="AG74" s="2">
        <v>221.561186251946</v>
      </c>
      <c r="AH74" s="2">
        <v>52.555006108359102</v>
      </c>
      <c r="AI74" s="2">
        <v>79.509122996350001</v>
      </c>
      <c r="AJ74" s="2">
        <v>4.19666464153166</v>
      </c>
    </row>
    <row r="75" spans="1:36" ht="15.75" customHeight="1" x14ac:dyDescent="0.45">
      <c r="A75" s="2" t="s">
        <v>238</v>
      </c>
      <c r="B75" s="2" t="s">
        <v>239</v>
      </c>
      <c r="C75" s="2" t="s">
        <v>246</v>
      </c>
      <c r="D75" s="2" t="s">
        <v>83</v>
      </c>
      <c r="E75" s="2" t="s">
        <v>84</v>
      </c>
      <c r="G75" s="2">
        <v>6.1259920635749996</v>
      </c>
      <c r="H75" s="2">
        <v>8.6634610592977008</v>
      </c>
      <c r="I75" s="2">
        <v>12.25</v>
      </c>
      <c r="J75" s="2">
        <v>1.0606601717798201</v>
      </c>
      <c r="K75" s="2">
        <v>11.204594017074999</v>
      </c>
      <c r="L75" s="2">
        <v>0.35884158234809099</v>
      </c>
      <c r="M75" s="2">
        <v>0</v>
      </c>
      <c r="N75" s="2">
        <v>0</v>
      </c>
      <c r="O75" s="2">
        <v>34.451312576287499</v>
      </c>
      <c r="P75" s="2">
        <v>9.3622578249125699</v>
      </c>
      <c r="Q75" s="2">
        <v>0</v>
      </c>
      <c r="R75" s="2">
        <v>0</v>
      </c>
      <c r="S75" s="2">
        <v>8.7740384616624993</v>
      </c>
      <c r="T75" s="2">
        <v>3.7961662131611398</v>
      </c>
      <c r="U75" s="2">
        <v>5.0139105987841504</v>
      </c>
      <c r="V75" s="2">
        <v>0.242900785709842</v>
      </c>
      <c r="W75" s="2">
        <v>267.69535922802697</v>
      </c>
      <c r="X75" s="2">
        <v>378.57840760461301</v>
      </c>
      <c r="Y75" s="2">
        <v>1194.29862038751</v>
      </c>
      <c r="Z75" s="2">
        <v>290.055744499475</v>
      </c>
      <c r="AA75" s="2">
        <v>60.652838559088401</v>
      </c>
      <c r="AB75" s="2">
        <v>1.3347336927370299</v>
      </c>
      <c r="AC75" s="2">
        <v>0</v>
      </c>
      <c r="AD75" s="2">
        <v>0</v>
      </c>
      <c r="AE75" s="2">
        <v>0</v>
      </c>
      <c r="AF75" s="2">
        <v>0</v>
      </c>
      <c r="AG75" s="2">
        <v>192.46569716089201</v>
      </c>
      <c r="AH75" s="2">
        <v>75.739467490938196</v>
      </c>
      <c r="AI75" s="2">
        <v>54.344093406637498</v>
      </c>
      <c r="AJ75" s="2">
        <v>9.7210994072605406</v>
      </c>
    </row>
    <row r="76" spans="1:36" ht="15.75" customHeight="1" x14ac:dyDescent="0.45">
      <c r="A76" s="2" t="s">
        <v>238</v>
      </c>
      <c r="B76" s="2" t="s">
        <v>240</v>
      </c>
      <c r="C76" s="2" t="s">
        <v>239</v>
      </c>
      <c r="D76" s="2" t="s">
        <v>83</v>
      </c>
      <c r="E76" s="2" t="s">
        <v>84</v>
      </c>
      <c r="G76" s="2">
        <v>1.8520343424018799</v>
      </c>
      <c r="H76" s="2">
        <v>0.90903168255386402</v>
      </c>
      <c r="I76" s="2">
        <v>220.021164021164</v>
      </c>
      <c r="J76" s="2">
        <v>57.159632311357598</v>
      </c>
      <c r="K76" s="2">
        <v>16.7836591641349</v>
      </c>
      <c r="L76" s="2">
        <v>2.5067978869519698</v>
      </c>
      <c r="M76" s="2">
        <v>24.063324324795701</v>
      </c>
      <c r="N76" s="2">
        <v>9.5727157604868491</v>
      </c>
      <c r="O76" s="2">
        <v>3.1833452875144199</v>
      </c>
      <c r="P76" s="2">
        <v>0.61670920516513095</v>
      </c>
      <c r="Q76" s="2">
        <v>0.58966306729113205</v>
      </c>
      <c r="R76" s="2">
        <v>0.51952855138674703</v>
      </c>
      <c r="S76" s="2">
        <v>4.7094333031031699</v>
      </c>
      <c r="T76" s="2">
        <v>2.6297837033469702</v>
      </c>
      <c r="U76" s="2">
        <v>87.548950196152703</v>
      </c>
      <c r="V76" s="2">
        <v>28.639794130147401</v>
      </c>
      <c r="W76" s="2">
        <v>90.376879512455304</v>
      </c>
      <c r="X76" s="2">
        <v>21.1262228096179</v>
      </c>
      <c r="Y76" s="2">
        <v>112.301187252879</v>
      </c>
      <c r="Z76" s="2">
        <v>24.3521093733276</v>
      </c>
      <c r="AA76" s="2">
        <v>92.541525886919601</v>
      </c>
      <c r="AB76" s="2">
        <v>10.550815429720901</v>
      </c>
      <c r="AC76" s="2">
        <v>76.186138332447499</v>
      </c>
      <c r="AD76" s="2">
        <v>33.872181572711703</v>
      </c>
      <c r="AE76" s="2">
        <v>126.179574748585</v>
      </c>
      <c r="AF76" s="2">
        <v>98.559070670687703</v>
      </c>
      <c r="AG76" s="2">
        <v>113.45814039523501</v>
      </c>
      <c r="AH76" s="2">
        <v>74.155095954150994</v>
      </c>
      <c r="AI76" s="2">
        <v>80.032995548350598</v>
      </c>
      <c r="AJ76" s="2">
        <v>2.0922294867537898</v>
      </c>
    </row>
    <row r="77" spans="1:36" ht="15.75" customHeight="1" x14ac:dyDescent="0.45">
      <c r="A77" s="2" t="s">
        <v>238</v>
      </c>
      <c r="B77" s="2" t="s">
        <v>240</v>
      </c>
      <c r="C77" s="2" t="s">
        <v>240</v>
      </c>
      <c r="D77" s="2" t="s">
        <v>83</v>
      </c>
      <c r="E77" s="2" t="s">
        <v>84</v>
      </c>
      <c r="G77" s="2">
        <v>1.61154848540962</v>
      </c>
      <c r="H77" s="2">
        <v>0.66487097094947001</v>
      </c>
      <c r="I77" s="2">
        <v>226.37037037037001</v>
      </c>
      <c r="J77" s="2">
        <v>9.4635971375516998</v>
      </c>
      <c r="K77" s="2">
        <v>19.854676061185099</v>
      </c>
      <c r="L77" s="2">
        <v>0.89244506250614097</v>
      </c>
      <c r="M77" s="2">
        <v>24.480195244703701</v>
      </c>
      <c r="N77" s="2">
        <v>3.3490419102616</v>
      </c>
      <c r="O77" s="2">
        <v>2.22576017662296</v>
      </c>
      <c r="P77" s="2">
        <v>0.43099184995706202</v>
      </c>
      <c r="Q77" s="2">
        <v>0.33942309995148101</v>
      </c>
      <c r="R77" s="2">
        <v>0.139002927698891</v>
      </c>
      <c r="S77" s="2">
        <v>4.1970789183851798</v>
      </c>
      <c r="T77" s="2">
        <v>0.69714064105335205</v>
      </c>
      <c r="U77" s="2">
        <v>88.680815551734099</v>
      </c>
      <c r="V77" s="2">
        <v>5.3753458281794497</v>
      </c>
      <c r="W77" s="2">
        <v>79.334641736546601</v>
      </c>
      <c r="X77" s="2">
        <v>9.6740869650063406</v>
      </c>
      <c r="Y77" s="2">
        <v>77.975870418543906</v>
      </c>
      <c r="Z77" s="2">
        <v>12.835770464157701</v>
      </c>
      <c r="AA77" s="2">
        <v>109.766040866148</v>
      </c>
      <c r="AB77" s="2">
        <v>0.84188680380818304</v>
      </c>
      <c r="AC77" s="2">
        <v>75.565649571910001</v>
      </c>
      <c r="AD77" s="2">
        <v>4.5818676807136596</v>
      </c>
      <c r="AE77" s="2">
        <v>83.298593738105794</v>
      </c>
      <c r="AF77" s="2">
        <v>60.670510111820398</v>
      </c>
      <c r="AG77" s="2">
        <v>97.679738664125694</v>
      </c>
      <c r="AH77" s="2">
        <v>16.230147426494501</v>
      </c>
      <c r="AI77" s="2">
        <v>77.9195637621918</v>
      </c>
      <c r="AJ77" s="2">
        <v>1.2520094667378701</v>
      </c>
    </row>
    <row r="78" spans="1:36" ht="15.75" customHeight="1" x14ac:dyDescent="0.45">
      <c r="A78" s="2" t="s">
        <v>238</v>
      </c>
      <c r="B78" s="2" t="s">
        <v>240</v>
      </c>
      <c r="C78" s="2" t="s">
        <v>241</v>
      </c>
      <c r="D78" s="2" t="s">
        <v>83</v>
      </c>
      <c r="E78" s="2" t="s">
        <v>84</v>
      </c>
      <c r="G78" s="2">
        <v>1.35664119414759</v>
      </c>
      <c r="H78" s="2">
        <v>1.3016033775304301</v>
      </c>
      <c r="I78" s="2">
        <v>235.638888888888</v>
      </c>
      <c r="J78" s="2">
        <v>75.409084947322995</v>
      </c>
      <c r="K78" s="2">
        <v>18.571275104824501</v>
      </c>
      <c r="L78" s="2">
        <v>2.3066010414970601</v>
      </c>
      <c r="M78" s="2">
        <v>28.298134432287</v>
      </c>
      <c r="N78" s="2">
        <v>15.9811392177971</v>
      </c>
      <c r="O78" s="2">
        <v>2.22802921792842</v>
      </c>
      <c r="P78" s="2">
        <v>0.98982398332573296</v>
      </c>
      <c r="Q78" s="2">
        <v>0.49981384410944402</v>
      </c>
      <c r="R78" s="2">
        <v>0.19983435076139999</v>
      </c>
      <c r="S78" s="2">
        <v>3.9908574048620298</v>
      </c>
      <c r="T78" s="2">
        <v>0.80378777670744705</v>
      </c>
      <c r="U78" s="2">
        <v>90.997058072172806</v>
      </c>
      <c r="V78" s="2">
        <v>21.522842681630401</v>
      </c>
      <c r="W78" s="2">
        <v>61.675503088842198</v>
      </c>
      <c r="X78" s="2">
        <v>48.587942072239997</v>
      </c>
      <c r="Y78" s="2">
        <v>78.815686501663194</v>
      </c>
      <c r="Z78" s="2">
        <v>36.6053897235345</v>
      </c>
      <c r="AA78" s="2">
        <v>102.983777411266</v>
      </c>
      <c r="AB78" s="2">
        <v>15.2818768223713</v>
      </c>
      <c r="AC78" s="2">
        <v>85.642517196476106</v>
      </c>
      <c r="AD78" s="2">
        <v>41.705766693764801</v>
      </c>
      <c r="AE78" s="2">
        <v>128.47551974435501</v>
      </c>
      <c r="AF78" s="2">
        <v>104.558808279609</v>
      </c>
      <c r="AG78" s="2">
        <v>94.219954519515596</v>
      </c>
      <c r="AH78" s="2">
        <v>27.526499417591001</v>
      </c>
      <c r="AI78" s="2">
        <v>79.200695677246998</v>
      </c>
      <c r="AJ78" s="2">
        <v>3.01442001156218</v>
      </c>
    </row>
    <row r="79" spans="1:36" ht="15.75" customHeight="1" x14ac:dyDescent="0.45">
      <c r="A79" s="2" t="s">
        <v>238</v>
      </c>
      <c r="B79" s="2" t="s">
        <v>240</v>
      </c>
      <c r="C79" s="2" t="s">
        <v>242</v>
      </c>
      <c r="D79" s="2" t="s">
        <v>83</v>
      </c>
      <c r="E79" s="2" t="s">
        <v>84</v>
      </c>
      <c r="G79" s="2">
        <v>0.446419418514444</v>
      </c>
      <c r="H79" s="2">
        <v>0.44459662426072</v>
      </c>
      <c r="I79" s="2">
        <v>114.206349206349</v>
      </c>
      <c r="J79" s="2">
        <v>9.4634196469065301</v>
      </c>
      <c r="K79" s="2">
        <v>22.1559779546111</v>
      </c>
      <c r="L79" s="2">
        <v>1.91962590659205</v>
      </c>
      <c r="M79" s="2">
        <v>5.8390147609003904</v>
      </c>
      <c r="N79" s="2">
        <v>2.0746008338672701</v>
      </c>
      <c r="O79" s="2">
        <v>1.6068036288283101</v>
      </c>
      <c r="P79" s="2">
        <v>0.44413677933067203</v>
      </c>
      <c r="Q79" s="2">
        <v>0.46131270295023802</v>
      </c>
      <c r="R79" s="2">
        <v>0.38294359369937397</v>
      </c>
      <c r="S79" s="2">
        <v>3.1361264559024402</v>
      </c>
      <c r="T79" s="2">
        <v>0.38528131091631501</v>
      </c>
      <c r="U79" s="2">
        <v>44.637377595886598</v>
      </c>
      <c r="V79" s="2">
        <v>1.8108906402621501</v>
      </c>
      <c r="W79" s="2">
        <v>19.181911055011099</v>
      </c>
      <c r="X79" s="2">
        <v>19.432275518297999</v>
      </c>
      <c r="Y79" s="2">
        <v>56.4946254689727</v>
      </c>
      <c r="Z79" s="2">
        <v>15.917140178449801</v>
      </c>
      <c r="AA79" s="2">
        <v>122.577896987561</v>
      </c>
      <c r="AB79" s="2">
        <v>10.5615374171913</v>
      </c>
      <c r="AC79" s="2">
        <v>17.838332457819099</v>
      </c>
      <c r="AD79" s="2">
        <v>4.9642538314290601</v>
      </c>
      <c r="AE79" s="2">
        <v>89.105007776456404</v>
      </c>
      <c r="AF79" s="2">
        <v>72.186011780861904</v>
      </c>
      <c r="AG79" s="2">
        <v>72.962798473971105</v>
      </c>
      <c r="AH79" s="2">
        <v>8.93465276030234</v>
      </c>
      <c r="AI79" s="2">
        <v>76.237218416560495</v>
      </c>
      <c r="AJ79" s="2">
        <v>2.3209667404887302</v>
      </c>
    </row>
    <row r="80" spans="1:36" ht="15.75" customHeight="1" x14ac:dyDescent="0.45">
      <c r="A80" s="2" t="s">
        <v>238</v>
      </c>
      <c r="B80" s="2" t="s">
        <v>240</v>
      </c>
      <c r="C80" s="2" t="s">
        <v>243</v>
      </c>
      <c r="D80" s="2" t="s">
        <v>83</v>
      </c>
      <c r="E80" s="2" t="s">
        <v>84</v>
      </c>
      <c r="G80" s="2">
        <v>0.49608776316666597</v>
      </c>
      <c r="H80" s="2">
        <v>0.468775606059053</v>
      </c>
      <c r="I80" s="2">
        <v>65.464285714285694</v>
      </c>
      <c r="J80" s="2">
        <v>2.76802994852244</v>
      </c>
      <c r="K80" s="2">
        <v>16.438558326842799</v>
      </c>
      <c r="L80" s="2">
        <v>2.6203437745612002</v>
      </c>
      <c r="M80" s="2">
        <v>0</v>
      </c>
      <c r="N80" s="2">
        <v>0</v>
      </c>
      <c r="O80" s="2">
        <v>3.4331998300023798</v>
      </c>
      <c r="P80" s="2">
        <v>1.5525200657312099</v>
      </c>
      <c r="Q80" s="2">
        <v>0</v>
      </c>
      <c r="R80" s="2">
        <v>0</v>
      </c>
      <c r="S80" s="2">
        <v>3.9843415242440399</v>
      </c>
      <c r="T80" s="2">
        <v>1.0949817210344801</v>
      </c>
      <c r="U80" s="2">
        <v>25.747758004450599</v>
      </c>
      <c r="V80" s="2">
        <v>3.1797471584502199</v>
      </c>
      <c r="W80" s="2">
        <v>21.275230203056601</v>
      </c>
      <c r="X80" s="2">
        <v>20.418467794990999</v>
      </c>
      <c r="Y80" s="2">
        <v>120.631530666107</v>
      </c>
      <c r="Z80" s="2">
        <v>55.238681226682601</v>
      </c>
      <c r="AA80" s="2">
        <v>91.079156796970693</v>
      </c>
      <c r="AB80" s="2">
        <v>15.441909817419701</v>
      </c>
      <c r="AC80" s="2">
        <v>0</v>
      </c>
      <c r="AD80" s="2">
        <v>0</v>
      </c>
      <c r="AE80" s="2">
        <v>0</v>
      </c>
      <c r="AF80" s="2">
        <v>0</v>
      </c>
      <c r="AG80" s="2">
        <v>91.999516731005102</v>
      </c>
      <c r="AH80" s="2">
        <v>22.038488638829499</v>
      </c>
      <c r="AI80" s="2">
        <v>80.128241843154697</v>
      </c>
      <c r="AJ80" s="2">
        <v>3.6731461319253902</v>
      </c>
    </row>
    <row r="81" spans="1:36" ht="15.75" customHeight="1" x14ac:dyDescent="0.45">
      <c r="A81" s="2" t="s">
        <v>238</v>
      </c>
      <c r="B81" s="2" t="s">
        <v>240</v>
      </c>
      <c r="C81" s="2" t="s">
        <v>244</v>
      </c>
      <c r="D81" s="2" t="s">
        <v>83</v>
      </c>
      <c r="E81" s="2" t="s">
        <v>84</v>
      </c>
      <c r="G81" s="2">
        <v>2.92702605701666</v>
      </c>
      <c r="H81" s="2">
        <v>1.0422036280349201</v>
      </c>
      <c r="I81" s="2">
        <v>24.0833333333333</v>
      </c>
      <c r="J81" s="2">
        <v>4.6508287791890703</v>
      </c>
      <c r="K81" s="2">
        <v>0.73792486584583294</v>
      </c>
      <c r="L81" s="2">
        <v>1.0366124317371399</v>
      </c>
      <c r="M81" s="2">
        <v>0</v>
      </c>
      <c r="N81" s="2">
        <v>0</v>
      </c>
      <c r="O81" s="2">
        <v>30.595123479837401</v>
      </c>
      <c r="P81" s="2">
        <v>7.9090136112951299</v>
      </c>
      <c r="Q81" s="2">
        <v>0</v>
      </c>
      <c r="R81" s="2">
        <v>0</v>
      </c>
      <c r="S81" s="2">
        <v>7.28082158210833</v>
      </c>
      <c r="T81" s="2">
        <v>2.2809990433630301</v>
      </c>
      <c r="U81" s="2">
        <v>9.5509771861597201</v>
      </c>
      <c r="V81" s="2">
        <v>2.5596625312070098</v>
      </c>
      <c r="W81" s="2">
        <v>167.258933402493</v>
      </c>
      <c r="X81" s="2">
        <v>101.691651282443</v>
      </c>
      <c r="Y81" s="2">
        <v>1078.09983059766</v>
      </c>
      <c r="Z81" s="2">
        <v>293.43510866610302</v>
      </c>
      <c r="AA81" s="2">
        <v>4.2236984203367403</v>
      </c>
      <c r="AB81" s="2">
        <v>6.0132972841968302</v>
      </c>
      <c r="AC81" s="2">
        <v>0</v>
      </c>
      <c r="AD81" s="2">
        <v>0</v>
      </c>
      <c r="AE81" s="2">
        <v>0</v>
      </c>
      <c r="AF81" s="2">
        <v>0</v>
      </c>
      <c r="AG81" s="2">
        <v>170.30733237724601</v>
      </c>
      <c r="AH81" s="2">
        <v>57.545089655068203</v>
      </c>
      <c r="AI81" s="2">
        <v>68.666951654316605</v>
      </c>
      <c r="AJ81" s="2">
        <v>7.4642059882204004</v>
      </c>
    </row>
    <row r="82" spans="1:36" ht="15.75" customHeight="1" x14ac:dyDescent="0.45">
      <c r="A82" s="2" t="s">
        <v>238</v>
      </c>
      <c r="B82" s="2" t="s">
        <v>240</v>
      </c>
      <c r="C82" s="2" t="s">
        <v>245</v>
      </c>
      <c r="D82" s="2" t="s">
        <v>83</v>
      </c>
      <c r="E82" s="2" t="s">
        <v>84</v>
      </c>
      <c r="G82" s="2">
        <v>7.5570834394833302</v>
      </c>
      <c r="H82" s="2">
        <v>8.0709727180228299</v>
      </c>
      <c r="I82" s="2">
        <v>12.5761904761904</v>
      </c>
      <c r="J82" s="2">
        <v>1.0536945045142601</v>
      </c>
      <c r="K82" s="2">
        <v>5.1221438070314198</v>
      </c>
      <c r="L82" s="2">
        <v>2.2988316000289299</v>
      </c>
      <c r="M82" s="2">
        <v>0</v>
      </c>
      <c r="N82" s="2">
        <v>0</v>
      </c>
      <c r="O82" s="2">
        <v>13.358951972375699</v>
      </c>
      <c r="P82" s="2">
        <v>5.55764597735587</v>
      </c>
      <c r="Q82" s="2">
        <v>0.60606060606000001</v>
      </c>
      <c r="R82" s="2">
        <v>1.0497277621618999</v>
      </c>
      <c r="S82" s="2">
        <v>9.7167516579411899</v>
      </c>
      <c r="T82" s="2">
        <v>3.0039779177427102</v>
      </c>
      <c r="U82" s="2">
        <v>4.95263228115203</v>
      </c>
      <c r="V82" s="2">
        <v>0.75290778146807302</v>
      </c>
      <c r="W82" s="2">
        <v>386.55907084987001</v>
      </c>
      <c r="X82" s="2">
        <v>337.27965154574599</v>
      </c>
      <c r="Y82" s="2">
        <v>470.24540500473802</v>
      </c>
      <c r="Z82" s="2">
        <v>199.85614422500501</v>
      </c>
      <c r="AA82" s="2">
        <v>28.403387584957301</v>
      </c>
      <c r="AB82" s="2">
        <v>12.784984431973299</v>
      </c>
      <c r="AC82" s="2">
        <v>0</v>
      </c>
      <c r="AD82" s="2">
        <v>0</v>
      </c>
      <c r="AE82" s="2">
        <v>120.819659188062</v>
      </c>
      <c r="AF82" s="2">
        <v>209.26578826687901</v>
      </c>
      <c r="AG82" s="2">
        <v>223.44018522649301</v>
      </c>
      <c r="AH82" s="2">
        <v>52.992511396221502</v>
      </c>
      <c r="AI82" s="2">
        <v>81.518904220592802</v>
      </c>
      <c r="AJ82" s="2">
        <v>3.5115305550222602</v>
      </c>
    </row>
    <row r="83" spans="1:36" ht="15.75" customHeight="1" x14ac:dyDescent="0.45">
      <c r="A83" s="2" t="s">
        <v>238</v>
      </c>
      <c r="B83" s="2" t="s">
        <v>240</v>
      </c>
      <c r="C83" s="2" t="s">
        <v>246</v>
      </c>
      <c r="D83" s="2" t="s">
        <v>83</v>
      </c>
      <c r="E83" s="2" t="s">
        <v>84</v>
      </c>
      <c r="G83" s="2">
        <v>3.75</v>
      </c>
      <c r="H83" s="2">
        <v>5.3033008588991004</v>
      </c>
      <c r="I83" s="2">
        <v>13</v>
      </c>
      <c r="J83" s="2">
        <v>2.8284271247462001</v>
      </c>
      <c r="K83" s="2">
        <v>6.6064780651208297</v>
      </c>
      <c r="L83" s="2">
        <v>0.64631539466681998</v>
      </c>
      <c r="M83" s="2">
        <v>0</v>
      </c>
      <c r="N83" s="2">
        <v>0</v>
      </c>
      <c r="O83" s="2">
        <v>25.6181920520416</v>
      </c>
      <c r="P83" s="2">
        <v>2.6255658580914498</v>
      </c>
      <c r="Q83" s="2">
        <v>0.87719298241666599</v>
      </c>
      <c r="R83" s="2">
        <v>1.24053821255215</v>
      </c>
      <c r="S83" s="2">
        <v>7.0292207792624897</v>
      </c>
      <c r="T83" s="2">
        <v>2.2524361031298201</v>
      </c>
      <c r="U83" s="2">
        <v>5.1229918974354796</v>
      </c>
      <c r="V83" s="2">
        <v>1.6869600530022</v>
      </c>
      <c r="W83" s="2">
        <v>155.723843408714</v>
      </c>
      <c r="X83" s="2">
        <v>220.22677133346801</v>
      </c>
      <c r="Y83" s="2">
        <v>914.80670279332401</v>
      </c>
      <c r="Z83" s="2">
        <v>99.351275599117201</v>
      </c>
      <c r="AA83" s="2">
        <v>37.165483306737897</v>
      </c>
      <c r="AB83" s="2">
        <v>5.1418103692294697</v>
      </c>
      <c r="AC83" s="2">
        <v>0</v>
      </c>
      <c r="AD83" s="2">
        <v>0</v>
      </c>
      <c r="AE83" s="2">
        <v>174.87055934344801</v>
      </c>
      <c r="AF83" s="2">
        <v>247.30431668327299</v>
      </c>
      <c r="AG83" s="2">
        <v>172.772685480859</v>
      </c>
      <c r="AH83" s="2">
        <v>68.961974963873899</v>
      </c>
      <c r="AI83" s="2">
        <v>67.775329882837497</v>
      </c>
      <c r="AJ83" s="2">
        <v>3.2718812527584999</v>
      </c>
    </row>
    <row r="84" spans="1:36" ht="15.75" customHeight="1" x14ac:dyDescent="0.45">
      <c r="A84" s="2" t="s">
        <v>238</v>
      </c>
      <c r="B84" s="2" t="s">
        <v>241</v>
      </c>
      <c r="C84" s="2" t="s">
        <v>239</v>
      </c>
      <c r="D84" s="2" t="s">
        <v>83</v>
      </c>
      <c r="E84" s="2" t="s">
        <v>84</v>
      </c>
      <c r="G84" s="2">
        <v>2.3041194679506001</v>
      </c>
      <c r="H84" s="2">
        <v>0.184139079022933</v>
      </c>
      <c r="I84" s="2">
        <v>230.66534391534299</v>
      </c>
      <c r="J84" s="2">
        <v>20.4446278880738</v>
      </c>
      <c r="K84" s="2">
        <v>18.681004264057499</v>
      </c>
      <c r="L84" s="2">
        <v>0.42313397913853201</v>
      </c>
      <c r="M84" s="2">
        <v>27.052602475868301</v>
      </c>
      <c r="N84" s="2">
        <v>1.9238410830811801</v>
      </c>
      <c r="O84" s="2">
        <v>2.07023057997168</v>
      </c>
      <c r="P84" s="2">
        <v>0.14567172090597899</v>
      </c>
      <c r="Q84" s="2">
        <v>0.18839309615845201</v>
      </c>
      <c r="R84" s="2">
        <v>0.17717588760557901</v>
      </c>
      <c r="S84" s="2">
        <v>3.9199873571240702</v>
      </c>
      <c r="T84" s="2">
        <v>0.26549915922738299</v>
      </c>
      <c r="U84" s="2">
        <v>90.795250130099504</v>
      </c>
      <c r="V84" s="2">
        <v>14.280621607433799</v>
      </c>
      <c r="W84" s="2">
        <v>125.137677471746</v>
      </c>
      <c r="X84" s="2">
        <v>41.279061433085701</v>
      </c>
      <c r="Y84" s="2">
        <v>72.748355495380494</v>
      </c>
      <c r="Z84" s="2">
        <v>4.8421444910680798</v>
      </c>
      <c r="AA84" s="2">
        <v>103.45378360472201</v>
      </c>
      <c r="AB84" s="2">
        <v>6.3018798554240902</v>
      </c>
      <c r="AC84" s="2">
        <v>83.773049857545601</v>
      </c>
      <c r="AD84" s="2">
        <v>1.26097235636905</v>
      </c>
      <c r="AE84" s="2">
        <v>32.616736144219502</v>
      </c>
      <c r="AF84" s="2">
        <v>28.954474839569201</v>
      </c>
      <c r="AG84" s="2">
        <v>91.231028467572102</v>
      </c>
      <c r="AH84" s="2">
        <v>7.1064472258738798</v>
      </c>
      <c r="AI84" s="2">
        <v>79.248765155970702</v>
      </c>
      <c r="AJ84" s="2">
        <v>0.52268079635721798</v>
      </c>
    </row>
    <row r="85" spans="1:36" ht="15.75" customHeight="1" x14ac:dyDescent="0.45">
      <c r="A85" s="2" t="s">
        <v>238</v>
      </c>
      <c r="B85" s="2" t="s">
        <v>241</v>
      </c>
      <c r="C85" s="2" t="s">
        <v>240</v>
      </c>
      <c r="D85" s="2" t="s">
        <v>83</v>
      </c>
      <c r="E85" s="2" t="s">
        <v>84</v>
      </c>
      <c r="G85" s="2">
        <v>3.2318670895027299</v>
      </c>
      <c r="H85" s="2">
        <v>1.09846525033485</v>
      </c>
      <c r="I85" s="2">
        <v>229.67791005290999</v>
      </c>
      <c r="J85" s="2">
        <v>19.285030886109801</v>
      </c>
      <c r="K85" s="2">
        <v>19.401230768005199</v>
      </c>
      <c r="L85" s="2">
        <v>0.40513022632734402</v>
      </c>
      <c r="M85" s="2">
        <v>25.476807104452298</v>
      </c>
      <c r="N85" s="2">
        <v>0.95238256614042804</v>
      </c>
      <c r="O85" s="2">
        <v>2.5201846014581402</v>
      </c>
      <c r="P85" s="2">
        <v>0.57547319188609003</v>
      </c>
      <c r="Q85" s="2">
        <v>0.433190355476329</v>
      </c>
      <c r="R85" s="2">
        <v>0.32712888342935598</v>
      </c>
      <c r="S85" s="2">
        <v>3.7102485765644801</v>
      </c>
      <c r="T85" s="2">
        <v>0.88063494432979905</v>
      </c>
      <c r="U85" s="2">
        <v>90.511128821849795</v>
      </c>
      <c r="V85" s="2">
        <v>14.371266629371201</v>
      </c>
      <c r="W85" s="2">
        <v>194.07477150699401</v>
      </c>
      <c r="X85" s="2">
        <v>144.00953632484399</v>
      </c>
      <c r="Y85" s="2">
        <v>88.282376274734801</v>
      </c>
      <c r="Z85" s="2">
        <v>18.192250613658999</v>
      </c>
      <c r="AA85" s="2">
        <v>107.39648128584901</v>
      </c>
      <c r="AB85" s="2">
        <v>5.1123481995928897</v>
      </c>
      <c r="AC85" s="2">
        <v>79.176154430303598</v>
      </c>
      <c r="AD85" s="2">
        <v>6.75581050997961</v>
      </c>
      <c r="AE85" s="2">
        <v>90.995886805983801</v>
      </c>
      <c r="AF85" s="2">
        <v>60.602100039326402</v>
      </c>
      <c r="AG85" s="2">
        <v>86.302694827779106</v>
      </c>
      <c r="AH85" s="2">
        <v>19.973774918276799</v>
      </c>
      <c r="AI85" s="2">
        <v>78.078584630536497</v>
      </c>
      <c r="AJ85" s="2">
        <v>0.549369030057689</v>
      </c>
    </row>
    <row r="86" spans="1:36" ht="15.75" customHeight="1" x14ac:dyDescent="0.45">
      <c r="A86" s="2" t="s">
        <v>238</v>
      </c>
      <c r="B86" s="2" t="s">
        <v>241</v>
      </c>
      <c r="C86" s="2" t="s">
        <v>241</v>
      </c>
      <c r="D86" s="2" t="s">
        <v>83</v>
      </c>
      <c r="E86" s="2" t="s">
        <v>84</v>
      </c>
      <c r="G86" s="2">
        <v>2.6846471343574301</v>
      </c>
      <c r="H86" s="2">
        <v>0.44610353610501202</v>
      </c>
      <c r="I86" s="2">
        <v>217.69047619047601</v>
      </c>
      <c r="J86" s="2">
        <v>54.032339984238597</v>
      </c>
      <c r="K86" s="2">
        <v>20.152467181838599</v>
      </c>
      <c r="L86" s="2">
        <v>1.3012491971331199</v>
      </c>
      <c r="M86" s="2">
        <v>28.1705640969417</v>
      </c>
      <c r="N86" s="2">
        <v>14.704408655727701</v>
      </c>
      <c r="O86" s="2">
        <v>2.5302887050171101</v>
      </c>
      <c r="P86" s="2">
        <v>0.83636513597395301</v>
      </c>
      <c r="Q86" s="2">
        <v>0.45309827012111098</v>
      </c>
      <c r="R86" s="2">
        <v>0.43991553906645198</v>
      </c>
      <c r="S86" s="2">
        <v>4.6741975870050201</v>
      </c>
      <c r="T86" s="2">
        <v>0.57615310382114004</v>
      </c>
      <c r="U86" s="2">
        <v>84.518933341022006</v>
      </c>
      <c r="V86" s="2">
        <v>15.5160947633156</v>
      </c>
      <c r="W86" s="2">
        <v>141.92690521145801</v>
      </c>
      <c r="X86" s="2">
        <v>30.3740514351028</v>
      </c>
      <c r="Y86" s="2">
        <v>89.396738094834802</v>
      </c>
      <c r="Z86" s="2">
        <v>31.463251678448501</v>
      </c>
      <c r="AA86" s="2">
        <v>111.66691053065</v>
      </c>
      <c r="AB86" s="2">
        <v>10.557550298836</v>
      </c>
      <c r="AC86" s="2">
        <v>85.411308693285093</v>
      </c>
      <c r="AD86" s="2">
        <v>37.830258570201899</v>
      </c>
      <c r="AE86" s="2">
        <v>134.09973724953699</v>
      </c>
      <c r="AF86" s="2">
        <v>164.98353669110901</v>
      </c>
      <c r="AG86" s="2">
        <v>108.666214650943</v>
      </c>
      <c r="AH86" s="2">
        <v>12.348368257156499</v>
      </c>
      <c r="AI86" s="2">
        <v>77.317244113144199</v>
      </c>
      <c r="AJ86" s="2">
        <v>2.0133953849476698</v>
      </c>
    </row>
    <row r="87" spans="1:36" ht="15.75" customHeight="1" x14ac:dyDescent="0.45">
      <c r="A87" s="2" t="s">
        <v>238</v>
      </c>
      <c r="B87" s="2" t="s">
        <v>241</v>
      </c>
      <c r="C87" s="2" t="s">
        <v>242</v>
      </c>
      <c r="D87" s="2" t="s">
        <v>83</v>
      </c>
      <c r="E87" s="2" t="s">
        <v>84</v>
      </c>
      <c r="G87" s="2">
        <v>0.90843140820111001</v>
      </c>
      <c r="H87" s="2">
        <v>6.4883046574000194E-2</v>
      </c>
      <c r="I87" s="2">
        <v>112.777777777777</v>
      </c>
      <c r="J87" s="2">
        <v>6.2961873628920104</v>
      </c>
      <c r="K87" s="2">
        <v>23.717961709444399</v>
      </c>
      <c r="L87" s="2">
        <v>2.3345535014559999</v>
      </c>
      <c r="M87" s="2">
        <v>5.1954481090925899</v>
      </c>
      <c r="N87" s="2">
        <v>0.87618175975353096</v>
      </c>
      <c r="O87" s="2">
        <v>2.8525154665874002</v>
      </c>
      <c r="P87" s="2">
        <v>0.31980131692305602</v>
      </c>
      <c r="Q87" s="2">
        <v>0.425891341639629</v>
      </c>
      <c r="R87" s="2">
        <v>0.28440980338107102</v>
      </c>
      <c r="S87" s="2">
        <v>3.6712273498574</v>
      </c>
      <c r="T87" s="2">
        <v>0.238432199262543</v>
      </c>
      <c r="U87" s="2">
        <v>44.153244002727099</v>
      </c>
      <c r="V87" s="2">
        <v>2.4809707343046599</v>
      </c>
      <c r="W87" s="2">
        <v>49.4284006803707</v>
      </c>
      <c r="X87" s="2">
        <v>16.827799339427202</v>
      </c>
      <c r="Y87" s="2">
        <v>100.303081150203</v>
      </c>
      <c r="Z87" s="2">
        <v>11.927157939835499</v>
      </c>
      <c r="AA87" s="2">
        <v>130.95531427619201</v>
      </c>
      <c r="AB87" s="2">
        <v>8.4351621175819496</v>
      </c>
      <c r="AC87" s="2">
        <v>16.016934601119399</v>
      </c>
      <c r="AD87" s="2">
        <v>1.5367716725285201</v>
      </c>
      <c r="AE87" s="2">
        <v>103.567766022271</v>
      </c>
      <c r="AF87" s="2">
        <v>88.045097589872597</v>
      </c>
      <c r="AG87" s="2">
        <v>85.294238852806401</v>
      </c>
      <c r="AH87" s="2">
        <v>2.4022396878732</v>
      </c>
      <c r="AI87" s="2">
        <v>73.429522823968099</v>
      </c>
      <c r="AJ87" s="2">
        <v>2.58619844434511</v>
      </c>
    </row>
    <row r="88" spans="1:36" ht="15.75" customHeight="1" x14ac:dyDescent="0.45">
      <c r="A88" s="2" t="s">
        <v>238</v>
      </c>
      <c r="B88" s="2" t="s">
        <v>241</v>
      </c>
      <c r="C88" s="2" t="s">
        <v>243</v>
      </c>
      <c r="D88" s="2" t="s">
        <v>83</v>
      </c>
      <c r="E88" s="2" t="s">
        <v>84</v>
      </c>
      <c r="G88" s="2">
        <v>3.2377138249022201</v>
      </c>
      <c r="H88" s="2">
        <v>5.5138155848536403</v>
      </c>
      <c r="I88" s="2">
        <v>67.814814814814795</v>
      </c>
      <c r="J88" s="2">
        <v>5.5625881414387601</v>
      </c>
      <c r="K88" s="2">
        <v>15.661840470581399</v>
      </c>
      <c r="L88" s="2">
        <v>0.66246781684626199</v>
      </c>
      <c r="M88" s="2">
        <v>0</v>
      </c>
      <c r="N88" s="2">
        <v>0</v>
      </c>
      <c r="O88" s="2">
        <v>2.1810009457444401</v>
      </c>
      <c r="P88" s="2">
        <v>0.59695608891895602</v>
      </c>
      <c r="Q88" s="2">
        <v>0.36314201064073998</v>
      </c>
      <c r="R88" s="2">
        <v>0.202234398235562</v>
      </c>
      <c r="S88" s="2">
        <v>3.85570001570962</v>
      </c>
      <c r="T88" s="2">
        <v>0.42857772557787199</v>
      </c>
      <c r="U88" s="2">
        <v>26.679191857755999</v>
      </c>
      <c r="V88" s="2">
        <v>3.9564890922004601</v>
      </c>
      <c r="W88" s="2">
        <v>135.85496987141801</v>
      </c>
      <c r="X88" s="2">
        <v>227.78306721985399</v>
      </c>
      <c r="Y88" s="2">
        <v>76.827258846450405</v>
      </c>
      <c r="Z88" s="2">
        <v>22.200675503717601</v>
      </c>
      <c r="AA88" s="2">
        <v>86.679935313272793</v>
      </c>
      <c r="AB88" s="2">
        <v>4.7160584787522204</v>
      </c>
      <c r="AC88" s="2">
        <v>0</v>
      </c>
      <c r="AD88" s="2">
        <v>0</v>
      </c>
      <c r="AE88" s="2">
        <v>71.760850372787303</v>
      </c>
      <c r="AF88" s="2">
        <v>18.6258479323056</v>
      </c>
      <c r="AG88" s="2">
        <v>90.335403047738893</v>
      </c>
      <c r="AH88" s="2">
        <v>16.3015062799481</v>
      </c>
      <c r="AI88" s="2">
        <v>82.157158583674004</v>
      </c>
      <c r="AJ88" s="2">
        <v>0.63470673130709099</v>
      </c>
    </row>
    <row r="89" spans="1:36" ht="15.75" customHeight="1" x14ac:dyDescent="0.45">
      <c r="A89" s="2" t="s">
        <v>238</v>
      </c>
      <c r="B89" s="2" t="s">
        <v>241</v>
      </c>
      <c r="C89" s="2" t="s">
        <v>244</v>
      </c>
      <c r="D89" s="2" t="s">
        <v>83</v>
      </c>
      <c r="E89" s="2" t="s">
        <v>84</v>
      </c>
      <c r="G89" s="2">
        <v>5.8198797087740699</v>
      </c>
      <c r="H89" s="2">
        <v>9.6032203939348193</v>
      </c>
      <c r="I89" s="2">
        <v>19.037037037036999</v>
      </c>
      <c r="J89" s="2">
        <v>3.1137554899234701</v>
      </c>
      <c r="K89" s="2">
        <v>2.9727833894592499</v>
      </c>
      <c r="L89" s="2">
        <v>1.6421172484911899</v>
      </c>
      <c r="M89" s="2">
        <v>0</v>
      </c>
      <c r="N89" s="2">
        <v>0</v>
      </c>
      <c r="O89" s="2">
        <v>27.493569247462901</v>
      </c>
      <c r="P89" s="2">
        <v>4.2911707316455203</v>
      </c>
      <c r="Q89" s="2">
        <v>0</v>
      </c>
      <c r="R89" s="2">
        <v>0</v>
      </c>
      <c r="S89" s="2">
        <v>7.9036547837036997</v>
      </c>
      <c r="T89" s="2">
        <v>3.5486705976037198</v>
      </c>
      <c r="U89" s="2">
        <v>7.5360345116643002</v>
      </c>
      <c r="V89" s="2">
        <v>1.8201327307586099</v>
      </c>
      <c r="W89" s="2">
        <v>261.079543705861</v>
      </c>
      <c r="X89" s="2">
        <v>414.213307681157</v>
      </c>
      <c r="Y89" s="2">
        <v>968.98716197602698</v>
      </c>
      <c r="Z89" s="2">
        <v>172.35203131004701</v>
      </c>
      <c r="AA89" s="2">
        <v>16.639698077358901</v>
      </c>
      <c r="AB89" s="2">
        <v>9.7548894104370696</v>
      </c>
      <c r="AC89" s="2">
        <v>0</v>
      </c>
      <c r="AD89" s="2">
        <v>0</v>
      </c>
      <c r="AE89" s="2">
        <v>0</v>
      </c>
      <c r="AF89" s="2">
        <v>0</v>
      </c>
      <c r="AG89" s="2">
        <v>180.10516840293801</v>
      </c>
      <c r="AH89" s="2">
        <v>66.504893663650904</v>
      </c>
      <c r="AI89" s="2">
        <v>69.533647363077705</v>
      </c>
      <c r="AJ89" s="2">
        <v>4.1935543667637996</v>
      </c>
    </row>
    <row r="90" spans="1:36" ht="15.75" customHeight="1" x14ac:dyDescent="0.45">
      <c r="A90" s="2" t="s">
        <v>238</v>
      </c>
      <c r="B90" s="2" t="s">
        <v>241</v>
      </c>
      <c r="C90" s="2" t="s">
        <v>245</v>
      </c>
      <c r="D90" s="2" t="s">
        <v>83</v>
      </c>
      <c r="E90" s="2" t="s">
        <v>84</v>
      </c>
      <c r="G90" s="2">
        <v>1.2987012987142801</v>
      </c>
      <c r="H90" s="2">
        <v>1.8366409901132901</v>
      </c>
      <c r="I90" s="2">
        <v>12.4285714285714</v>
      </c>
      <c r="J90" s="2">
        <v>1.41421356237309</v>
      </c>
      <c r="K90" s="2">
        <v>6.01412476410714</v>
      </c>
      <c r="L90" s="2">
        <v>3.6381581834544798</v>
      </c>
      <c r="M90" s="2">
        <v>0</v>
      </c>
      <c r="N90" s="2">
        <v>0</v>
      </c>
      <c r="O90" s="2">
        <v>17.304689358328499</v>
      </c>
      <c r="P90" s="2">
        <v>3.02528577378621</v>
      </c>
      <c r="Q90" s="2">
        <v>0</v>
      </c>
      <c r="R90" s="2">
        <v>0</v>
      </c>
      <c r="S90" s="2">
        <v>9.8270281306142806</v>
      </c>
      <c r="T90" s="2">
        <v>4.4458793649592101</v>
      </c>
      <c r="U90" s="2">
        <v>4.7199382254586002</v>
      </c>
      <c r="V90" s="2">
        <v>0.90040889275632396</v>
      </c>
      <c r="W90" s="2">
        <v>53.9303353801808</v>
      </c>
      <c r="X90" s="2">
        <v>76.2690117179813</v>
      </c>
      <c r="Y90" s="2">
        <v>606.92492798912303</v>
      </c>
      <c r="Z90" s="2">
        <v>127.56414252888899</v>
      </c>
      <c r="AA90" s="2">
        <v>33.0196108075721</v>
      </c>
      <c r="AB90" s="2">
        <v>18.582654343647</v>
      </c>
      <c r="AC90" s="2">
        <v>0</v>
      </c>
      <c r="AD90" s="2">
        <v>0</v>
      </c>
      <c r="AE90" s="2">
        <v>0</v>
      </c>
      <c r="AF90" s="2">
        <v>0</v>
      </c>
      <c r="AG90" s="2">
        <v>225.10941089255201</v>
      </c>
      <c r="AH90" s="2">
        <v>75.497810764508699</v>
      </c>
      <c r="AI90" s="2">
        <v>76.681185877564204</v>
      </c>
      <c r="AJ90" s="2">
        <v>0.61287240966852896</v>
      </c>
    </row>
    <row r="91" spans="1:36" ht="15.75" customHeight="1" x14ac:dyDescent="0.45">
      <c r="A91" s="2" t="s">
        <v>238</v>
      </c>
      <c r="B91" s="2" t="s">
        <v>241</v>
      </c>
      <c r="C91" s="2" t="s">
        <v>246</v>
      </c>
      <c r="D91" s="2" t="s">
        <v>83</v>
      </c>
      <c r="E91" s="2" t="s">
        <v>84</v>
      </c>
      <c r="G91" s="2">
        <v>3.88888888886666</v>
      </c>
      <c r="H91" s="2">
        <v>6.73575314050714</v>
      </c>
      <c r="I91" s="2">
        <v>9.6944444444444393</v>
      </c>
      <c r="J91" s="2">
        <v>0.75614764382310795</v>
      </c>
      <c r="K91" s="2">
        <v>3.8148148148611098</v>
      </c>
      <c r="L91" s="2">
        <v>0.91343425592070004</v>
      </c>
      <c r="M91" s="2">
        <v>0</v>
      </c>
      <c r="N91" s="2">
        <v>0</v>
      </c>
      <c r="O91" s="2">
        <v>21.291523291538802</v>
      </c>
      <c r="P91" s="2">
        <v>4.63161130722058</v>
      </c>
      <c r="Q91" s="2">
        <v>0</v>
      </c>
      <c r="R91" s="2">
        <v>0</v>
      </c>
      <c r="S91" s="2">
        <v>11.674778924869999</v>
      </c>
      <c r="T91" s="2">
        <v>1.53593671085165</v>
      </c>
      <c r="U91" s="2">
        <v>3.7901593251774002</v>
      </c>
      <c r="V91" s="2">
        <v>0.174535883816787</v>
      </c>
      <c r="W91" s="2">
        <v>169.937782696949</v>
      </c>
      <c r="X91" s="2">
        <v>294.34087375671498</v>
      </c>
      <c r="Y91" s="2">
        <v>751.20646047781895</v>
      </c>
      <c r="Z91" s="2">
        <v>179.07110731297601</v>
      </c>
      <c r="AA91" s="2">
        <v>21.134855047446401</v>
      </c>
      <c r="AB91" s="2">
        <v>5.1871155388684898</v>
      </c>
      <c r="AC91" s="2">
        <v>0</v>
      </c>
      <c r="AD91" s="2">
        <v>0</v>
      </c>
      <c r="AE91" s="2">
        <v>0</v>
      </c>
      <c r="AF91" s="2">
        <v>0</v>
      </c>
      <c r="AG91" s="2">
        <v>273.72570180214899</v>
      </c>
      <c r="AH91" s="2">
        <v>57.120479501665599</v>
      </c>
      <c r="AI91" s="2">
        <v>74.893661893599997</v>
      </c>
      <c r="AJ91" s="2">
        <v>3.9150088809481698</v>
      </c>
    </row>
    <row r="92" spans="1:36" ht="15.75" customHeight="1" x14ac:dyDescent="0.45">
      <c r="A92" s="2" t="s">
        <v>238</v>
      </c>
      <c r="B92" s="2" t="s">
        <v>242</v>
      </c>
      <c r="C92" s="2" t="s">
        <v>239</v>
      </c>
      <c r="D92" s="2" t="s">
        <v>83</v>
      </c>
      <c r="E92" s="2" t="s">
        <v>84</v>
      </c>
      <c r="G92" s="2">
        <v>1.5748565835988799</v>
      </c>
      <c r="H92" s="2">
        <v>0.58565370886064405</v>
      </c>
      <c r="I92" s="2">
        <v>235.07407407407399</v>
      </c>
      <c r="J92" s="2">
        <v>6.0617535389583201</v>
      </c>
      <c r="K92" s="2">
        <v>18.357014800703698</v>
      </c>
      <c r="L92" s="2">
        <v>1.5677238331078001</v>
      </c>
      <c r="M92" s="2">
        <v>25.639425123777698</v>
      </c>
      <c r="N92" s="2">
        <v>2.37038180030736</v>
      </c>
      <c r="O92" s="2">
        <v>2.1904551054222199</v>
      </c>
      <c r="P92" s="2">
        <v>0.64659563422569899</v>
      </c>
      <c r="Q92" s="2">
        <v>0.63419143127814803</v>
      </c>
      <c r="R92" s="2">
        <v>0.46828599347924599</v>
      </c>
      <c r="S92" s="2">
        <v>3.8081106934814799</v>
      </c>
      <c r="T92" s="2">
        <v>0.32272401675130502</v>
      </c>
      <c r="U92" s="2">
        <v>92.265960083703504</v>
      </c>
      <c r="V92" s="2">
        <v>8.4161265460723804</v>
      </c>
      <c r="W92" s="2">
        <v>80.004253379057005</v>
      </c>
      <c r="X92" s="2">
        <v>14.246107116821999</v>
      </c>
      <c r="Y92" s="2">
        <v>76.6483680558228</v>
      </c>
      <c r="Z92" s="2">
        <v>20.922124528993901</v>
      </c>
      <c r="AA92" s="2">
        <v>101.42641186481301</v>
      </c>
      <c r="AB92" s="2">
        <v>6.1337608045205503</v>
      </c>
      <c r="AC92" s="2">
        <v>79.326222693672904</v>
      </c>
      <c r="AD92" s="2">
        <v>2.4358379909411698</v>
      </c>
      <c r="AE92" s="2">
        <v>140.90383445894199</v>
      </c>
      <c r="AF92" s="2">
        <v>91.107271635397495</v>
      </c>
      <c r="AG92" s="2">
        <v>88.620538348396096</v>
      </c>
      <c r="AH92" s="2">
        <v>8.1770238174026808</v>
      </c>
      <c r="AI92" s="2">
        <v>79.452530093874003</v>
      </c>
      <c r="AJ92" s="2">
        <v>2.05226468295746</v>
      </c>
    </row>
    <row r="93" spans="1:36" ht="15.75" customHeight="1" x14ac:dyDescent="0.45">
      <c r="A93" s="2" t="s">
        <v>238</v>
      </c>
      <c r="B93" s="2" t="s">
        <v>242</v>
      </c>
      <c r="C93" s="2" t="s">
        <v>240</v>
      </c>
      <c r="D93" s="2" t="s">
        <v>83</v>
      </c>
      <c r="E93" s="2" t="s">
        <v>84</v>
      </c>
      <c r="G93" s="2">
        <v>1.71422455007407</v>
      </c>
      <c r="H93" s="2">
        <v>1.1064575134435799</v>
      </c>
      <c r="I93" s="2">
        <v>224.222222222222</v>
      </c>
      <c r="J93" s="2">
        <v>23.871828533459301</v>
      </c>
      <c r="K93" s="2">
        <v>19.398244398555502</v>
      </c>
      <c r="L93" s="2">
        <v>1.6127962140463601</v>
      </c>
      <c r="M93" s="2">
        <v>26.9887262575925</v>
      </c>
      <c r="N93" s="2">
        <v>3.6178271122674102</v>
      </c>
      <c r="O93" s="2">
        <v>2.1228099087025898</v>
      </c>
      <c r="P93" s="2">
        <v>0.47521751758981901</v>
      </c>
      <c r="Q93" s="2">
        <v>0.52884297086518495</v>
      </c>
      <c r="R93" s="2">
        <v>0.22052386673209101</v>
      </c>
      <c r="S93" s="2">
        <v>3.86150100194555</v>
      </c>
      <c r="T93" s="2">
        <v>0.80498084166338602</v>
      </c>
      <c r="U93" s="2">
        <v>87.512702064199601</v>
      </c>
      <c r="V93" s="2">
        <v>4.2811863465192399</v>
      </c>
      <c r="W93" s="2">
        <v>80.746011920524296</v>
      </c>
      <c r="X93" s="2">
        <v>34.255876722256502</v>
      </c>
      <c r="Y93" s="2">
        <v>74.586829540311697</v>
      </c>
      <c r="Z93" s="2">
        <v>16.747982892776101</v>
      </c>
      <c r="AA93" s="2">
        <v>107.473657439508</v>
      </c>
      <c r="AB93" s="2">
        <v>11.316035330756399</v>
      </c>
      <c r="AC93" s="2">
        <v>83.457567833469398</v>
      </c>
      <c r="AD93" s="2">
        <v>8.2297518723135994</v>
      </c>
      <c r="AE93" s="2">
        <v>109.229012059271</v>
      </c>
      <c r="AF93" s="2">
        <v>18.109085857289401</v>
      </c>
      <c r="AG93" s="2">
        <v>90.941282903128894</v>
      </c>
      <c r="AH93" s="2">
        <v>25.0842253855973</v>
      </c>
      <c r="AI93" s="2">
        <v>78.478945692741803</v>
      </c>
      <c r="AJ93" s="2">
        <v>1.43591054445689</v>
      </c>
    </row>
    <row r="94" spans="1:36" ht="15.75" customHeight="1" x14ac:dyDescent="0.45">
      <c r="A94" s="2" t="s">
        <v>238</v>
      </c>
      <c r="B94" s="2" t="s">
        <v>242</v>
      </c>
      <c r="C94" s="2" t="s">
        <v>241</v>
      </c>
      <c r="D94" s="2" t="s">
        <v>83</v>
      </c>
      <c r="E94" s="2" t="s">
        <v>84</v>
      </c>
      <c r="G94" s="2">
        <v>1.8400061411370301</v>
      </c>
      <c r="H94" s="2">
        <v>0.82204937376752596</v>
      </c>
      <c r="I94" s="2">
        <v>209.14814814814801</v>
      </c>
      <c r="J94" s="2">
        <v>53.4629597557377</v>
      </c>
      <c r="K94" s="2">
        <v>18.980300469925901</v>
      </c>
      <c r="L94" s="2">
        <v>1.7111676091700101</v>
      </c>
      <c r="M94" s="2">
        <v>27.702709093499902</v>
      </c>
      <c r="N94" s="2">
        <v>15.1650572592084</v>
      </c>
      <c r="O94" s="2">
        <v>3.2292140007211101</v>
      </c>
      <c r="P94" s="2">
        <v>0.92956923867457497</v>
      </c>
      <c r="Q94" s="2">
        <v>0.36835842546851799</v>
      </c>
      <c r="R94" s="2">
        <v>0.25193154310351901</v>
      </c>
      <c r="S94" s="2">
        <v>3.5655660312703699</v>
      </c>
      <c r="T94" s="2">
        <v>0.132200603705037</v>
      </c>
      <c r="U94" s="2">
        <v>81.0874610047901</v>
      </c>
      <c r="V94" s="2">
        <v>14.644730513538001</v>
      </c>
      <c r="W94" s="2">
        <v>91.310397276517406</v>
      </c>
      <c r="X94" s="2">
        <v>18.260949948601301</v>
      </c>
      <c r="Y94" s="2">
        <v>113.070081311802</v>
      </c>
      <c r="Z94" s="2">
        <v>30.544649291598599</v>
      </c>
      <c r="AA94" s="2">
        <v>105.22626941416701</v>
      </c>
      <c r="AB94" s="2">
        <v>12.613141931244</v>
      </c>
      <c r="AC94" s="2">
        <v>83.875846769077398</v>
      </c>
      <c r="AD94" s="2">
        <v>39.221138266902798</v>
      </c>
      <c r="AE94" s="2">
        <v>80.323768442602002</v>
      </c>
      <c r="AF94" s="2">
        <v>46.365105328321199</v>
      </c>
      <c r="AG94" s="2">
        <v>83.240930615973497</v>
      </c>
      <c r="AH94" s="2">
        <v>9.4662578540215403</v>
      </c>
      <c r="AI94" s="2">
        <v>77.790485529352907</v>
      </c>
      <c r="AJ94" s="2">
        <v>1.217499319449</v>
      </c>
    </row>
    <row r="95" spans="1:36" ht="15.75" customHeight="1" x14ac:dyDescent="0.45">
      <c r="A95" s="2" t="s">
        <v>238</v>
      </c>
      <c r="B95" s="2" t="s">
        <v>242</v>
      </c>
      <c r="C95" s="2" t="s">
        <v>242</v>
      </c>
      <c r="D95" s="2" t="s">
        <v>83</v>
      </c>
      <c r="E95" s="2" t="s">
        <v>84</v>
      </c>
      <c r="G95" s="2">
        <v>0.65553213460347204</v>
      </c>
      <c r="H95" s="2">
        <v>0.568025583652225</v>
      </c>
      <c r="I95" s="2">
        <v>112.564814814814</v>
      </c>
      <c r="J95" s="2">
        <v>1.70286689392809</v>
      </c>
      <c r="K95" s="2">
        <v>24.863866155990699</v>
      </c>
      <c r="L95" s="2">
        <v>2.2011568786528501</v>
      </c>
      <c r="M95" s="2">
        <v>3.4925951750639799</v>
      </c>
      <c r="N95" s="2">
        <v>2.9375473399493899</v>
      </c>
      <c r="O95" s="2">
        <v>2.2219146807018002</v>
      </c>
      <c r="P95" s="2">
        <v>0.96200681387075604</v>
      </c>
      <c r="Q95" s="2">
        <v>0.70222016246861096</v>
      </c>
      <c r="R95" s="2">
        <v>0.22912755680675501</v>
      </c>
      <c r="S95" s="2">
        <v>2.4099770738328701</v>
      </c>
      <c r="T95" s="2">
        <v>0.69878451806594399</v>
      </c>
      <c r="U95" s="2">
        <v>44.135188590246798</v>
      </c>
      <c r="V95" s="2">
        <v>2.9944447943863999</v>
      </c>
      <c r="W95" s="2">
        <v>40.144950733437099</v>
      </c>
      <c r="X95" s="2">
        <v>40.195778299934801</v>
      </c>
      <c r="Y95" s="2">
        <v>77.886788621155006</v>
      </c>
      <c r="Z95" s="2">
        <v>33.608609586469299</v>
      </c>
      <c r="AA95" s="2">
        <v>137.66254128463001</v>
      </c>
      <c r="AB95" s="2">
        <v>13.8715700774609</v>
      </c>
      <c r="AC95" s="2">
        <v>10.4141762474011</v>
      </c>
      <c r="AD95" s="2">
        <v>7.9877796408218202</v>
      </c>
      <c r="AE95" s="2">
        <v>170.20179438190601</v>
      </c>
      <c r="AF95" s="2">
        <v>95.840876162951005</v>
      </c>
      <c r="AG95" s="2">
        <v>57.126381399002497</v>
      </c>
      <c r="AH95" s="2">
        <v>21.991314253249001</v>
      </c>
      <c r="AI95" s="2">
        <v>72.914219163307394</v>
      </c>
      <c r="AJ95" s="2">
        <v>1.8077370737305001</v>
      </c>
    </row>
    <row r="96" spans="1:36" ht="15.75" customHeight="1" x14ac:dyDescent="0.45">
      <c r="A96" s="2" t="s">
        <v>238</v>
      </c>
      <c r="B96" s="2" t="s">
        <v>242</v>
      </c>
      <c r="C96" s="2" t="s">
        <v>243</v>
      </c>
      <c r="D96" s="2" t="s">
        <v>83</v>
      </c>
      <c r="E96" s="2" t="s">
        <v>84</v>
      </c>
      <c r="G96" s="2">
        <v>0.142649652455555</v>
      </c>
      <c r="H96" s="2">
        <v>0.24707644573506399</v>
      </c>
      <c r="I96" s="2">
        <v>66.749999999999901</v>
      </c>
      <c r="J96" s="2">
        <v>1.5612494995993</v>
      </c>
      <c r="K96" s="2">
        <v>16.4192743626148</v>
      </c>
      <c r="L96" s="2">
        <v>2.1364818823887299</v>
      </c>
      <c r="M96" s="2">
        <v>0</v>
      </c>
      <c r="N96" s="2">
        <v>0</v>
      </c>
      <c r="O96" s="2">
        <v>2.1706668463537002</v>
      </c>
      <c r="P96" s="2">
        <v>0.65961774792541705</v>
      </c>
      <c r="Q96" s="2">
        <v>0.361678364351388</v>
      </c>
      <c r="R96" s="2">
        <v>0.387988526428372</v>
      </c>
      <c r="S96" s="2">
        <v>3.22761503758796</v>
      </c>
      <c r="T96" s="2">
        <v>0.42070455405642898</v>
      </c>
      <c r="U96" s="2">
        <v>26.227074562286099</v>
      </c>
      <c r="V96" s="2">
        <v>2.7534535742137201</v>
      </c>
      <c r="W96" s="2">
        <v>5.9237205710124101</v>
      </c>
      <c r="X96" s="2">
        <v>10.260184998834401</v>
      </c>
      <c r="Y96" s="2">
        <v>76.355420081747994</v>
      </c>
      <c r="Z96" s="2">
        <v>23.848213947365899</v>
      </c>
      <c r="AA96" s="2">
        <v>90.661899065934804</v>
      </c>
      <c r="AB96" s="2">
        <v>9.7305765237363495</v>
      </c>
      <c r="AC96" s="2">
        <v>0</v>
      </c>
      <c r="AD96" s="2">
        <v>0</v>
      </c>
      <c r="AE96" s="2">
        <v>87.101859324732601</v>
      </c>
      <c r="AF96" s="2">
        <v>78.903331294807302</v>
      </c>
      <c r="AG96" s="2">
        <v>75.498256772751702</v>
      </c>
      <c r="AH96" s="2">
        <v>13.3855034060281</v>
      </c>
      <c r="AI96" s="2">
        <v>81.410058791031403</v>
      </c>
      <c r="AJ96" s="2">
        <v>1.47691683486072</v>
      </c>
    </row>
    <row r="97" spans="1:36" ht="15.75" customHeight="1" x14ac:dyDescent="0.45">
      <c r="A97" s="2" t="s">
        <v>238</v>
      </c>
      <c r="B97" s="2" t="s">
        <v>242</v>
      </c>
      <c r="C97" s="2" t="s">
        <v>244</v>
      </c>
      <c r="D97" s="2" t="s">
        <v>83</v>
      </c>
      <c r="E97" s="2" t="s">
        <v>84</v>
      </c>
      <c r="G97" s="2">
        <v>0.79365079364285696</v>
      </c>
      <c r="H97" s="2">
        <v>1.12239171615789</v>
      </c>
      <c r="I97" s="2">
        <v>18.214285714285701</v>
      </c>
      <c r="J97" s="2">
        <v>2.5253813613805298</v>
      </c>
      <c r="K97" s="2">
        <v>1.68356231382301</v>
      </c>
      <c r="L97" s="2">
        <v>0.40902846575561702</v>
      </c>
      <c r="M97" s="2">
        <v>0</v>
      </c>
      <c r="N97" s="2">
        <v>0</v>
      </c>
      <c r="O97" s="2">
        <v>27.1211926917277</v>
      </c>
      <c r="P97" s="2">
        <v>4.57191329709417</v>
      </c>
      <c r="Q97" s="2">
        <v>0.39682539682857099</v>
      </c>
      <c r="R97" s="2">
        <v>0.56119585808905104</v>
      </c>
      <c r="S97" s="2">
        <v>7.7763657253476097</v>
      </c>
      <c r="T97" s="2">
        <v>1.5118125808738601</v>
      </c>
      <c r="U97" s="2">
        <v>7.4872264941689197</v>
      </c>
      <c r="V97" s="2">
        <v>1.3207489797644101</v>
      </c>
      <c r="W97" s="2">
        <v>34.6811801420859</v>
      </c>
      <c r="X97" s="2">
        <v>49.046595316042399</v>
      </c>
      <c r="Y97" s="2">
        <v>941.64551056299604</v>
      </c>
      <c r="Z97" s="2">
        <v>130.937229796764</v>
      </c>
      <c r="AA97" s="2">
        <v>9.1038433233417493</v>
      </c>
      <c r="AB97" s="2">
        <v>2.1231476360302799</v>
      </c>
      <c r="AC97" s="2">
        <v>0</v>
      </c>
      <c r="AD97" s="2">
        <v>0</v>
      </c>
      <c r="AE97" s="2">
        <v>62.385643876839801</v>
      </c>
      <c r="AF97" s="2">
        <v>88.226623668004905</v>
      </c>
      <c r="AG97" s="2">
        <v>172.89024624939401</v>
      </c>
      <c r="AH97" s="2">
        <v>40.838021882918902</v>
      </c>
      <c r="AI97" s="2">
        <v>71.195244994449197</v>
      </c>
      <c r="AJ97" s="2">
        <v>4.9809417628496799</v>
      </c>
    </row>
    <row r="98" spans="1:36" ht="15.75" customHeight="1" x14ac:dyDescent="0.45">
      <c r="A98" s="2" t="s">
        <v>238</v>
      </c>
      <c r="B98" s="2" t="s">
        <v>242</v>
      </c>
      <c r="C98" s="2" t="s">
        <v>245</v>
      </c>
      <c r="D98" s="2" t="s">
        <v>83</v>
      </c>
      <c r="E98" s="2" t="s">
        <v>84</v>
      </c>
      <c r="G98" s="2">
        <v>4.2380952380904704</v>
      </c>
      <c r="H98" s="2">
        <v>6.3376283324098202</v>
      </c>
      <c r="I98" s="2">
        <v>11.7222222222222</v>
      </c>
      <c r="J98" s="2">
        <v>0.63098981620001104</v>
      </c>
      <c r="K98" s="2">
        <v>7.8351667825593596</v>
      </c>
      <c r="L98" s="2">
        <v>4.2511444316517704</v>
      </c>
      <c r="M98" s="2">
        <v>0</v>
      </c>
      <c r="N98" s="2">
        <v>0</v>
      </c>
      <c r="O98" s="2">
        <v>10.1217924375977</v>
      </c>
      <c r="P98" s="2">
        <v>3.5995691217305601</v>
      </c>
      <c r="Q98" s="2">
        <v>0</v>
      </c>
      <c r="R98" s="2">
        <v>0</v>
      </c>
      <c r="S98" s="2">
        <v>13.722420854084101</v>
      </c>
      <c r="T98" s="2">
        <v>3.9151612423226001</v>
      </c>
      <c r="U98" s="2">
        <v>4.59938214128419</v>
      </c>
      <c r="V98" s="2">
        <v>0.45611776503993701</v>
      </c>
      <c r="W98" s="2">
        <v>184.33562547739299</v>
      </c>
      <c r="X98" s="2">
        <v>277.56850449409302</v>
      </c>
      <c r="Y98" s="2">
        <v>355.08678922892602</v>
      </c>
      <c r="Z98" s="2">
        <v>125.65712480663301</v>
      </c>
      <c r="AA98" s="2">
        <v>43.694791693313498</v>
      </c>
      <c r="AB98" s="2">
        <v>24.068689382413101</v>
      </c>
      <c r="AC98" s="2">
        <v>0</v>
      </c>
      <c r="AD98" s="2">
        <v>0</v>
      </c>
      <c r="AE98" s="2">
        <v>0</v>
      </c>
      <c r="AF98" s="2">
        <v>0</v>
      </c>
      <c r="AG98" s="2">
        <v>317.23064431322302</v>
      </c>
      <c r="AH98" s="2">
        <v>75.740338139798496</v>
      </c>
      <c r="AI98" s="2">
        <v>82.043040779842798</v>
      </c>
      <c r="AJ98" s="2">
        <v>5.4457607213352199</v>
      </c>
    </row>
    <row r="99" spans="1:36" ht="15.75" customHeight="1" x14ac:dyDescent="0.45">
      <c r="A99" s="2" t="s">
        <v>238</v>
      </c>
      <c r="B99" s="2" t="s">
        <v>242</v>
      </c>
      <c r="C99" s="2" t="s">
        <v>246</v>
      </c>
      <c r="D99" s="2" t="s">
        <v>83</v>
      </c>
      <c r="E99" s="2" t="s">
        <v>84</v>
      </c>
      <c r="G99" s="2">
        <v>1.56249999999999</v>
      </c>
      <c r="H99" s="2">
        <v>2.2097086912079602</v>
      </c>
      <c r="I99" s="2">
        <v>11.5</v>
      </c>
      <c r="J99" s="2">
        <v>2.8284271247461898</v>
      </c>
      <c r="K99" s="2">
        <v>2.6041666666624899</v>
      </c>
      <c r="L99" s="2">
        <v>0.73656956374187998</v>
      </c>
      <c r="M99" s="2">
        <v>0</v>
      </c>
      <c r="N99" s="2">
        <v>0</v>
      </c>
      <c r="O99" s="2">
        <v>23.776223776249999</v>
      </c>
      <c r="P99" s="2">
        <v>15.1434581634637</v>
      </c>
      <c r="Q99" s="2">
        <v>0</v>
      </c>
      <c r="R99" s="2">
        <v>0</v>
      </c>
      <c r="S99" s="2">
        <v>9.0119949494749996</v>
      </c>
      <c r="T99" s="2">
        <v>0.29016376763586199</v>
      </c>
      <c r="U99" s="2">
        <v>4.6925781189976297</v>
      </c>
      <c r="V99" s="2">
        <v>0.979396658002471</v>
      </c>
      <c r="W99" s="2">
        <v>68.278573405414505</v>
      </c>
      <c r="X99" s="2">
        <v>96.560484529424102</v>
      </c>
      <c r="Y99" s="2">
        <v>819.71931867508101</v>
      </c>
      <c r="Z99" s="2">
        <v>502.38486088167502</v>
      </c>
      <c r="AA99" s="2">
        <v>14.0791818437455</v>
      </c>
      <c r="AB99" s="2">
        <v>3.8465211565912898</v>
      </c>
      <c r="AC99" s="2">
        <v>0</v>
      </c>
      <c r="AD99" s="2">
        <v>0</v>
      </c>
      <c r="AE99" s="2">
        <v>0</v>
      </c>
      <c r="AF99" s="2">
        <v>0</v>
      </c>
      <c r="AG99" s="2">
        <v>199.66941459837699</v>
      </c>
      <c r="AH99" s="2">
        <v>14.960175909665701</v>
      </c>
      <c r="AI99" s="2">
        <v>73.6196095570875</v>
      </c>
      <c r="AJ99" s="2">
        <v>15.8800277272057</v>
      </c>
    </row>
    <row r="100" spans="1:36" ht="15.75" customHeight="1" x14ac:dyDescent="0.45">
      <c r="A100" s="2" t="s">
        <v>238</v>
      </c>
      <c r="B100" s="2" t="s">
        <v>243</v>
      </c>
      <c r="C100" s="2" t="s">
        <v>239</v>
      </c>
      <c r="D100" s="2" t="s">
        <v>83</v>
      </c>
      <c r="E100" s="2" t="s">
        <v>84</v>
      </c>
      <c r="G100" s="2">
        <v>1.41187322268825</v>
      </c>
      <c r="H100" s="2">
        <v>0.484521591746989</v>
      </c>
      <c r="I100" s="2">
        <v>245.78306878306799</v>
      </c>
      <c r="J100" s="2">
        <v>66.462200308708105</v>
      </c>
      <c r="K100" s="2">
        <v>17.496948353646999</v>
      </c>
      <c r="L100" s="2">
        <v>0.98557792041020298</v>
      </c>
      <c r="M100" s="2">
        <v>27.9154974487777</v>
      </c>
      <c r="N100" s="2">
        <v>2.1181159916091898</v>
      </c>
      <c r="O100" s="2">
        <v>2.8735312710156</v>
      </c>
      <c r="P100" s="2">
        <v>1.8311333601446</v>
      </c>
      <c r="Q100" s="2">
        <v>0.69622116425343905</v>
      </c>
      <c r="R100" s="2">
        <v>0.47337165298516198</v>
      </c>
      <c r="S100" s="2">
        <v>4.1865102741026403</v>
      </c>
      <c r="T100" s="2">
        <v>0.82662046222119201</v>
      </c>
      <c r="U100" s="2">
        <v>97.334670498267798</v>
      </c>
      <c r="V100" s="2">
        <v>32.7271005186957</v>
      </c>
      <c r="W100" s="2">
        <v>70.8551476880086</v>
      </c>
      <c r="X100" s="2">
        <v>3.1624498572402802</v>
      </c>
      <c r="Y100" s="2">
        <v>101.167731528442</v>
      </c>
      <c r="Z100" s="2">
        <v>65.490328314739401</v>
      </c>
      <c r="AA100" s="2">
        <v>96.740715307652295</v>
      </c>
      <c r="AB100" s="2">
        <v>3.61918374420181</v>
      </c>
      <c r="AC100" s="2">
        <v>86.578880096453403</v>
      </c>
      <c r="AD100" s="2">
        <v>6.7134555636500099</v>
      </c>
      <c r="AE100" s="2">
        <v>144.204119891771</v>
      </c>
      <c r="AF100" s="2">
        <v>84.773823119713597</v>
      </c>
      <c r="AG100" s="2">
        <v>97.445830636880203</v>
      </c>
      <c r="AH100" s="2">
        <v>19.348461501522401</v>
      </c>
      <c r="AI100" s="2">
        <v>79.629520375337293</v>
      </c>
      <c r="AJ100" s="2">
        <v>1.9224683544857399</v>
      </c>
    </row>
    <row r="101" spans="1:36" ht="15.75" customHeight="1" x14ac:dyDescent="0.45">
      <c r="A101" s="2" t="s">
        <v>238</v>
      </c>
      <c r="B101" s="2" t="s">
        <v>243</v>
      </c>
      <c r="C101" s="2" t="s">
        <v>240</v>
      </c>
      <c r="D101" s="2" t="s">
        <v>83</v>
      </c>
      <c r="E101" s="2" t="s">
        <v>84</v>
      </c>
      <c r="G101" s="2">
        <v>1.86517259672161</v>
      </c>
      <c r="H101" s="2">
        <v>0.58362578800003495</v>
      </c>
      <c r="I101" s="2">
        <v>212.97089947089901</v>
      </c>
      <c r="J101" s="2">
        <v>12.6045847371254</v>
      </c>
      <c r="K101" s="2">
        <v>19.657386020889501</v>
      </c>
      <c r="L101" s="2">
        <v>1.34161047625038</v>
      </c>
      <c r="M101" s="2">
        <v>25.4017418682777</v>
      </c>
      <c r="N101" s="2">
        <v>4.8902786808162704</v>
      </c>
      <c r="O101" s="2">
        <v>2.3068195040849999</v>
      </c>
      <c r="P101" s="2">
        <v>0.80049849109132298</v>
      </c>
      <c r="Q101" s="2">
        <v>0.319121659849603</v>
      </c>
      <c r="R101" s="2">
        <v>0.18625295497967001</v>
      </c>
      <c r="S101" s="2">
        <v>3.6026704431808598</v>
      </c>
      <c r="T101" s="2">
        <v>0.86615857593157897</v>
      </c>
      <c r="U101" s="2">
        <v>83.3465822554884</v>
      </c>
      <c r="V101" s="2">
        <v>4.0765903143725799</v>
      </c>
      <c r="W101" s="2">
        <v>95.084119196924803</v>
      </c>
      <c r="X101" s="2">
        <v>10.0377543522628</v>
      </c>
      <c r="Y101" s="2">
        <v>81.605306575038696</v>
      </c>
      <c r="Z101" s="2">
        <v>29.920891572616799</v>
      </c>
      <c r="AA101" s="2">
        <v>108.93871533747701</v>
      </c>
      <c r="AB101" s="2">
        <v>10.976268309291701</v>
      </c>
      <c r="AC101" s="2">
        <v>78.219476030411599</v>
      </c>
      <c r="AD101" s="2">
        <v>9.4380332053921698</v>
      </c>
      <c r="AE101" s="2">
        <v>67.120598614912197</v>
      </c>
      <c r="AF101" s="2">
        <v>24.7003238502759</v>
      </c>
      <c r="AG101" s="2">
        <v>85.216620564692903</v>
      </c>
      <c r="AH101" s="2">
        <v>27.793771305918799</v>
      </c>
      <c r="AI101" s="2">
        <v>78.035794475025398</v>
      </c>
      <c r="AJ101" s="2">
        <v>1.59131337555299</v>
      </c>
    </row>
    <row r="102" spans="1:36" ht="15.75" customHeight="1" x14ac:dyDescent="0.45">
      <c r="A102" s="2" t="s">
        <v>238</v>
      </c>
      <c r="B102" s="2" t="s">
        <v>243</v>
      </c>
      <c r="C102" s="2" t="s">
        <v>241</v>
      </c>
      <c r="D102" s="2" t="s">
        <v>83</v>
      </c>
      <c r="E102" s="2" t="s">
        <v>84</v>
      </c>
      <c r="G102" s="2">
        <v>2.1816281091529599</v>
      </c>
      <c r="H102" s="2">
        <v>0.88900376180354801</v>
      </c>
      <c r="I102" s="2">
        <v>221.56018518518499</v>
      </c>
      <c r="J102" s="2">
        <v>83.409724631279303</v>
      </c>
      <c r="K102" s="2">
        <v>19.9085535857824</v>
      </c>
      <c r="L102" s="2">
        <v>1.9531554664775701</v>
      </c>
      <c r="M102" s="2">
        <v>25.3389684018629</v>
      </c>
      <c r="N102" s="2">
        <v>16.190642864708401</v>
      </c>
      <c r="O102" s="2">
        <v>2.7490443339753199</v>
      </c>
      <c r="P102" s="2">
        <v>0.99662431368277804</v>
      </c>
      <c r="Q102" s="2">
        <v>0.35554061052532399</v>
      </c>
      <c r="R102" s="2">
        <v>8.8289138938274794E-2</v>
      </c>
      <c r="S102" s="2">
        <v>3.9046419806671202</v>
      </c>
      <c r="T102" s="2">
        <v>0.62169467611161999</v>
      </c>
      <c r="U102" s="2">
        <v>85.505416978529496</v>
      </c>
      <c r="V102" s="2">
        <v>25.918473637967399</v>
      </c>
      <c r="W102" s="2">
        <v>119.785186230877</v>
      </c>
      <c r="X102" s="2">
        <v>60.112172408657003</v>
      </c>
      <c r="Y102" s="2">
        <v>97.2664013984203</v>
      </c>
      <c r="Z102" s="2">
        <v>37.253547239242998</v>
      </c>
      <c r="AA102" s="2">
        <v>110.380336624039</v>
      </c>
      <c r="AB102" s="2">
        <v>13.964572027212</v>
      </c>
      <c r="AC102" s="2">
        <v>76.377447660603906</v>
      </c>
      <c r="AD102" s="2">
        <v>42.759747514504603</v>
      </c>
      <c r="AE102" s="2">
        <v>83.789691697961302</v>
      </c>
      <c r="AF102" s="2">
        <v>44.748656625472798</v>
      </c>
      <c r="AG102" s="2">
        <v>91.3151747494868</v>
      </c>
      <c r="AH102" s="2">
        <v>18.903096370673602</v>
      </c>
      <c r="AI102" s="2">
        <v>77.342402080242195</v>
      </c>
      <c r="AJ102" s="2">
        <v>2.9192219048301098</v>
      </c>
    </row>
    <row r="103" spans="1:36" ht="15.75" customHeight="1" x14ac:dyDescent="0.45">
      <c r="A103" s="2" t="s">
        <v>238</v>
      </c>
      <c r="B103" s="2" t="s">
        <v>243</v>
      </c>
      <c r="C103" s="2" t="s">
        <v>242</v>
      </c>
      <c r="D103" s="2" t="s">
        <v>83</v>
      </c>
      <c r="E103" s="2" t="s">
        <v>84</v>
      </c>
      <c r="G103" s="2">
        <v>0.52168599240714197</v>
      </c>
      <c r="H103" s="2">
        <v>0.49815795487195302</v>
      </c>
      <c r="I103" s="2">
        <v>109.52910052910001</v>
      </c>
      <c r="J103" s="2">
        <v>7.9986351401441302</v>
      </c>
      <c r="K103" s="2">
        <v>23.0196211312592</v>
      </c>
      <c r="L103" s="2">
        <v>2.03835546282302</v>
      </c>
      <c r="M103" s="2">
        <v>3.2282902085534899</v>
      </c>
      <c r="N103" s="2">
        <v>2.1383400825249201</v>
      </c>
      <c r="O103" s="2">
        <v>2.5533060433012098</v>
      </c>
      <c r="P103" s="2">
        <v>0.58285337559026196</v>
      </c>
      <c r="Q103" s="2">
        <v>0.42831402955693099</v>
      </c>
      <c r="R103" s="2">
        <v>0.14521396283719101</v>
      </c>
      <c r="S103" s="2">
        <v>3.0897158687452899</v>
      </c>
      <c r="T103" s="2">
        <v>0.44750744755672101</v>
      </c>
      <c r="U103" s="2">
        <v>42.922118009978298</v>
      </c>
      <c r="V103" s="2">
        <v>3.97364436843647</v>
      </c>
      <c r="W103" s="2">
        <v>23.397005045752501</v>
      </c>
      <c r="X103" s="2">
        <v>18.8164756076944</v>
      </c>
      <c r="Y103" s="2">
        <v>90.080278770119705</v>
      </c>
      <c r="Z103" s="2">
        <v>22.328927208842501</v>
      </c>
      <c r="AA103" s="2">
        <v>127.67066788779201</v>
      </c>
      <c r="AB103" s="2">
        <v>16.084476610942499</v>
      </c>
      <c r="AC103" s="2">
        <v>9.7173479357194203</v>
      </c>
      <c r="AD103" s="2">
        <v>5.6627595374138204</v>
      </c>
      <c r="AE103" s="2">
        <v>109.245598002793</v>
      </c>
      <c r="AF103" s="2">
        <v>81.458694790247705</v>
      </c>
      <c r="AG103" s="2">
        <v>72.491624905053698</v>
      </c>
      <c r="AH103" s="2">
        <v>15.2717192206585</v>
      </c>
      <c r="AI103" s="2">
        <v>74.427072825439495</v>
      </c>
      <c r="AJ103" s="2">
        <v>2.0502686700305199</v>
      </c>
    </row>
    <row r="104" spans="1:36" ht="15.75" customHeight="1" x14ac:dyDescent="0.45">
      <c r="A104" s="2" t="s">
        <v>238</v>
      </c>
      <c r="B104" s="2" t="s">
        <v>243</v>
      </c>
      <c r="C104" s="2" t="s">
        <v>243</v>
      </c>
      <c r="D104" s="2" t="s">
        <v>83</v>
      </c>
      <c r="E104" s="2" t="s">
        <v>84</v>
      </c>
      <c r="G104" s="2">
        <v>1.1870123225607101</v>
      </c>
      <c r="H104" s="2">
        <v>1.57841586259776</v>
      </c>
      <c r="I104" s="2">
        <v>65.178571428571402</v>
      </c>
      <c r="J104" s="2">
        <v>4.4788334395902902</v>
      </c>
      <c r="K104" s="2">
        <v>14.493496688420199</v>
      </c>
      <c r="L104" s="2">
        <v>3.6535958952096199</v>
      </c>
      <c r="M104" s="2">
        <v>0</v>
      </c>
      <c r="N104" s="2">
        <v>0</v>
      </c>
      <c r="O104" s="2">
        <v>1.9139090312142799</v>
      </c>
      <c r="P104" s="2">
        <v>0.21564480163150801</v>
      </c>
      <c r="Q104" s="2">
        <v>0.16464409907142799</v>
      </c>
      <c r="R104" s="2">
        <v>0.14315703767048699</v>
      </c>
      <c r="S104" s="2">
        <v>3.6099421492553501</v>
      </c>
      <c r="T104" s="2">
        <v>0.40610931296956698</v>
      </c>
      <c r="U104" s="2">
        <v>25.653460175051801</v>
      </c>
      <c r="V104" s="2">
        <v>3.5793500490625898</v>
      </c>
      <c r="W104" s="2">
        <v>49.714196523801199</v>
      </c>
      <c r="X104" s="2">
        <v>65.307230310039998</v>
      </c>
      <c r="Y104" s="2">
        <v>67.152056139478404</v>
      </c>
      <c r="Z104" s="2">
        <v>5.69810506794252</v>
      </c>
      <c r="AA104" s="2">
        <v>80.0217945259201</v>
      </c>
      <c r="AB104" s="2">
        <v>19.092110585853899</v>
      </c>
      <c r="AC104" s="2">
        <v>0</v>
      </c>
      <c r="AD104" s="2">
        <v>0</v>
      </c>
      <c r="AE104" s="2">
        <v>29.532536993398601</v>
      </c>
      <c r="AF104" s="2">
        <v>26.647591670436999</v>
      </c>
      <c r="AG104" s="2">
        <v>84.130323453867305</v>
      </c>
      <c r="AH104" s="2">
        <v>11.0408775948121</v>
      </c>
      <c r="AI104" s="2">
        <v>83.592594280365404</v>
      </c>
      <c r="AJ104" s="2">
        <v>3.5498131752589002</v>
      </c>
    </row>
    <row r="105" spans="1:36" ht="15.75" customHeight="1" x14ac:dyDescent="0.45">
      <c r="A105" s="2" t="s">
        <v>238</v>
      </c>
      <c r="B105" s="2" t="s">
        <v>243</v>
      </c>
      <c r="C105" s="2" t="s">
        <v>244</v>
      </c>
      <c r="D105" s="2" t="s">
        <v>83</v>
      </c>
      <c r="E105" s="2" t="s">
        <v>84</v>
      </c>
      <c r="G105" s="2">
        <v>0</v>
      </c>
      <c r="H105" s="2">
        <v>0</v>
      </c>
      <c r="I105" s="2">
        <v>17.650793650793599</v>
      </c>
      <c r="J105" s="2">
        <v>1.8603960111267299</v>
      </c>
      <c r="K105" s="2">
        <v>2.2563897354</v>
      </c>
      <c r="L105" s="2">
        <v>2.3279589057532202</v>
      </c>
      <c r="M105" s="2">
        <v>0</v>
      </c>
      <c r="N105" s="2">
        <v>0</v>
      </c>
      <c r="O105" s="2">
        <v>27.852482387058199</v>
      </c>
      <c r="P105" s="2">
        <v>4.2363598736441102</v>
      </c>
      <c r="Q105" s="2">
        <v>0</v>
      </c>
      <c r="R105" s="2">
        <v>0</v>
      </c>
      <c r="S105" s="2">
        <v>7.0856756238888803</v>
      </c>
      <c r="T105" s="2">
        <v>4.0489959666687598</v>
      </c>
      <c r="U105" s="2">
        <v>6.9641890093262004</v>
      </c>
      <c r="V105" s="2">
        <v>1.28350548392548</v>
      </c>
      <c r="W105" s="2">
        <v>0</v>
      </c>
      <c r="X105" s="2">
        <v>0</v>
      </c>
      <c r="Y105" s="2">
        <v>977.41345626438897</v>
      </c>
      <c r="Z105" s="2">
        <v>132.49632626669899</v>
      </c>
      <c r="AA105" s="2">
        <v>12.7506874669421</v>
      </c>
      <c r="AB105" s="2">
        <v>13.481028304644401</v>
      </c>
      <c r="AC105" s="2">
        <v>0</v>
      </c>
      <c r="AD105" s="2">
        <v>0</v>
      </c>
      <c r="AE105" s="2">
        <v>0</v>
      </c>
      <c r="AF105" s="2">
        <v>0</v>
      </c>
      <c r="AG105" s="2">
        <v>163.34150837407401</v>
      </c>
      <c r="AH105" s="2">
        <v>90.122393124821002</v>
      </c>
      <c r="AI105" s="2">
        <v>69.891127877541706</v>
      </c>
      <c r="AJ105" s="2">
        <v>5.9228462770891603</v>
      </c>
    </row>
    <row r="106" spans="1:36" ht="15.75" customHeight="1" x14ac:dyDescent="0.45">
      <c r="A106" s="2" t="s">
        <v>238</v>
      </c>
      <c r="B106" s="2" t="s">
        <v>243</v>
      </c>
      <c r="C106" s="2" t="s">
        <v>245</v>
      </c>
      <c r="D106" s="2" t="s">
        <v>83</v>
      </c>
      <c r="E106" s="2" t="s">
        <v>84</v>
      </c>
      <c r="G106" s="2">
        <v>0</v>
      </c>
      <c r="H106" s="2">
        <v>0</v>
      </c>
      <c r="I106" s="2">
        <v>11.9444444444444</v>
      </c>
      <c r="J106" s="2">
        <v>0.99419612045404104</v>
      </c>
      <c r="K106" s="2">
        <v>6.2152461329666604</v>
      </c>
      <c r="L106" s="2">
        <v>2.1664890613205601</v>
      </c>
      <c r="M106" s="2">
        <v>0</v>
      </c>
      <c r="N106" s="2">
        <v>0</v>
      </c>
      <c r="O106" s="2">
        <v>9.9144404571611098</v>
      </c>
      <c r="P106" s="2">
        <v>2.63860724229299</v>
      </c>
      <c r="Q106" s="2">
        <v>0</v>
      </c>
      <c r="R106" s="2">
        <v>0</v>
      </c>
      <c r="S106" s="2">
        <v>6.9332395593027698</v>
      </c>
      <c r="T106" s="2">
        <v>4.6185045729096101</v>
      </c>
      <c r="U106" s="2">
        <v>4.66777420968603</v>
      </c>
      <c r="V106" s="2">
        <v>0.18944144500000201</v>
      </c>
      <c r="W106" s="2">
        <v>0</v>
      </c>
      <c r="X106" s="2">
        <v>0</v>
      </c>
      <c r="Y106" s="2">
        <v>347.02584636643599</v>
      </c>
      <c r="Z106" s="2">
        <v>83.979258227419393</v>
      </c>
      <c r="AA106" s="2">
        <v>34.387447734401597</v>
      </c>
      <c r="AB106" s="2">
        <v>11.785217287746001</v>
      </c>
      <c r="AC106" s="2">
        <v>0</v>
      </c>
      <c r="AD106" s="2">
        <v>0</v>
      </c>
      <c r="AE106" s="2">
        <v>0</v>
      </c>
      <c r="AF106" s="2">
        <v>0</v>
      </c>
      <c r="AG106" s="2">
        <v>163.08389717586999</v>
      </c>
      <c r="AH106" s="2">
        <v>106.489870209881</v>
      </c>
      <c r="AI106" s="2">
        <v>83.870313409872196</v>
      </c>
      <c r="AJ106" s="2">
        <v>3.9096839429357</v>
      </c>
    </row>
    <row r="107" spans="1:36" ht="15.75" customHeight="1" x14ac:dyDescent="0.45">
      <c r="A107" s="2" t="s">
        <v>238</v>
      </c>
      <c r="B107" s="2" t="s">
        <v>244</v>
      </c>
      <c r="C107" s="2" t="s">
        <v>239</v>
      </c>
      <c r="D107" s="2" t="s">
        <v>83</v>
      </c>
      <c r="E107" s="2" t="s">
        <v>84</v>
      </c>
      <c r="G107" s="2">
        <v>2.8494713621640702</v>
      </c>
      <c r="H107" s="2">
        <v>0.97244903596392995</v>
      </c>
      <c r="I107" s="2">
        <v>113.35185185185099</v>
      </c>
      <c r="J107" s="2">
        <v>12.1194092154903</v>
      </c>
      <c r="K107" s="2">
        <v>23.820727725222199</v>
      </c>
      <c r="L107" s="2">
        <v>1.3852002059499</v>
      </c>
      <c r="M107" s="2">
        <v>14.908727749488399</v>
      </c>
      <c r="N107" s="2">
        <v>4.0509229081975002</v>
      </c>
      <c r="O107" s="2">
        <v>3.8876116536729999</v>
      </c>
      <c r="P107" s="2">
        <v>0.697100575678124</v>
      </c>
      <c r="Q107" s="2">
        <v>0.45826868888254602</v>
      </c>
      <c r="R107" s="2">
        <v>6.9787617961576495E-2</v>
      </c>
      <c r="S107" s="2">
        <v>8.1988744116995296</v>
      </c>
      <c r="T107" s="2">
        <v>1.6788642467849</v>
      </c>
      <c r="U107" s="2">
        <v>44.6175683119056</v>
      </c>
      <c r="V107" s="2">
        <v>7.5724292109099904</v>
      </c>
      <c r="W107" s="2">
        <v>143.05613876005199</v>
      </c>
      <c r="X107" s="2">
        <v>3.61292697128569</v>
      </c>
      <c r="Y107" s="2">
        <v>136.23862508795199</v>
      </c>
      <c r="Z107" s="2">
        <v>20.500662889783801</v>
      </c>
      <c r="AA107" s="2">
        <v>131.64759649867199</v>
      </c>
      <c r="AB107" s="2">
        <v>2.7444558139555699</v>
      </c>
      <c r="AC107" s="2">
        <v>46.198267573629103</v>
      </c>
      <c r="AD107" s="2">
        <v>12.821319020594601</v>
      </c>
      <c r="AE107" s="2">
        <v>102.44968771148</v>
      </c>
      <c r="AF107" s="2">
        <v>25.815082497747099</v>
      </c>
      <c r="AG107" s="2">
        <v>189.46451711438201</v>
      </c>
      <c r="AH107" s="2">
        <v>26.756135991659701</v>
      </c>
      <c r="AI107" s="2">
        <v>72.291660621104697</v>
      </c>
      <c r="AJ107" s="2">
        <v>1.91105666736117</v>
      </c>
    </row>
    <row r="108" spans="1:36" ht="15.75" customHeight="1" x14ac:dyDescent="0.45">
      <c r="A108" s="2" t="s">
        <v>238</v>
      </c>
      <c r="B108" s="2" t="s">
        <v>244</v>
      </c>
      <c r="C108" s="2" t="s">
        <v>240</v>
      </c>
      <c r="D108" s="2" t="s">
        <v>83</v>
      </c>
      <c r="E108" s="2" t="s">
        <v>84</v>
      </c>
      <c r="G108" s="2">
        <v>2.6176338188870201</v>
      </c>
      <c r="H108" s="2">
        <v>0.68566927265183997</v>
      </c>
      <c r="I108" s="2">
        <v>109.64880952380901</v>
      </c>
      <c r="J108" s="2">
        <v>16.883513851268798</v>
      </c>
      <c r="K108" s="2">
        <v>27.877589399083298</v>
      </c>
      <c r="L108" s="2">
        <v>0.96278617992433102</v>
      </c>
      <c r="M108" s="2">
        <v>13.2292910501839</v>
      </c>
      <c r="N108" s="2">
        <v>2.2864412976436999</v>
      </c>
      <c r="O108" s="2">
        <v>2.9169474247190399</v>
      </c>
      <c r="P108" s="2">
        <v>1.34333300689166</v>
      </c>
      <c r="Q108" s="2">
        <v>0.51430638922976102</v>
      </c>
      <c r="R108" s="2">
        <v>0.38193475267291099</v>
      </c>
      <c r="S108" s="2">
        <v>7.3220132035249996</v>
      </c>
      <c r="T108" s="2">
        <v>0.39917537963292798</v>
      </c>
      <c r="U108" s="2">
        <v>43.002611234584201</v>
      </c>
      <c r="V108" s="2">
        <v>7.3535529922979803</v>
      </c>
      <c r="W108" s="2">
        <v>134.41487825809</v>
      </c>
      <c r="X108" s="2">
        <v>10.630130193214599</v>
      </c>
      <c r="Y108" s="2">
        <v>102.94541381548601</v>
      </c>
      <c r="Z108" s="2">
        <v>49.219894351072703</v>
      </c>
      <c r="AA108" s="2">
        <v>154.19314823424301</v>
      </c>
      <c r="AB108" s="2">
        <v>3.8020179247144399</v>
      </c>
      <c r="AC108" s="2">
        <v>41.082477384782898</v>
      </c>
      <c r="AD108" s="2">
        <v>7.7735672380540004</v>
      </c>
      <c r="AE108" s="2">
        <v>134.486623230606</v>
      </c>
      <c r="AF108" s="2">
        <v>139.57429562986599</v>
      </c>
      <c r="AG108" s="2">
        <v>170.21462039402999</v>
      </c>
      <c r="AH108" s="2">
        <v>6.2364592293588599</v>
      </c>
      <c r="AI108" s="2">
        <v>69.205463176197597</v>
      </c>
      <c r="AJ108" s="2">
        <v>0.51782487505694097</v>
      </c>
    </row>
    <row r="109" spans="1:36" ht="15.75" customHeight="1" x14ac:dyDescent="0.45">
      <c r="A109" s="2" t="s">
        <v>238</v>
      </c>
      <c r="B109" s="2" t="s">
        <v>244</v>
      </c>
      <c r="C109" s="2" t="s">
        <v>241</v>
      </c>
      <c r="D109" s="2" t="s">
        <v>83</v>
      </c>
      <c r="E109" s="2" t="s">
        <v>84</v>
      </c>
      <c r="G109" s="2">
        <v>10.3711159103485</v>
      </c>
      <c r="H109" s="2">
        <v>14.343549172703201</v>
      </c>
      <c r="I109" s="2">
        <v>177.962962962962</v>
      </c>
      <c r="J109" s="2">
        <v>106.058586961701</v>
      </c>
      <c r="K109" s="2">
        <v>24.243342154444399</v>
      </c>
      <c r="L109" s="2">
        <v>6.0228683928920601</v>
      </c>
      <c r="M109" s="2">
        <v>24.175344706337</v>
      </c>
      <c r="N109" s="2">
        <v>19.790561110329001</v>
      </c>
      <c r="O109" s="2">
        <v>2.8152287028125902</v>
      </c>
      <c r="P109" s="2">
        <v>1.4005609954739</v>
      </c>
      <c r="Q109" s="2">
        <v>0.39213374827666603</v>
      </c>
      <c r="R109" s="2">
        <v>0.17814520902262501</v>
      </c>
      <c r="S109" s="2">
        <v>5.4563705617518501</v>
      </c>
      <c r="T109" s="2">
        <v>1.3563641873827299</v>
      </c>
      <c r="U109" s="2">
        <v>67.5621925454153</v>
      </c>
      <c r="V109" s="2">
        <v>34.536394543421601</v>
      </c>
      <c r="W109" s="2">
        <v>464.66912919352001</v>
      </c>
      <c r="X109" s="2">
        <v>615.67680631823305</v>
      </c>
      <c r="Y109" s="2">
        <v>99.2424263435841</v>
      </c>
      <c r="Z109" s="2">
        <v>50.8745840905693</v>
      </c>
      <c r="AA109" s="2">
        <v>133.40568854478099</v>
      </c>
      <c r="AB109" s="2">
        <v>29.408517198812199</v>
      </c>
      <c r="AC109" s="2">
        <v>72.222760906285799</v>
      </c>
      <c r="AD109" s="2">
        <v>54.240041134577403</v>
      </c>
      <c r="AE109" s="2">
        <v>101.880536185849</v>
      </c>
      <c r="AF109" s="2">
        <v>87.789923058591896</v>
      </c>
      <c r="AG109" s="2">
        <v>125.321325797361</v>
      </c>
      <c r="AH109" s="2">
        <v>21.0333291881695</v>
      </c>
      <c r="AI109" s="2">
        <v>72.941429142742905</v>
      </c>
      <c r="AJ109" s="2">
        <v>4.63855818328192</v>
      </c>
    </row>
    <row r="110" spans="1:36" ht="15.75" customHeight="1" x14ac:dyDescent="0.45">
      <c r="A110" s="2" t="s">
        <v>238</v>
      </c>
      <c r="B110" s="2" t="s">
        <v>244</v>
      </c>
      <c r="C110" s="2" t="s">
        <v>242</v>
      </c>
      <c r="D110" s="2" t="s">
        <v>83</v>
      </c>
      <c r="E110" s="2" t="s">
        <v>84</v>
      </c>
      <c r="G110" s="2">
        <v>0.57980466662916597</v>
      </c>
      <c r="H110" s="2">
        <v>0.63888466806806998</v>
      </c>
      <c r="I110" s="2">
        <v>81.398148148148096</v>
      </c>
      <c r="J110" s="2">
        <v>6.0095303254505099</v>
      </c>
      <c r="K110" s="2">
        <v>28.137678989768499</v>
      </c>
      <c r="L110" s="2">
        <v>3.5457405643906101</v>
      </c>
      <c r="M110" s="2">
        <v>8.9245872377777702E-2</v>
      </c>
      <c r="N110" s="2">
        <v>0.154578385324118</v>
      </c>
      <c r="O110" s="2">
        <v>2.3820720264837898</v>
      </c>
      <c r="P110" s="2">
        <v>0.75899121549926496</v>
      </c>
      <c r="Q110" s="2">
        <v>0.26377115025740699</v>
      </c>
      <c r="R110" s="2">
        <v>0.35210049886168698</v>
      </c>
      <c r="S110" s="2">
        <v>3.5220000293643499</v>
      </c>
      <c r="T110" s="2">
        <v>1.00924495562676</v>
      </c>
      <c r="U110" s="2">
        <v>31.883526069547202</v>
      </c>
      <c r="V110" s="2">
        <v>2.7068330590776801</v>
      </c>
      <c r="W110" s="2">
        <v>31.113077997858099</v>
      </c>
      <c r="X110" s="2">
        <v>28.282946267834198</v>
      </c>
      <c r="Y110" s="2">
        <v>84.083957830637104</v>
      </c>
      <c r="Z110" s="2">
        <v>28.5072872820101</v>
      </c>
      <c r="AA110" s="2">
        <v>156.054784499677</v>
      </c>
      <c r="AB110" s="2">
        <v>24.0816818041217</v>
      </c>
      <c r="AC110" s="2">
        <v>0.25435360663416201</v>
      </c>
      <c r="AD110" s="2">
        <v>0.44055336977875698</v>
      </c>
      <c r="AE110" s="2">
        <v>49.371847545914498</v>
      </c>
      <c r="AF110" s="2">
        <v>52.386367436891803</v>
      </c>
      <c r="AG110" s="2">
        <v>83.487310632241702</v>
      </c>
      <c r="AH110" s="2">
        <v>30.596347017818299</v>
      </c>
      <c r="AI110" s="2">
        <v>69.4802489837476</v>
      </c>
      <c r="AJ110" s="2">
        <v>4.10982149054208</v>
      </c>
    </row>
    <row r="111" spans="1:36" ht="15.75" customHeight="1" x14ac:dyDescent="0.45">
      <c r="A111" s="2" t="s">
        <v>238</v>
      </c>
      <c r="B111" s="2" t="s">
        <v>244</v>
      </c>
      <c r="C111" s="2" t="s">
        <v>243</v>
      </c>
      <c r="D111" s="2" t="s">
        <v>83</v>
      </c>
      <c r="E111" s="2" t="s">
        <v>84</v>
      </c>
      <c r="G111" s="2">
        <v>0.73542412196130902</v>
      </c>
      <c r="H111" s="2">
        <v>0.407879552036854</v>
      </c>
      <c r="I111" s="2">
        <v>33.886904761904702</v>
      </c>
      <c r="J111" s="2">
        <v>5.6928821622202497</v>
      </c>
      <c r="K111" s="2">
        <v>13.740922815694001</v>
      </c>
      <c r="L111" s="2">
        <v>2.6208075215555899</v>
      </c>
      <c r="M111" s="2">
        <v>0</v>
      </c>
      <c r="N111" s="2">
        <v>0</v>
      </c>
      <c r="O111" s="2">
        <v>3.4846846700612999</v>
      </c>
      <c r="P111" s="2">
        <v>0.479472951751994</v>
      </c>
      <c r="Q111" s="2">
        <v>0.359691985805357</v>
      </c>
      <c r="R111" s="2">
        <v>0.13711670851340499</v>
      </c>
      <c r="S111" s="2">
        <v>4.7326497422303504</v>
      </c>
      <c r="T111" s="2">
        <v>1.9848892060435801</v>
      </c>
      <c r="U111" s="2">
        <v>13.314179953505199</v>
      </c>
      <c r="V111" s="2">
        <v>2.7180913598046299</v>
      </c>
      <c r="W111" s="2">
        <v>34.647298985484802</v>
      </c>
      <c r="X111" s="2">
        <v>11.536772975569001</v>
      </c>
      <c r="Y111" s="2">
        <v>122.211383038995</v>
      </c>
      <c r="Z111" s="2">
        <v>13.379347160214101</v>
      </c>
      <c r="AA111" s="2">
        <v>75.931474476019702</v>
      </c>
      <c r="AB111" s="2">
        <v>13.6545144824158</v>
      </c>
      <c r="AC111" s="2">
        <v>0</v>
      </c>
      <c r="AD111" s="2">
        <v>0</v>
      </c>
      <c r="AE111" s="2">
        <v>87.008242903317907</v>
      </c>
      <c r="AF111" s="2">
        <v>58.847821798569797</v>
      </c>
      <c r="AG111" s="2">
        <v>111.09488163294399</v>
      </c>
      <c r="AH111" s="2">
        <v>50.055126250261502</v>
      </c>
      <c r="AI111" s="2">
        <v>82.774392514244596</v>
      </c>
      <c r="AJ111" s="2">
        <v>2.3880259449534198</v>
      </c>
    </row>
    <row r="112" spans="1:36" ht="15.75" customHeight="1" x14ac:dyDescent="0.45">
      <c r="A112" s="2" t="s">
        <v>238</v>
      </c>
      <c r="B112" s="2" t="s">
        <v>244</v>
      </c>
      <c r="C112" s="2" t="s">
        <v>244</v>
      </c>
      <c r="D112" s="2" t="s">
        <v>83</v>
      </c>
      <c r="E112" s="2" t="s">
        <v>84</v>
      </c>
      <c r="G112" s="2">
        <v>6.84613869190198</v>
      </c>
      <c r="H112" s="2">
        <v>8.0747878886515494</v>
      </c>
      <c r="I112" s="2">
        <v>31.0833333333333</v>
      </c>
      <c r="J112" s="2">
        <v>2.7424137786506599</v>
      </c>
      <c r="K112" s="2">
        <v>1.4391534391555501</v>
      </c>
      <c r="L112" s="2">
        <v>1.4097153571199299</v>
      </c>
      <c r="M112" s="2">
        <v>0</v>
      </c>
      <c r="N112" s="2">
        <v>0</v>
      </c>
      <c r="O112" s="2">
        <v>31.9217962048908</v>
      </c>
      <c r="P112" s="2">
        <v>4.8878536344473797</v>
      </c>
      <c r="Q112" s="2">
        <v>0</v>
      </c>
      <c r="R112" s="2">
        <v>0</v>
      </c>
      <c r="S112" s="2">
        <v>9.0207661297311503</v>
      </c>
      <c r="T112" s="2">
        <v>0.94169627881245199</v>
      </c>
      <c r="U112" s="2">
        <v>12.1742210750132</v>
      </c>
      <c r="V112" s="2">
        <v>1.18023268163189</v>
      </c>
      <c r="W112" s="2">
        <v>325.47198886747299</v>
      </c>
      <c r="X112" s="2">
        <v>333.57489535343501</v>
      </c>
      <c r="Y112" s="2">
        <v>1124.2028632757899</v>
      </c>
      <c r="Z112" s="2">
        <v>193.92184298605</v>
      </c>
      <c r="AA112" s="2">
        <v>7.77484067099663</v>
      </c>
      <c r="AB112" s="2">
        <v>7.5809915456571098</v>
      </c>
      <c r="AC112" s="2">
        <v>0</v>
      </c>
      <c r="AD112" s="2">
        <v>0</v>
      </c>
      <c r="AE112" s="2">
        <v>0</v>
      </c>
      <c r="AF112" s="2">
        <v>0</v>
      </c>
      <c r="AG112" s="2">
        <v>210.906815143616</v>
      </c>
      <c r="AH112" s="2">
        <v>33.164616818766497</v>
      </c>
      <c r="AI112" s="2">
        <v>66.639050355953501</v>
      </c>
      <c r="AJ112" s="2">
        <v>3.70453164455455</v>
      </c>
    </row>
    <row r="113" spans="1:36" ht="15.75" customHeight="1" x14ac:dyDescent="0.45">
      <c r="A113" s="2" t="s">
        <v>238</v>
      </c>
      <c r="B113" s="2" t="s">
        <v>244</v>
      </c>
      <c r="C113" s="2" t="s">
        <v>245</v>
      </c>
      <c r="D113" s="2" t="s">
        <v>83</v>
      </c>
      <c r="E113" s="2" t="s">
        <v>84</v>
      </c>
      <c r="G113" s="2">
        <v>3.9583333333333299</v>
      </c>
      <c r="H113" s="2">
        <v>6.8560344466267997</v>
      </c>
      <c r="I113" s="2">
        <v>8.9722222222222197</v>
      </c>
      <c r="J113" s="2">
        <v>0.61425956631933998</v>
      </c>
      <c r="K113" s="2">
        <v>4.9981962482083304</v>
      </c>
      <c r="L113" s="2">
        <v>2.3194179259573899</v>
      </c>
      <c r="M113" s="2">
        <v>0</v>
      </c>
      <c r="N113" s="2">
        <v>0</v>
      </c>
      <c r="O113" s="2">
        <v>19.444745069805499</v>
      </c>
      <c r="P113" s="2">
        <v>5.3849503680124204</v>
      </c>
      <c r="Q113" s="2">
        <v>0</v>
      </c>
      <c r="R113" s="2">
        <v>0</v>
      </c>
      <c r="S113" s="2">
        <v>10.232984608013799</v>
      </c>
      <c r="T113" s="2">
        <v>2.1617648059487</v>
      </c>
      <c r="U113" s="2">
        <v>3.5324962357386398</v>
      </c>
      <c r="V113" s="2">
        <v>0.517935923480904</v>
      </c>
      <c r="W113" s="2">
        <v>172.97238596038301</v>
      </c>
      <c r="X113" s="2">
        <v>299.59696078979698</v>
      </c>
      <c r="Y113" s="2">
        <v>680.36661535747999</v>
      </c>
      <c r="Z113" s="2">
        <v>170.78548582257</v>
      </c>
      <c r="AA113" s="2">
        <v>27.953264717740801</v>
      </c>
      <c r="AB113" s="2">
        <v>13.803855396122501</v>
      </c>
      <c r="AC113" s="2">
        <v>0</v>
      </c>
      <c r="AD113" s="2">
        <v>0</v>
      </c>
      <c r="AE113" s="2">
        <v>0</v>
      </c>
      <c r="AF113" s="2">
        <v>0</v>
      </c>
      <c r="AG113" s="2">
        <v>238.235786806352</v>
      </c>
      <c r="AH113" s="2">
        <v>50.8346590495402</v>
      </c>
      <c r="AI113" s="2">
        <v>75.557058681986007</v>
      </c>
      <c r="AJ113" s="2">
        <v>3.0953894990611901</v>
      </c>
    </row>
    <row r="114" spans="1:36" ht="15.75" customHeight="1" x14ac:dyDescent="0.45">
      <c r="A114" s="2" t="s">
        <v>238</v>
      </c>
      <c r="B114" s="2" t="s">
        <v>244</v>
      </c>
      <c r="C114" s="2" t="s">
        <v>246</v>
      </c>
      <c r="D114" s="2" t="s">
        <v>83</v>
      </c>
      <c r="E114" s="2" t="s">
        <v>84</v>
      </c>
      <c r="G114" s="2">
        <v>1.6666666666866601</v>
      </c>
      <c r="H114" s="2">
        <v>2.8867513459827698</v>
      </c>
      <c r="I114" s="2">
        <v>11.5428571428571</v>
      </c>
      <c r="J114" s="2">
        <v>2.15103202568213</v>
      </c>
      <c r="K114" s="2">
        <v>4.5899470899404697</v>
      </c>
      <c r="L114" s="2">
        <v>4.5221267639262601</v>
      </c>
      <c r="M114" s="2">
        <v>0</v>
      </c>
      <c r="N114" s="2">
        <v>0</v>
      </c>
      <c r="O114" s="2">
        <v>20.735061536728502</v>
      </c>
      <c r="P114" s="2">
        <v>9.4375806487404095</v>
      </c>
      <c r="Q114" s="2">
        <v>0</v>
      </c>
      <c r="R114" s="2">
        <v>0</v>
      </c>
      <c r="S114" s="2">
        <v>7.9117063492437998</v>
      </c>
      <c r="T114" s="2">
        <v>1.8631985091330201</v>
      </c>
      <c r="U114" s="2">
        <v>4.5067871402335298</v>
      </c>
      <c r="V114" s="2">
        <v>0.73591952130802296</v>
      </c>
      <c r="W114" s="2">
        <v>72.830478299982701</v>
      </c>
      <c r="X114" s="2">
        <v>126.146088755112</v>
      </c>
      <c r="Y114" s="2">
        <v>732.49271440959706</v>
      </c>
      <c r="Z114" s="2">
        <v>347.36042367943202</v>
      </c>
      <c r="AA114" s="2">
        <v>25.081920098767299</v>
      </c>
      <c r="AB114" s="2">
        <v>24.555459954326601</v>
      </c>
      <c r="AC114" s="2">
        <v>0</v>
      </c>
      <c r="AD114" s="2">
        <v>0</v>
      </c>
      <c r="AE114" s="2">
        <v>0</v>
      </c>
      <c r="AF114" s="2">
        <v>0</v>
      </c>
      <c r="AG114" s="2">
        <v>186.38415310199699</v>
      </c>
      <c r="AH114" s="2">
        <v>58.655325872413997</v>
      </c>
      <c r="AI114" s="2">
        <v>74.674991373330897</v>
      </c>
      <c r="AJ114" s="2">
        <v>7.0953671635873796</v>
      </c>
    </row>
    <row r="115" spans="1:36" ht="15.75" customHeight="1" x14ac:dyDescent="0.45">
      <c r="A115" s="2" t="s">
        <v>238</v>
      </c>
      <c r="B115" s="2" t="s">
        <v>245</v>
      </c>
      <c r="C115" s="2" t="s">
        <v>239</v>
      </c>
      <c r="D115" s="2" t="s">
        <v>83</v>
      </c>
      <c r="E115" s="2" t="s">
        <v>84</v>
      </c>
      <c r="G115" s="2">
        <v>1.8312249064083499</v>
      </c>
      <c r="H115" s="2">
        <v>1.1822363316661699</v>
      </c>
      <c r="I115" s="2">
        <v>244.24867724867701</v>
      </c>
      <c r="J115" s="2">
        <v>50.416260053040297</v>
      </c>
      <c r="K115" s="2">
        <v>17.673286235015802</v>
      </c>
      <c r="L115" s="2">
        <v>0.984969380703137</v>
      </c>
      <c r="M115" s="2">
        <v>26.057618079026401</v>
      </c>
      <c r="N115" s="2">
        <v>4.6707043218959301</v>
      </c>
      <c r="O115" s="2">
        <v>1.9640891939764</v>
      </c>
      <c r="P115" s="2">
        <v>0.270814080202404</v>
      </c>
      <c r="Q115" s="2">
        <v>0.25684224504862402</v>
      </c>
      <c r="R115" s="2">
        <v>6.8524037757360295E-2</v>
      </c>
      <c r="S115" s="2">
        <v>3.8272846714005202</v>
      </c>
      <c r="T115" s="2">
        <v>0.75094117969242902</v>
      </c>
      <c r="U115" s="2">
        <v>96.784062133805506</v>
      </c>
      <c r="V115" s="2">
        <v>27.272927434099799</v>
      </c>
      <c r="W115" s="2">
        <v>84.649557530384101</v>
      </c>
      <c r="X115" s="2">
        <v>40.878632126571297</v>
      </c>
      <c r="Y115" s="2">
        <v>68.879017822336607</v>
      </c>
      <c r="Z115" s="2">
        <v>7.5219856566743797</v>
      </c>
      <c r="AA115" s="2">
        <v>97.878135539106395</v>
      </c>
      <c r="AB115" s="2">
        <v>7.7407959326958498</v>
      </c>
      <c r="AC115" s="2">
        <v>81.210663593078493</v>
      </c>
      <c r="AD115" s="2">
        <v>17.892419181940401</v>
      </c>
      <c r="AE115" s="2">
        <v>61.616506251686999</v>
      </c>
      <c r="AF115" s="2">
        <v>32.196609303087897</v>
      </c>
      <c r="AG115" s="2">
        <v>88.795834392822002</v>
      </c>
      <c r="AH115" s="2">
        <v>14.924607388711401</v>
      </c>
      <c r="AI115" s="2">
        <v>80.3626245710077</v>
      </c>
      <c r="AJ115" s="2">
        <v>0.73296776941837505</v>
      </c>
    </row>
    <row r="116" spans="1:36" ht="15.75" customHeight="1" x14ac:dyDescent="0.45">
      <c r="A116" s="2" t="s">
        <v>238</v>
      </c>
      <c r="B116" s="2" t="s">
        <v>245</v>
      </c>
      <c r="C116" s="2" t="s">
        <v>240</v>
      </c>
      <c r="D116" s="2" t="s">
        <v>83</v>
      </c>
      <c r="E116" s="2" t="s">
        <v>84</v>
      </c>
      <c r="G116" s="2">
        <v>1.6488072943163801</v>
      </c>
      <c r="H116" s="2">
        <v>0.43542500905125098</v>
      </c>
      <c r="I116" s="2">
        <v>238.12499999999901</v>
      </c>
      <c r="J116" s="2">
        <v>3.6635877224362199</v>
      </c>
      <c r="K116" s="2">
        <v>19.596231980129598</v>
      </c>
      <c r="L116" s="2">
        <v>0.67896455394323996</v>
      </c>
      <c r="M116" s="2">
        <v>24.1647824568009</v>
      </c>
      <c r="N116" s="2">
        <v>2.0609162394575899</v>
      </c>
      <c r="O116" s="2">
        <v>2.2195415006164798</v>
      </c>
      <c r="P116" s="2">
        <v>0.745358718260272</v>
      </c>
      <c r="Q116" s="2">
        <v>0.392448134787453</v>
      </c>
      <c r="R116" s="2">
        <v>0.13366835380197301</v>
      </c>
      <c r="S116" s="2">
        <v>3.67331463091055</v>
      </c>
      <c r="T116" s="2">
        <v>0.41025787320842</v>
      </c>
      <c r="U116" s="2">
        <v>93.372996018697293</v>
      </c>
      <c r="V116" s="2">
        <v>6.4748405976871197</v>
      </c>
      <c r="W116" s="2">
        <v>84.630432930863606</v>
      </c>
      <c r="X116" s="2">
        <v>6.8063473555366496</v>
      </c>
      <c r="Y116" s="2">
        <v>77.729282195828205</v>
      </c>
      <c r="Z116" s="2">
        <v>24.818946192947699</v>
      </c>
      <c r="AA116" s="2">
        <v>108.491748529867</v>
      </c>
      <c r="AB116" s="2">
        <v>6.4378443925755997</v>
      </c>
      <c r="AC116" s="2">
        <v>74.7850389322262</v>
      </c>
      <c r="AD116" s="2">
        <v>1.7622917186759699</v>
      </c>
      <c r="AE116" s="2">
        <v>84.0982430451498</v>
      </c>
      <c r="AF116" s="2">
        <v>12.846653240166001</v>
      </c>
      <c r="AG116" s="2">
        <v>86.270704880260595</v>
      </c>
      <c r="AH116" s="2">
        <v>17.761842998627099</v>
      </c>
      <c r="AI116" s="2">
        <v>78.184226519253798</v>
      </c>
      <c r="AJ116" s="2">
        <v>1.40807671579144</v>
      </c>
    </row>
    <row r="117" spans="1:36" ht="15.75" customHeight="1" x14ac:dyDescent="0.45">
      <c r="A117" s="2" t="s">
        <v>238</v>
      </c>
      <c r="B117" s="2" t="s">
        <v>245</v>
      </c>
      <c r="C117" s="2" t="s">
        <v>241</v>
      </c>
      <c r="D117" s="2" t="s">
        <v>83</v>
      </c>
      <c r="E117" s="2" t="s">
        <v>84</v>
      </c>
      <c r="G117" s="2">
        <v>1.95041807530476</v>
      </c>
      <c r="H117" s="2">
        <v>1.0856056494138699</v>
      </c>
      <c r="I117" s="2">
        <v>212.40740740740699</v>
      </c>
      <c r="J117" s="2">
        <v>80.409625163471901</v>
      </c>
      <c r="K117" s="2">
        <v>20.670396529106402</v>
      </c>
      <c r="L117" s="2">
        <v>0.91466878255372597</v>
      </c>
      <c r="M117" s="2">
        <v>24.538071692602699</v>
      </c>
      <c r="N117" s="2">
        <v>17.642151319955101</v>
      </c>
      <c r="O117" s="2">
        <v>2.3910827204594902</v>
      </c>
      <c r="P117" s="2">
        <v>1.02920011115689</v>
      </c>
      <c r="Q117" s="2">
        <v>0.57681334413462904</v>
      </c>
      <c r="R117" s="2">
        <v>0.15547340880611901</v>
      </c>
      <c r="S117" s="2">
        <v>3.83253097288009</v>
      </c>
      <c r="T117" s="2">
        <v>0.56980729078196302</v>
      </c>
      <c r="U117" s="2">
        <v>81.813250162072606</v>
      </c>
      <c r="V117" s="2">
        <v>24.155701221483898</v>
      </c>
      <c r="W117" s="2">
        <v>98.525589732652904</v>
      </c>
      <c r="X117" s="2">
        <v>36.876590144353997</v>
      </c>
      <c r="Y117" s="2">
        <v>83.959792347636693</v>
      </c>
      <c r="Z117" s="2">
        <v>36.318837449898602</v>
      </c>
      <c r="AA117" s="2">
        <v>114.39460212935199</v>
      </c>
      <c r="AB117" s="2">
        <v>6.2572207469363903</v>
      </c>
      <c r="AC117" s="2">
        <v>73.648530247184397</v>
      </c>
      <c r="AD117" s="2">
        <v>47.1463129545021</v>
      </c>
      <c r="AE117" s="2">
        <v>139.986687947928</v>
      </c>
      <c r="AF117" s="2">
        <v>88.5322449838945</v>
      </c>
      <c r="AG117" s="2">
        <v>90.000388165529799</v>
      </c>
      <c r="AH117" s="2">
        <v>19.807442863690898</v>
      </c>
      <c r="AI117" s="2">
        <v>76.938520750433995</v>
      </c>
      <c r="AJ117" s="2">
        <v>0.44537022540960702</v>
      </c>
    </row>
    <row r="118" spans="1:36" ht="15.75" customHeight="1" x14ac:dyDescent="0.45">
      <c r="A118" s="2" t="s">
        <v>238</v>
      </c>
      <c r="B118" s="2" t="s">
        <v>245</v>
      </c>
      <c r="C118" s="2" t="s">
        <v>242</v>
      </c>
      <c r="D118" s="2" t="s">
        <v>83</v>
      </c>
      <c r="E118" s="2" t="s">
        <v>84</v>
      </c>
      <c r="G118" s="2">
        <v>0.22456387179925899</v>
      </c>
      <c r="H118" s="2">
        <v>0.31676778100054198</v>
      </c>
      <c r="I118" s="2">
        <v>109.031746031746</v>
      </c>
      <c r="J118" s="2">
        <v>2.7630448294683898</v>
      </c>
      <c r="K118" s="2">
        <v>24.334732724936501</v>
      </c>
      <c r="L118" s="2">
        <v>1.0470839128801299</v>
      </c>
      <c r="M118" s="2">
        <v>2.3187580656662901</v>
      </c>
      <c r="N118" s="2">
        <v>2.0520549840983402</v>
      </c>
      <c r="O118" s="2">
        <v>1.93367485341592</v>
      </c>
      <c r="P118" s="2">
        <v>0.49471590090190698</v>
      </c>
      <c r="Q118" s="2">
        <v>0.48580595931465598</v>
      </c>
      <c r="R118" s="2">
        <v>0.33337020378304999</v>
      </c>
      <c r="S118" s="2">
        <v>3.86053767582698</v>
      </c>
      <c r="T118" s="2">
        <v>0.616557315495739</v>
      </c>
      <c r="U118" s="2">
        <v>42.729494398660599</v>
      </c>
      <c r="V118" s="2">
        <v>2.5746940398823002</v>
      </c>
      <c r="W118" s="2">
        <v>10.4445352622571</v>
      </c>
      <c r="X118" s="2">
        <v>12.5532257350043</v>
      </c>
      <c r="Y118" s="2">
        <v>67.778588838232693</v>
      </c>
      <c r="Z118" s="2">
        <v>16.209134278929099</v>
      </c>
      <c r="AA118" s="2">
        <v>134.837281914154</v>
      </c>
      <c r="AB118" s="2">
        <v>11.077007423831301</v>
      </c>
      <c r="AC118" s="2">
        <v>6.9078528451161398</v>
      </c>
      <c r="AD118" s="2">
        <v>5.6884508381314696</v>
      </c>
      <c r="AE118" s="2">
        <v>110.85203659863301</v>
      </c>
      <c r="AF118" s="2">
        <v>77.961797346648098</v>
      </c>
      <c r="AG118" s="2">
        <v>90.672957853190695</v>
      </c>
      <c r="AH118" s="2">
        <v>20.626911026512399</v>
      </c>
      <c r="AI118" s="2">
        <v>73.731592421647505</v>
      </c>
      <c r="AJ118" s="2">
        <v>1.14794947481178</v>
      </c>
    </row>
    <row r="119" spans="1:36" ht="15.75" customHeight="1" x14ac:dyDescent="0.45">
      <c r="A119" s="2" t="s">
        <v>238</v>
      </c>
      <c r="B119" s="2" t="s">
        <v>245</v>
      </c>
      <c r="C119" s="2" t="s">
        <v>243</v>
      </c>
      <c r="D119" s="2" t="s">
        <v>83</v>
      </c>
      <c r="E119" s="2" t="s">
        <v>84</v>
      </c>
      <c r="G119" s="2">
        <v>0.36706382061481402</v>
      </c>
      <c r="H119" s="2">
        <v>0.36845415011287702</v>
      </c>
      <c r="I119" s="2">
        <v>61.925925925925903</v>
      </c>
      <c r="J119" s="2">
        <v>1.91270390128529</v>
      </c>
      <c r="K119" s="2">
        <v>12.4882025647925</v>
      </c>
      <c r="L119" s="2">
        <v>0.862160392886413</v>
      </c>
      <c r="M119" s="2">
        <v>0</v>
      </c>
      <c r="N119" s="2">
        <v>0</v>
      </c>
      <c r="O119" s="2">
        <v>3.0691818597333298</v>
      </c>
      <c r="P119" s="2">
        <v>0.33159263976456699</v>
      </c>
      <c r="Q119" s="2">
        <v>9.7465886940740695E-2</v>
      </c>
      <c r="R119" s="2">
        <v>0.16881586818612601</v>
      </c>
      <c r="S119" s="2">
        <v>3.7749307336259199</v>
      </c>
      <c r="T119" s="2">
        <v>0.57726293135694196</v>
      </c>
      <c r="U119" s="2">
        <v>24.301718060182601</v>
      </c>
      <c r="V119" s="2">
        <v>2.1373952375506802</v>
      </c>
      <c r="W119" s="2">
        <v>15.776316549793499</v>
      </c>
      <c r="X119" s="2">
        <v>16.110261831311</v>
      </c>
      <c r="Y119" s="2">
        <v>108.11075446597501</v>
      </c>
      <c r="Z119" s="2">
        <v>14.4203306638915</v>
      </c>
      <c r="AA119" s="2">
        <v>68.997992101433198</v>
      </c>
      <c r="AB119" s="2">
        <v>2.2080424582495102</v>
      </c>
      <c r="AC119" s="2">
        <v>0</v>
      </c>
      <c r="AD119" s="2">
        <v>0</v>
      </c>
      <c r="AE119" s="2">
        <v>19.430062150379499</v>
      </c>
      <c r="AF119" s="2">
        <v>33.653854838678299</v>
      </c>
      <c r="AG119" s="2">
        <v>87.279637916814195</v>
      </c>
      <c r="AH119" s="2">
        <v>6.2381073401560601</v>
      </c>
      <c r="AI119" s="2">
        <v>84.442615575473994</v>
      </c>
      <c r="AJ119" s="2">
        <v>0.639438714231503</v>
      </c>
    </row>
    <row r="120" spans="1:36" ht="15.75" customHeight="1" x14ac:dyDescent="0.45">
      <c r="A120" s="2" t="s">
        <v>238</v>
      </c>
      <c r="B120" s="2" t="s">
        <v>245</v>
      </c>
      <c r="C120" s="2" t="s">
        <v>244</v>
      </c>
      <c r="D120" s="2" t="s">
        <v>83</v>
      </c>
      <c r="E120" s="2" t="s">
        <v>84</v>
      </c>
      <c r="G120" s="2">
        <v>0.88383838383333302</v>
      </c>
      <c r="H120" s="2">
        <v>1.53085298647889</v>
      </c>
      <c r="I120" s="2">
        <v>21.467592592592499</v>
      </c>
      <c r="J120" s="2">
        <v>2.4717670200983499</v>
      </c>
      <c r="K120" s="2">
        <v>1.8154600101037</v>
      </c>
      <c r="L120" s="2">
        <v>0.44250037354522398</v>
      </c>
      <c r="M120" s="2">
        <v>0</v>
      </c>
      <c r="N120" s="2">
        <v>0</v>
      </c>
      <c r="O120" s="2">
        <v>27.2478193666532</v>
      </c>
      <c r="P120" s="2">
        <v>6.2051343124320297</v>
      </c>
      <c r="Q120" s="2">
        <v>9.7465886940740695E-2</v>
      </c>
      <c r="R120" s="2">
        <v>0.16881586818612601</v>
      </c>
      <c r="S120" s="2">
        <v>6.6865854869407402</v>
      </c>
      <c r="T120" s="2">
        <v>0.95808705357610602</v>
      </c>
      <c r="U120" s="2">
        <v>8.4724486463739694</v>
      </c>
      <c r="V120" s="2">
        <v>1.5828166590419801</v>
      </c>
      <c r="W120" s="2">
        <v>36.702589355379601</v>
      </c>
      <c r="X120" s="2">
        <v>63.570749532854101</v>
      </c>
      <c r="Y120" s="2">
        <v>960.70039286285805</v>
      </c>
      <c r="Z120" s="2">
        <v>235.328182125551</v>
      </c>
      <c r="AA120" s="2">
        <v>10.075270862878501</v>
      </c>
      <c r="AB120" s="2">
        <v>2.63868658516451</v>
      </c>
      <c r="AC120" s="2">
        <v>0</v>
      </c>
      <c r="AD120" s="2">
        <v>0</v>
      </c>
      <c r="AE120" s="2">
        <v>15.3227897241973</v>
      </c>
      <c r="AF120" s="2">
        <v>26.539850316004099</v>
      </c>
      <c r="AG120" s="2">
        <v>154.60040967841101</v>
      </c>
      <c r="AH120" s="2">
        <v>9.3646242161376794</v>
      </c>
      <c r="AI120" s="2">
        <v>70.936720623243005</v>
      </c>
      <c r="AJ120" s="2">
        <v>5.82638300553013</v>
      </c>
    </row>
    <row r="121" spans="1:36" ht="15.75" customHeight="1" x14ac:dyDescent="0.45">
      <c r="A121" s="2" t="s">
        <v>238</v>
      </c>
      <c r="B121" s="2" t="s">
        <v>245</v>
      </c>
      <c r="C121" s="2" t="s">
        <v>245</v>
      </c>
      <c r="D121" s="2" t="s">
        <v>83</v>
      </c>
      <c r="E121" s="2" t="s">
        <v>84</v>
      </c>
      <c r="G121" s="2">
        <v>4</v>
      </c>
      <c r="H121" s="2">
        <v>0</v>
      </c>
      <c r="I121" s="2">
        <v>12.6</v>
      </c>
      <c r="J121" s="2">
        <v>0</v>
      </c>
      <c r="K121" s="2">
        <v>7.53846153846</v>
      </c>
      <c r="L121" s="2">
        <v>0</v>
      </c>
      <c r="M121" s="2">
        <v>0</v>
      </c>
      <c r="N121" s="2">
        <v>0</v>
      </c>
      <c r="O121" s="2">
        <v>3</v>
      </c>
      <c r="P121" s="2">
        <v>0</v>
      </c>
      <c r="Q121" s="2">
        <v>0</v>
      </c>
      <c r="R121" s="2">
        <v>0</v>
      </c>
      <c r="S121" s="2">
        <v>10.11732711738</v>
      </c>
      <c r="T121" s="2">
        <v>0</v>
      </c>
      <c r="U121" s="2">
        <v>4.5017864231838001</v>
      </c>
      <c r="V121" s="2">
        <v>0</v>
      </c>
      <c r="W121" s="2">
        <v>166.10543296929501</v>
      </c>
      <c r="X121" s="2">
        <v>0</v>
      </c>
      <c r="Y121" s="2">
        <v>107.55971435889801</v>
      </c>
      <c r="Z121" s="2">
        <v>0</v>
      </c>
      <c r="AA121" s="2">
        <v>43.544888258731604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259.95953508775898</v>
      </c>
      <c r="AH121" s="2">
        <v>0</v>
      </c>
      <c r="AI121" s="2">
        <v>89.461538461540002</v>
      </c>
      <c r="AJ121" s="2">
        <v>0</v>
      </c>
    </row>
    <row r="122" spans="1:36" ht="15.75" customHeight="1" x14ac:dyDescent="0.45">
      <c r="A122" s="2" t="s">
        <v>238</v>
      </c>
      <c r="B122" s="2" t="s">
        <v>246</v>
      </c>
      <c r="C122" s="2" t="s">
        <v>239</v>
      </c>
      <c r="D122" s="2" t="s">
        <v>83</v>
      </c>
      <c r="E122" s="2" t="s">
        <v>84</v>
      </c>
      <c r="G122" s="2">
        <v>2.6263116450399999</v>
      </c>
      <c r="H122" s="2">
        <v>0.47408666710522701</v>
      </c>
      <c r="I122" s="2">
        <v>210.222222222222</v>
      </c>
      <c r="J122" s="2">
        <v>18.2239159104492</v>
      </c>
      <c r="K122" s="2">
        <v>16.539981591370299</v>
      </c>
      <c r="L122" s="2">
        <v>2.1746460956595799</v>
      </c>
      <c r="M122" s="2">
        <v>26.2567206277037</v>
      </c>
      <c r="N122" s="2">
        <v>1.66475843395958</v>
      </c>
      <c r="O122" s="2">
        <v>3.9141252091499998</v>
      </c>
      <c r="P122" s="2">
        <v>3.8204433363119801</v>
      </c>
      <c r="Q122" s="2">
        <v>0.38987004897999999</v>
      </c>
      <c r="R122" s="2">
        <v>0.10494021702239401</v>
      </c>
      <c r="S122" s="2">
        <v>4.1035552983888799</v>
      </c>
      <c r="T122" s="2">
        <v>0.70179079892489604</v>
      </c>
      <c r="U122" s="2">
        <v>82.778509308147306</v>
      </c>
      <c r="V122" s="2">
        <v>13.160979879118401</v>
      </c>
      <c r="W122" s="2">
        <v>147.54709460808601</v>
      </c>
      <c r="X122" s="2">
        <v>73.085609301454099</v>
      </c>
      <c r="Y122" s="2">
        <v>138.97526508268299</v>
      </c>
      <c r="Z122" s="2">
        <v>138.01895766730999</v>
      </c>
      <c r="AA122" s="2">
        <v>91.541910743234396</v>
      </c>
      <c r="AB122" s="2">
        <v>12.237074048603599</v>
      </c>
      <c r="AC122" s="2">
        <v>81.534249871372197</v>
      </c>
      <c r="AD122" s="2">
        <v>7.2576823405274196</v>
      </c>
      <c r="AE122" s="2">
        <v>85.230974619799298</v>
      </c>
      <c r="AF122" s="2">
        <v>18.222711584443601</v>
      </c>
      <c r="AG122" s="2">
        <v>96.068363358467394</v>
      </c>
      <c r="AH122" s="2">
        <v>20.289937570106598</v>
      </c>
      <c r="AI122" s="2">
        <v>79.545893199479593</v>
      </c>
      <c r="AJ122" s="2">
        <v>3.83432596161507</v>
      </c>
    </row>
    <row r="123" spans="1:36" ht="15.75" customHeight="1" x14ac:dyDescent="0.45">
      <c r="A123" s="2" t="s">
        <v>238</v>
      </c>
      <c r="B123" s="2" t="s">
        <v>246</v>
      </c>
      <c r="C123" s="2" t="s">
        <v>240</v>
      </c>
      <c r="D123" s="2" t="s">
        <v>83</v>
      </c>
      <c r="E123" s="2" t="s">
        <v>84</v>
      </c>
      <c r="G123" s="2">
        <v>3.13204736682333</v>
      </c>
      <c r="H123" s="2">
        <v>2.0915093458673102</v>
      </c>
      <c r="I123" s="2">
        <v>177.62962962962899</v>
      </c>
      <c r="J123" s="2">
        <v>15.6671920059017</v>
      </c>
      <c r="K123" s="2">
        <v>20.216710373592498</v>
      </c>
      <c r="L123" s="2">
        <v>1.46395019594283</v>
      </c>
      <c r="M123" s="2">
        <v>22.9747794269629</v>
      </c>
      <c r="N123" s="2">
        <v>4.1570469331678401</v>
      </c>
      <c r="O123" s="2">
        <v>3.01097670492259</v>
      </c>
      <c r="P123" s="2">
        <v>0.79326814937744805</v>
      </c>
      <c r="Q123" s="2">
        <v>0.41755271433444402</v>
      </c>
      <c r="R123" s="2">
        <v>0.39218974733398698</v>
      </c>
      <c r="S123" s="2">
        <v>3.7768888839625898</v>
      </c>
      <c r="T123" s="2">
        <v>0.49953181261500801</v>
      </c>
      <c r="U123" s="2">
        <v>69.373726947042698</v>
      </c>
      <c r="V123" s="2">
        <v>1.09110485406181</v>
      </c>
      <c r="W123" s="2">
        <v>202.45155938155199</v>
      </c>
      <c r="X123" s="2">
        <v>208.53439710414301</v>
      </c>
      <c r="Y123" s="2">
        <v>106.22190915678399</v>
      </c>
      <c r="Z123" s="2">
        <v>29.792393038212001</v>
      </c>
      <c r="AA123" s="2">
        <v>112.08840405353099</v>
      </c>
      <c r="AB123" s="2">
        <v>12.3702687517303</v>
      </c>
      <c r="AC123" s="2">
        <v>70.910571423570403</v>
      </c>
      <c r="AD123" s="2">
        <v>9.8286704753286305</v>
      </c>
      <c r="AE123" s="2">
        <v>72.309555036260093</v>
      </c>
      <c r="AF123" s="2">
        <v>64.139607309542399</v>
      </c>
      <c r="AG123" s="2">
        <v>88.265028502301007</v>
      </c>
      <c r="AH123" s="2">
        <v>15.0819633008767</v>
      </c>
      <c r="AI123" s="2">
        <v>76.772312921484797</v>
      </c>
      <c r="AJ123" s="2">
        <v>1.46701406314264</v>
      </c>
    </row>
    <row r="124" spans="1:36" ht="15.75" customHeight="1" x14ac:dyDescent="0.45">
      <c r="A124" s="2" t="s">
        <v>238</v>
      </c>
      <c r="B124" s="2" t="s">
        <v>246</v>
      </c>
      <c r="C124" s="2" t="s">
        <v>241</v>
      </c>
      <c r="D124" s="2" t="s">
        <v>83</v>
      </c>
      <c r="E124" s="2" t="s">
        <v>84</v>
      </c>
      <c r="G124" s="2">
        <v>2.27486485012518</v>
      </c>
      <c r="H124" s="2">
        <v>0.91194232825344101</v>
      </c>
      <c r="I124" s="2">
        <v>206.81481481481401</v>
      </c>
      <c r="J124" s="2">
        <v>71.618444873443906</v>
      </c>
      <c r="K124" s="2">
        <v>20.0602340887407</v>
      </c>
      <c r="L124" s="2">
        <v>4.3439766619887701</v>
      </c>
      <c r="M124" s="2">
        <v>26.3109109756296</v>
      </c>
      <c r="N124" s="2">
        <v>16.3409629101373</v>
      </c>
      <c r="O124" s="2">
        <v>2.6626380117996198</v>
      </c>
      <c r="P124" s="2">
        <v>0.77242715001829199</v>
      </c>
      <c r="Q124" s="2">
        <v>0.248903244671111</v>
      </c>
      <c r="R124" s="2">
        <v>5.7779606258673497E-2</v>
      </c>
      <c r="S124" s="2">
        <v>4.2986003958962904</v>
      </c>
      <c r="T124" s="2">
        <v>0.50963525457418002</v>
      </c>
      <c r="U124" s="2">
        <v>79.863224404636696</v>
      </c>
      <c r="V124" s="2">
        <v>21.510988687683501</v>
      </c>
      <c r="W124" s="2">
        <v>113.899411400028</v>
      </c>
      <c r="X124" s="2">
        <v>17.817050382014202</v>
      </c>
      <c r="Y124" s="2">
        <v>93.298963837719398</v>
      </c>
      <c r="Z124" s="2">
        <v>25.548198194345002</v>
      </c>
      <c r="AA124" s="2">
        <v>111.346917989819</v>
      </c>
      <c r="AB124" s="2">
        <v>26.0764469085766</v>
      </c>
      <c r="AC124" s="2">
        <v>79.399067205254099</v>
      </c>
      <c r="AD124" s="2">
        <v>43.108869794856602</v>
      </c>
      <c r="AE124" s="2">
        <v>59.680293977177001</v>
      </c>
      <c r="AF124" s="2">
        <v>34.736108948208603</v>
      </c>
      <c r="AG124" s="2">
        <v>100.19914562238699</v>
      </c>
      <c r="AH124" s="2">
        <v>14.3392812276894</v>
      </c>
      <c r="AI124" s="2">
        <v>77.2771278994596</v>
      </c>
      <c r="AJ124" s="2">
        <v>3.71197114722123</v>
      </c>
    </row>
    <row r="125" spans="1:36" ht="15.75" customHeight="1" x14ac:dyDescent="0.45">
      <c r="A125" s="2" t="s">
        <v>238</v>
      </c>
      <c r="B125" s="2" t="s">
        <v>246</v>
      </c>
      <c r="C125" s="2" t="s">
        <v>242</v>
      </c>
      <c r="D125" s="2" t="s">
        <v>83</v>
      </c>
      <c r="E125" s="2" t="s">
        <v>84</v>
      </c>
      <c r="G125" s="2">
        <v>0.58923528199386199</v>
      </c>
      <c r="H125" s="2">
        <v>0.46172728252390899</v>
      </c>
      <c r="I125" s="2">
        <v>93.285714285714207</v>
      </c>
      <c r="J125" s="2">
        <v>4.8964330577823203</v>
      </c>
      <c r="K125" s="2">
        <v>23.519823472010501</v>
      </c>
      <c r="L125" s="2">
        <v>1.1794851485991</v>
      </c>
      <c r="M125" s="2">
        <v>2.80797073716783</v>
      </c>
      <c r="N125" s="2">
        <v>2.11063175836816</v>
      </c>
      <c r="O125" s="2">
        <v>4.3590514353724803</v>
      </c>
      <c r="P125" s="2">
        <v>1.0985328554957201</v>
      </c>
      <c r="Q125" s="2">
        <v>0.77056763204878298</v>
      </c>
      <c r="R125" s="2">
        <v>0.36069820760736099</v>
      </c>
      <c r="S125" s="2">
        <v>3.2535545316793599</v>
      </c>
      <c r="T125" s="2">
        <v>0.23125735555581101</v>
      </c>
      <c r="U125" s="2">
        <v>36.502513468951904</v>
      </c>
      <c r="V125" s="2">
        <v>1.2188162373660401</v>
      </c>
      <c r="W125" s="2">
        <v>26.282610111296499</v>
      </c>
      <c r="X125" s="2">
        <v>17.122034810636301</v>
      </c>
      <c r="Y125" s="2">
        <v>152.76090612546801</v>
      </c>
      <c r="Z125" s="2">
        <v>35.626733212774198</v>
      </c>
      <c r="AA125" s="2">
        <v>130.23458528943701</v>
      </c>
      <c r="AB125" s="2">
        <v>9.3487247923864896</v>
      </c>
      <c r="AC125" s="2">
        <v>8.4488941680821501</v>
      </c>
      <c r="AD125" s="2">
        <v>5.8265632717822804</v>
      </c>
      <c r="AE125" s="2">
        <v>179.27843350820399</v>
      </c>
      <c r="AF125" s="2">
        <v>91.538672251472505</v>
      </c>
      <c r="AG125" s="2">
        <v>75.836334611485995</v>
      </c>
      <c r="AH125" s="2">
        <v>7.8548370888015198</v>
      </c>
      <c r="AI125" s="2">
        <v>72.121125092616893</v>
      </c>
      <c r="AJ125" s="2">
        <v>0.31816761557634698</v>
      </c>
    </row>
    <row r="126" spans="1:36" ht="15.75" customHeight="1" x14ac:dyDescent="0.45">
      <c r="A126" s="2" t="s">
        <v>238</v>
      </c>
      <c r="B126" s="2" t="s">
        <v>246</v>
      </c>
      <c r="C126" s="2" t="s">
        <v>243</v>
      </c>
      <c r="D126" s="2" t="s">
        <v>83</v>
      </c>
      <c r="E126" s="2" t="s">
        <v>84</v>
      </c>
      <c r="G126" s="2">
        <v>6.4102564104166607E-2</v>
      </c>
      <c r="H126" s="2">
        <v>0.11102889792385701</v>
      </c>
      <c r="I126" s="2">
        <v>62.254629629629598</v>
      </c>
      <c r="J126" s="2">
        <v>9.9968777275913592</v>
      </c>
      <c r="K126" s="2">
        <v>13.7535391474125</v>
      </c>
      <c r="L126" s="2">
        <v>1.46773001963035</v>
      </c>
      <c r="M126" s="2">
        <v>0</v>
      </c>
      <c r="N126" s="2">
        <v>0</v>
      </c>
      <c r="O126" s="2">
        <v>3.5375517018504601</v>
      </c>
      <c r="P126" s="2">
        <v>2.24235753877785</v>
      </c>
      <c r="Q126" s="2">
        <v>0.239285893762962</v>
      </c>
      <c r="R126" s="2">
        <v>0.13424987303796099</v>
      </c>
      <c r="S126" s="2">
        <v>4.0121578767712904</v>
      </c>
      <c r="T126" s="2">
        <v>1.64431611537653</v>
      </c>
      <c r="U126" s="2">
        <v>24.559275019371501</v>
      </c>
      <c r="V126" s="2">
        <v>5.5420561691431498</v>
      </c>
      <c r="W126" s="2">
        <v>5.1414387829008197</v>
      </c>
      <c r="X126" s="2">
        <v>8.9052331959893092</v>
      </c>
      <c r="Y126" s="2">
        <v>125.72175467437999</v>
      </c>
      <c r="Z126" s="2">
        <v>80.822055679818206</v>
      </c>
      <c r="AA126" s="2">
        <v>76.081112159201197</v>
      </c>
      <c r="AB126" s="2">
        <v>7.9029965621530396</v>
      </c>
      <c r="AC126" s="2">
        <v>0</v>
      </c>
      <c r="AD126" s="2">
        <v>0</v>
      </c>
      <c r="AE126" s="2">
        <v>61.789076811353702</v>
      </c>
      <c r="AF126" s="2">
        <v>56.555276916282203</v>
      </c>
      <c r="AG126" s="2">
        <v>93.184321851415206</v>
      </c>
      <c r="AH126" s="2">
        <v>36.903250985789398</v>
      </c>
      <c r="AI126" s="2">
        <v>82.708909150737</v>
      </c>
      <c r="AJ126" s="2">
        <v>3.4529625079379702</v>
      </c>
    </row>
    <row r="127" spans="1:36" ht="15.75" customHeight="1" x14ac:dyDescent="0.45">
      <c r="A127" s="2" t="s">
        <v>238</v>
      </c>
      <c r="B127" s="2" t="s">
        <v>246</v>
      </c>
      <c r="C127" s="2" t="s">
        <v>244</v>
      </c>
      <c r="D127" s="2" t="s">
        <v>83</v>
      </c>
      <c r="E127" s="2" t="s">
        <v>84</v>
      </c>
      <c r="G127" s="2">
        <v>0</v>
      </c>
      <c r="H127" s="2">
        <v>0</v>
      </c>
      <c r="I127" s="2">
        <v>14.249999999999901</v>
      </c>
      <c r="J127" s="2">
        <v>1.95256241897664</v>
      </c>
      <c r="K127" s="2">
        <v>3.2215080241237999</v>
      </c>
      <c r="L127" s="2">
        <v>2.1966997705496101</v>
      </c>
      <c r="M127" s="2">
        <v>0</v>
      </c>
      <c r="N127" s="2">
        <v>0</v>
      </c>
      <c r="O127" s="2">
        <v>25.0469765872922</v>
      </c>
      <c r="P127" s="2">
        <v>6.1648242225612</v>
      </c>
      <c r="Q127" s="2">
        <v>0.14880952380833301</v>
      </c>
      <c r="R127" s="2">
        <v>0.25774565588616299</v>
      </c>
      <c r="S127" s="2">
        <v>5.9784363920547596</v>
      </c>
      <c r="T127" s="2">
        <v>2.4260470012072202</v>
      </c>
      <c r="U127" s="2">
        <v>5.55144245202756</v>
      </c>
      <c r="V127" s="2">
        <v>0.31223999712067402</v>
      </c>
      <c r="W127" s="2">
        <v>0</v>
      </c>
      <c r="X127" s="2">
        <v>0</v>
      </c>
      <c r="Y127" s="2">
        <v>880.25106836911698</v>
      </c>
      <c r="Z127" s="2">
        <v>219.108334049826</v>
      </c>
      <c r="AA127" s="2">
        <v>17.696869749538301</v>
      </c>
      <c r="AB127" s="2">
        <v>11.622349482113099</v>
      </c>
      <c r="AC127" s="2">
        <v>0</v>
      </c>
      <c r="AD127" s="2">
        <v>0</v>
      </c>
      <c r="AE127" s="2">
        <v>51.022996120701102</v>
      </c>
      <c r="AF127" s="2">
        <v>88.374421635444094</v>
      </c>
      <c r="AG127" s="2">
        <v>141.46100188657201</v>
      </c>
      <c r="AH127" s="2">
        <v>62.173823773595302</v>
      </c>
      <c r="AI127" s="2">
        <v>71.731515388583901</v>
      </c>
      <c r="AJ127" s="2">
        <v>7.4757310607206202</v>
      </c>
    </row>
    <row r="128" spans="1:36" ht="15.75" customHeight="1" x14ac:dyDescent="0.45">
      <c r="A128" s="2" t="s">
        <v>238</v>
      </c>
      <c r="B128" s="2" t="s">
        <v>246</v>
      </c>
      <c r="C128" s="2" t="s">
        <v>245</v>
      </c>
      <c r="D128" s="2" t="s">
        <v>83</v>
      </c>
      <c r="E128" s="2" t="s">
        <v>84</v>
      </c>
      <c r="G128" s="2">
        <v>9.3452380952857101</v>
      </c>
      <c r="H128" s="2">
        <v>0</v>
      </c>
      <c r="I128" s="2">
        <v>13.5714285714285</v>
      </c>
      <c r="J128" s="2">
        <v>0</v>
      </c>
      <c r="K128" s="2">
        <v>7.1045750316714198</v>
      </c>
      <c r="L128" s="2">
        <v>0</v>
      </c>
      <c r="M128" s="2">
        <v>0</v>
      </c>
      <c r="N128" s="2">
        <v>0</v>
      </c>
      <c r="O128" s="2">
        <v>11.5664744158428</v>
      </c>
      <c r="P128" s="2">
        <v>0</v>
      </c>
      <c r="Q128" s="2">
        <v>0</v>
      </c>
      <c r="R128" s="2">
        <v>0</v>
      </c>
      <c r="S128" s="2">
        <v>13.485184587699999</v>
      </c>
      <c r="T128" s="2">
        <v>0</v>
      </c>
      <c r="U128" s="2">
        <v>4.8488629274655404</v>
      </c>
      <c r="V128" s="2">
        <v>0</v>
      </c>
      <c r="W128" s="2">
        <v>388.07370500464702</v>
      </c>
      <c r="X128" s="2">
        <v>0</v>
      </c>
      <c r="Y128" s="2">
        <v>414.69556143585498</v>
      </c>
      <c r="Z128" s="2">
        <v>0</v>
      </c>
      <c r="AA128" s="2">
        <v>41.038602412649098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346.49490673964902</v>
      </c>
      <c r="AH128" s="2">
        <v>0</v>
      </c>
      <c r="AI128" s="2">
        <v>81.328950552485693</v>
      </c>
      <c r="AJ128" s="2">
        <v>0</v>
      </c>
    </row>
    <row r="129" spans="1:36" ht="15.75" customHeight="1" x14ac:dyDescent="0.45">
      <c r="A129" s="2" t="s">
        <v>238</v>
      </c>
      <c r="B129" s="2" t="s">
        <v>246</v>
      </c>
      <c r="C129" s="2" t="s">
        <v>246</v>
      </c>
      <c r="D129" s="2" t="s">
        <v>83</v>
      </c>
      <c r="E129" s="2" t="s">
        <v>84</v>
      </c>
      <c r="G129" s="2">
        <v>3.5984848484833298</v>
      </c>
      <c r="H129" s="2">
        <v>0</v>
      </c>
      <c r="I129" s="2">
        <v>10.3333333333333</v>
      </c>
      <c r="J129" s="2">
        <v>0</v>
      </c>
      <c r="K129" s="2">
        <v>8.92094017104999</v>
      </c>
      <c r="L129" s="2">
        <v>0</v>
      </c>
      <c r="M129" s="2">
        <v>0</v>
      </c>
      <c r="N129" s="2">
        <v>0</v>
      </c>
      <c r="O129" s="2">
        <v>8.4935897436666608</v>
      </c>
      <c r="P129" s="2">
        <v>0</v>
      </c>
      <c r="Q129" s="2">
        <v>0</v>
      </c>
      <c r="R129" s="2">
        <v>0</v>
      </c>
      <c r="S129" s="2">
        <v>4.0719696970000001</v>
      </c>
      <c r="T129" s="2">
        <v>0</v>
      </c>
      <c r="U129" s="2">
        <v>3.6919412465264001</v>
      </c>
      <c r="V129" s="2">
        <v>0</v>
      </c>
      <c r="W129" s="2">
        <v>149.431970947693</v>
      </c>
      <c r="X129" s="2">
        <v>0</v>
      </c>
      <c r="Y129" s="2">
        <v>304.522695570152</v>
      </c>
      <c r="Z129" s="2">
        <v>0</v>
      </c>
      <c r="AA129" s="2">
        <v>51.530586304557701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104.62717445452</v>
      </c>
      <c r="AH129" s="2">
        <v>0</v>
      </c>
      <c r="AI129" s="2">
        <v>82.585470085283305</v>
      </c>
      <c r="AJ129" s="2">
        <v>0</v>
      </c>
    </row>
    <row r="130" spans="1:36" ht="15.75" customHeight="1" x14ac:dyDescent="0.45">
      <c r="A130" s="2" t="s">
        <v>147</v>
      </c>
      <c r="B130" s="2" t="s">
        <v>247</v>
      </c>
      <c r="C130" s="2" t="s">
        <v>247</v>
      </c>
      <c r="D130" s="2" t="s">
        <v>83</v>
      </c>
      <c r="E130" s="2" t="s">
        <v>84</v>
      </c>
      <c r="G130" s="2">
        <v>0.72643722779782904</v>
      </c>
      <c r="H130" s="2">
        <v>0.994045134001449</v>
      </c>
      <c r="I130" s="2">
        <v>230.86624779541401</v>
      </c>
      <c r="J130" s="2">
        <v>38.295855932296</v>
      </c>
      <c r="K130" s="2">
        <v>20.390608841258</v>
      </c>
      <c r="L130" s="2">
        <v>2.6871167176603699</v>
      </c>
      <c r="M130" s="2">
        <v>30.892924774495299</v>
      </c>
      <c r="N130" s="2">
        <v>2.76692270841537</v>
      </c>
      <c r="O130" s="2">
        <v>2.9150554369781401</v>
      </c>
      <c r="P130" s="2">
        <v>0.77916311171486996</v>
      </c>
      <c r="Q130" s="2">
        <v>0.46313364940037399</v>
      </c>
      <c r="R130" s="2">
        <v>0.35264930903735803</v>
      </c>
      <c r="S130" s="2">
        <v>5.0820030066001296</v>
      </c>
      <c r="T130" s="2">
        <v>0.907957488235976</v>
      </c>
      <c r="U130" s="2">
        <v>100</v>
      </c>
      <c r="V130" s="2">
        <v>9.6785592907679892</v>
      </c>
      <c r="W130" s="2">
        <v>99.999999999999901</v>
      </c>
      <c r="X130" s="2">
        <v>84.819426704865194</v>
      </c>
      <c r="Y130" s="2">
        <v>99.999999999999901</v>
      </c>
      <c r="Z130" s="2">
        <v>23.359949031959001</v>
      </c>
      <c r="AA130" s="2">
        <v>100</v>
      </c>
      <c r="AB130" s="2">
        <v>8.3254117373501693</v>
      </c>
      <c r="AC130" s="2">
        <v>99.999999999999901</v>
      </c>
      <c r="AD130" s="2">
        <v>6.6905841488804398</v>
      </c>
      <c r="AE130" s="2">
        <v>100</v>
      </c>
      <c r="AF130" s="2">
        <v>45.438805640666502</v>
      </c>
      <c r="AG130" s="2">
        <v>99.999999999999901</v>
      </c>
      <c r="AH130" s="2">
        <v>10.8956918984921</v>
      </c>
      <c r="AI130" s="2">
        <v>76.694335721763807</v>
      </c>
      <c r="AJ130" s="2">
        <v>3.0616332725681401</v>
      </c>
    </row>
    <row r="131" spans="1:36" ht="15.75" customHeight="1" x14ac:dyDescent="0.45">
      <c r="A131" s="2" t="s">
        <v>248</v>
      </c>
      <c r="B131" s="2" t="s">
        <v>247</v>
      </c>
      <c r="C131" s="2" t="s">
        <v>239</v>
      </c>
      <c r="D131" s="2" t="s">
        <v>83</v>
      </c>
      <c r="E131" s="2" t="s">
        <v>84</v>
      </c>
      <c r="G131" s="2">
        <v>0</v>
      </c>
      <c r="H131" s="2">
        <v>0</v>
      </c>
      <c r="I131" s="2">
        <v>341.03703703703701</v>
      </c>
      <c r="J131" s="2">
        <v>60.246031920284302</v>
      </c>
      <c r="K131" s="2">
        <v>20.9874391234444</v>
      </c>
      <c r="L131" s="2">
        <v>2.0900948550601899</v>
      </c>
      <c r="M131" s="2">
        <v>43.235698973296202</v>
      </c>
      <c r="N131" s="2">
        <v>2.0465605453633802</v>
      </c>
      <c r="O131" s="2">
        <v>3.3341394545792502</v>
      </c>
      <c r="P131" s="2">
        <v>0.85596297684469203</v>
      </c>
      <c r="Q131" s="2">
        <v>0.495330411799629</v>
      </c>
      <c r="R131" s="2">
        <v>8.1433473276068397E-2</v>
      </c>
      <c r="S131" s="2">
        <v>4.2469225779073998</v>
      </c>
      <c r="T131" s="2">
        <v>0.53155039602138598</v>
      </c>
      <c r="U131" s="2">
        <v>169.18949003751001</v>
      </c>
      <c r="V131" s="2">
        <v>40.539565843905898</v>
      </c>
      <c r="Y131" s="2">
        <v>102.980104227875</v>
      </c>
      <c r="Z131" s="2">
        <v>32.6637165123892</v>
      </c>
      <c r="AA131" s="2">
        <v>92.173265262988807</v>
      </c>
      <c r="AB131" s="2">
        <v>8.7460145809460794</v>
      </c>
      <c r="AC131" s="2">
        <v>148.886904675176</v>
      </c>
      <c r="AD131" s="2">
        <v>4.1195109833091399</v>
      </c>
      <c r="AE131" s="2">
        <v>103.017109636397</v>
      </c>
      <c r="AF131" s="2">
        <v>59.708965416655197</v>
      </c>
      <c r="AG131" s="2">
        <v>72.302141690238003</v>
      </c>
      <c r="AH131" s="2">
        <v>13.4479455344415</v>
      </c>
      <c r="AI131" s="2">
        <v>75.678421421976196</v>
      </c>
      <c r="AJ131" s="2">
        <v>1.66357988781101</v>
      </c>
    </row>
    <row r="132" spans="1:36" ht="15.75" customHeight="1" x14ac:dyDescent="0.45">
      <c r="A132" s="2" t="s">
        <v>248</v>
      </c>
      <c r="B132" s="2" t="s">
        <v>247</v>
      </c>
      <c r="C132" s="2" t="s">
        <v>247</v>
      </c>
      <c r="D132" s="2" t="s">
        <v>83</v>
      </c>
      <c r="E132" s="2" t="s">
        <v>84</v>
      </c>
      <c r="G132" s="2">
        <v>1.4408020413382101</v>
      </c>
      <c r="H132" s="2">
        <v>3.0208295890312802</v>
      </c>
      <c r="I132" s="2">
        <v>283.27272727272702</v>
      </c>
      <c r="J132" s="2">
        <v>34.444714278838703</v>
      </c>
      <c r="K132" s="2">
        <v>21.036719496868599</v>
      </c>
      <c r="L132" s="2">
        <v>2.0846667407241402</v>
      </c>
      <c r="M132" s="2">
        <v>43.723636317144702</v>
      </c>
      <c r="N132" s="2">
        <v>4.9466463645024996</v>
      </c>
      <c r="O132" s="2">
        <v>3.3619132529959201</v>
      </c>
      <c r="P132" s="2">
        <v>0.89800993515845295</v>
      </c>
      <c r="Q132" s="2">
        <v>0.616819787222458</v>
      </c>
      <c r="R132" s="2">
        <v>0.25467043331125999</v>
      </c>
      <c r="S132" s="2">
        <v>4.3786266655890804</v>
      </c>
      <c r="T132" s="2">
        <v>0.88703106897848705</v>
      </c>
      <c r="U132" s="2">
        <v>123.88752689722899</v>
      </c>
      <c r="V132" s="2">
        <v>23.818278706206499</v>
      </c>
      <c r="W132" s="2">
        <v>151.88369903374999</v>
      </c>
      <c r="X132" s="2">
        <v>201.62324595304699</v>
      </c>
      <c r="Y132" s="2">
        <v>117.975294703358</v>
      </c>
      <c r="Z132" s="2">
        <v>36.3728807656097</v>
      </c>
      <c r="AA132" s="2">
        <v>104.47746817024399</v>
      </c>
      <c r="AB132" s="2">
        <v>7.0666843224618603</v>
      </c>
      <c r="AC132" s="2">
        <v>141.265197660148</v>
      </c>
      <c r="AD132" s="2">
        <v>17.9364729964127</v>
      </c>
      <c r="AE132" s="2">
        <v>144.51730296729599</v>
      </c>
      <c r="AF132" s="2">
        <v>56.123082802500299</v>
      </c>
      <c r="AG132" s="2">
        <v>88.382906670415494</v>
      </c>
      <c r="AH132" s="2">
        <v>17.782051307187</v>
      </c>
      <c r="AI132" s="2">
        <v>75.601367250135297</v>
      </c>
      <c r="AJ132" s="2">
        <v>2.1709018425423201</v>
      </c>
    </row>
    <row r="133" spans="1:36" ht="15.75" customHeight="1" x14ac:dyDescent="0.45"/>
    <row r="134" spans="1:36" ht="15.75" customHeight="1" x14ac:dyDescent="0.45"/>
    <row r="135" spans="1:36" ht="15.75" customHeight="1" x14ac:dyDescent="0.45"/>
    <row r="136" spans="1:36" ht="15.75" customHeight="1" x14ac:dyDescent="0.45"/>
    <row r="137" spans="1:36" ht="15.75" customHeight="1" x14ac:dyDescent="0.45"/>
    <row r="138" spans="1:36" ht="15.75" customHeight="1" x14ac:dyDescent="0.45"/>
    <row r="139" spans="1:36" ht="15.75" customHeight="1" x14ac:dyDescent="0.45"/>
    <row r="140" spans="1:36" ht="15.75" customHeight="1" x14ac:dyDescent="0.45"/>
    <row r="141" spans="1:36" ht="15.75" customHeight="1" x14ac:dyDescent="0.45"/>
    <row r="142" spans="1:36" ht="15.75" customHeight="1" x14ac:dyDescent="0.45"/>
    <row r="143" spans="1:36" ht="15.75" customHeight="1" x14ac:dyDescent="0.45"/>
    <row r="144" spans="1:36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autoFilter ref="A1:A133" xr:uid="{00000000-0009-0000-0000-000003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Single Agent Set 1 Raw Data</vt:lpstr>
      <vt:lpstr>Single Agent Set 2 Raw Data</vt:lpstr>
      <vt:lpstr>Sprime_delta_Sprime</vt:lpstr>
      <vt:lpstr>Combination Screen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Petrilli-Burnett School of Biomedical Sciences</dc:creator>
  <cp:lastModifiedBy>paul zamora</cp:lastModifiedBy>
  <dcterms:created xsi:type="dcterms:W3CDTF">2015-12-21T17:44:06Z</dcterms:created>
  <dcterms:modified xsi:type="dcterms:W3CDTF">2026-01-25T17:12:05Z</dcterms:modified>
</cp:coreProperties>
</file>